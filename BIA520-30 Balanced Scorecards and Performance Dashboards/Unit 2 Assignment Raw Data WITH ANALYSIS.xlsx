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1.xml" ContentType="application/vnd.openxmlformats-officedocument.spreadsheetml.comments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2.xml" ContentType="application/vnd.openxmlformats-officedocument.spreadsheetml.comments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lli\Desktop\Education Accolades\Post - GRADUATE\MS Data Analytics\BIA520-30 Balanced Scorecards and Performance Dashboards\"/>
    </mc:Choice>
  </mc:AlternateContent>
  <xr:revisionPtr revIDLastSave="0" documentId="13_ncr:1_{AB0CE353-AAE2-4B36-9217-31C5A3586540}" xr6:coauthVersionLast="47" xr6:coauthVersionMax="47" xr10:uidLastSave="{00000000-0000-0000-0000-000000000000}"/>
  <bookViews>
    <workbookView xWindow="11850" yWindow="45" windowWidth="40230" windowHeight="14685" tabRatio="693" xr2:uid="{00000000-000D-0000-FFFF-FFFF00000000}"/>
  </bookViews>
  <sheets>
    <sheet name="Client Contract List" sheetId="1" r:id="rId1"/>
    <sheet name="CLIENT CONTRACT LIST ANALYSIS" sheetId="11" r:id="rId2"/>
    <sheet name="Client Response Times" sheetId="2" r:id="rId3"/>
    <sheet name="CLIENT RESPONSE TIME ANALYSIS" sheetId="10" r:id="rId4"/>
    <sheet name="Net Promoter Score" sheetId="3" r:id="rId5"/>
    <sheet name="NET PROMOTER SCORE ANALYSIS" sheetId="9" r:id="rId6"/>
    <sheet name="Project Completion Timelines" sheetId="4" r:id="rId7"/>
    <sheet name="PROJ. COMP. TIMELINES ANALYSIS" sheetId="8" r:id="rId8"/>
    <sheet name="Cost Effectiveness" sheetId="5" r:id="rId9"/>
    <sheet name="COST EFFECTIVENESS ANALYSIS" sheetId="6" r:id="rId10"/>
    <sheet name="Master Data" sheetId="7" r:id="rId11"/>
    <sheet name="COMBINED ANALYSIS" sheetId="12" r:id="rId12"/>
  </sheets>
  <definedNames>
    <definedName name="_xlnm._FilterDatabase" localSheetId="10">'Master Data'!$AJ$2:$BD$2</definedName>
    <definedName name="_xlcn.WorksheetConnection_MasterDataA2E621" hidden="1">'Master Data'!$A$2:$F$62</definedName>
    <definedName name="_xlcn.WorksheetConnection_MasterDataAC2AE741" hidden="1">'Master Data'!$AC$2:$AG$74</definedName>
    <definedName name="_xlcn.WorksheetConnection_MasterDataAK2BD329" hidden="1">'Master Data'!$AK$2:$BD$329</definedName>
    <definedName name="_xlcn.WorksheetConnection_MasterDataP2T771" hidden="1">'Master Data'!$P$2:$T$77</definedName>
    <definedName name="_xlcn.WorksheetConnection_MasterDataV2AA621" hidden="1">'Master Data'!$V$2:$AA$62</definedName>
  </definedNames>
  <calcPr calcId="191029"/>
  <pivotCaches>
    <pivotCache cacheId="185" r:id="rId13"/>
    <pivotCache cacheId="476" r:id="rId14"/>
    <pivotCache cacheId="477" r:id="rId15"/>
    <pivotCache cacheId="478" r:id="rId16"/>
    <pivotCache cacheId="479" r:id="rId17"/>
    <pivotCache cacheId="483" r:id="rId18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Master Data!$A$2:$E$62"/>
          <x15:modelTable id="Range 1" name="Range 1" connection="WorksheetConnection_Master Data!$P$2:$T$77"/>
          <x15:modelTable id="Range 2" name="Range 2" connection="WorksheetConnection_Master Data!$V$2:$AA$62"/>
          <x15:modelTable id="Range 3" name="Range 3" connection="WorksheetConnection_Master Data!$AC$2:$AE$74"/>
          <x15:modelTable id="Range 4" name="Range 4" connection="WorksheetConnection_Master Data!$AK$2:$BD$329"/>
        </x15:modelTables>
        <x15:extLst>
          <ext xmlns:x16="http://schemas.microsoft.com/office/spreadsheetml/2014/11/main" uri="{9835A34E-60A6-4A7C-AAB8-D5F71C897F49}">
            <x16:modelTimeGroupings>
              <x16:modelTimeGrouping tableName="Range 3" columnName="Initial Contract Start YEAR" columnId="Initial Contract Start YEAR">
                <x16:calculatedTimeColumn columnName="Initial Contract Start YEAR (Year)" columnId="Initial Contract Start YEAR (Year)" contentType="years" isSelected="1"/>
                <x16:calculatedTimeColumn columnName="Initial Contract Start YEAR (Quarter)" columnId="Initial Contract Start YEAR (Quarter)" contentType="quarters" isSelected="1"/>
                <x16:calculatedTimeColumn columnName="Initial Contract Start YEAR (Month Index)" columnId="Initial Contract Start YEAR (Month Index)" contentType="monthsindex" isSelected="1"/>
                <x16:calculatedTimeColumn columnName="Initial Contract Start YEAR (Month)" columnId="Initial Contract Start YEAR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AS134" i="7" l="1"/>
  <c r="AS133" i="7"/>
  <c r="AS132" i="7"/>
  <c r="AS131" i="7"/>
  <c r="AS130" i="7"/>
  <c r="AS129" i="7"/>
  <c r="AS128" i="7"/>
  <c r="AS127" i="7"/>
  <c r="AS126" i="7"/>
  <c r="AS125" i="7"/>
  <c r="AS124" i="7"/>
  <c r="AS123" i="7"/>
  <c r="AS122" i="7"/>
  <c r="AS121" i="7"/>
  <c r="AS120" i="7"/>
  <c r="AS119" i="7"/>
  <c r="AS118" i="7"/>
  <c r="AS117" i="7"/>
  <c r="AS116" i="7"/>
  <c r="AS115" i="7"/>
  <c r="AS114" i="7"/>
  <c r="AS113" i="7"/>
  <c r="AS112" i="7"/>
  <c r="AS111" i="7"/>
  <c r="AS110" i="7"/>
  <c r="AS109" i="7"/>
  <c r="AS108" i="7"/>
  <c r="AS107" i="7"/>
  <c r="AS106" i="7"/>
  <c r="AS105" i="7"/>
  <c r="AS104" i="7"/>
  <c r="AS103" i="7"/>
  <c r="AS102" i="7"/>
  <c r="AS101" i="7"/>
  <c r="AS100" i="7"/>
  <c r="AS99" i="7"/>
  <c r="AS98" i="7"/>
  <c r="AS97" i="7"/>
  <c r="AS96" i="7"/>
  <c r="AS95" i="7"/>
  <c r="AS94" i="7"/>
  <c r="AS93" i="7"/>
  <c r="AS92" i="7"/>
  <c r="AS91" i="7"/>
  <c r="AS90" i="7"/>
  <c r="AS89" i="7"/>
  <c r="AS88" i="7"/>
  <c r="AS87" i="7"/>
  <c r="AS86" i="7"/>
  <c r="AS85" i="7"/>
  <c r="AS84" i="7"/>
  <c r="AS83" i="7"/>
  <c r="AS82" i="7"/>
  <c r="AS81" i="7"/>
  <c r="AS80" i="7"/>
  <c r="AS79" i="7"/>
  <c r="AS78" i="7"/>
  <c r="AS77" i="7"/>
  <c r="AS76" i="7"/>
  <c r="AS75" i="7"/>
  <c r="AS74" i="7"/>
  <c r="AS73" i="7"/>
  <c r="AS72" i="7"/>
  <c r="AS71" i="7"/>
  <c r="AS70" i="7"/>
  <c r="AS69" i="7"/>
  <c r="AS68" i="7"/>
  <c r="AS67" i="7"/>
  <c r="AS66" i="7"/>
  <c r="AS65" i="7"/>
  <c r="AS64" i="7"/>
  <c r="AS63" i="7"/>
  <c r="AP26" i="7"/>
  <c r="AO26" i="7"/>
  <c r="AP48" i="7"/>
  <c r="AO48" i="7"/>
  <c r="AP10" i="7"/>
  <c r="AO10" i="7"/>
  <c r="AP46" i="7"/>
  <c r="AO46" i="7"/>
  <c r="AP25" i="7"/>
  <c r="AO25" i="7"/>
  <c r="AP50" i="7"/>
  <c r="AO50" i="7"/>
  <c r="AP9" i="7"/>
  <c r="AO9" i="7"/>
  <c r="AP51" i="7"/>
  <c r="AO51" i="7"/>
  <c r="AP5" i="7"/>
  <c r="AO5" i="7"/>
  <c r="AP27" i="7"/>
  <c r="AO27" i="7"/>
  <c r="AP52" i="7"/>
  <c r="AO52" i="7"/>
  <c r="AP33" i="7"/>
  <c r="AO33" i="7"/>
  <c r="AP6" i="7"/>
  <c r="AO6" i="7"/>
  <c r="AP49" i="7"/>
  <c r="AO49" i="7"/>
  <c r="AP47" i="7"/>
  <c r="AO47" i="7"/>
  <c r="AP54" i="7"/>
  <c r="AO54" i="7"/>
  <c r="AP7" i="7"/>
  <c r="AO7" i="7"/>
  <c r="AP28" i="7"/>
  <c r="AO28" i="7"/>
  <c r="AP53" i="7"/>
  <c r="AO53" i="7"/>
  <c r="AP8" i="7"/>
  <c r="AO8" i="7"/>
  <c r="AP12" i="7"/>
  <c r="AO12" i="7"/>
  <c r="AP41" i="7"/>
  <c r="AO41" i="7"/>
  <c r="AP30" i="7"/>
  <c r="AO30" i="7"/>
  <c r="AP58" i="7"/>
  <c r="AO58" i="7"/>
  <c r="AP40" i="7"/>
  <c r="AO40" i="7"/>
  <c r="AP32" i="7"/>
  <c r="AO32" i="7"/>
  <c r="AP60" i="7"/>
  <c r="AO60" i="7"/>
  <c r="AP43" i="7"/>
  <c r="AO43" i="7"/>
  <c r="AP37" i="7"/>
  <c r="AO37" i="7"/>
  <c r="AP57" i="7"/>
  <c r="AO57" i="7"/>
  <c r="AP39" i="7"/>
  <c r="AO39" i="7"/>
  <c r="AP22" i="7"/>
  <c r="AO22" i="7"/>
  <c r="AP31" i="7"/>
  <c r="AO31" i="7"/>
  <c r="AP11" i="7"/>
  <c r="AO11" i="7"/>
  <c r="AP61" i="7"/>
  <c r="AO61" i="7"/>
  <c r="AP36" i="7"/>
  <c r="AO36" i="7"/>
  <c r="AP42" i="7"/>
  <c r="AO42" i="7"/>
  <c r="AP13" i="7"/>
  <c r="AO13" i="7"/>
  <c r="AP59" i="7"/>
  <c r="AO59" i="7"/>
  <c r="AP29" i="7"/>
  <c r="AO29" i="7"/>
  <c r="AP44" i="7"/>
  <c r="AO44" i="7"/>
  <c r="AP16" i="7"/>
  <c r="AO16" i="7"/>
  <c r="AP34" i="7"/>
  <c r="AO34" i="7"/>
  <c r="AP4" i="7"/>
  <c r="AO4" i="7"/>
  <c r="AP24" i="7"/>
  <c r="AO24" i="7"/>
  <c r="AP14" i="7"/>
  <c r="AO14" i="7"/>
  <c r="AP19" i="7"/>
  <c r="AO19" i="7"/>
  <c r="AP56" i="7"/>
  <c r="AO56" i="7"/>
  <c r="AP23" i="7"/>
  <c r="AO23" i="7"/>
  <c r="AP35" i="7"/>
  <c r="AO35" i="7"/>
  <c r="AP3" i="7"/>
  <c r="AO3" i="7"/>
  <c r="AP20" i="7"/>
  <c r="AO20" i="7"/>
  <c r="AP62" i="7"/>
  <c r="AO62" i="7"/>
  <c r="AP45" i="7"/>
  <c r="AO45" i="7"/>
  <c r="AP38" i="7"/>
  <c r="AO38" i="7"/>
  <c r="AP21" i="7"/>
  <c r="AO21" i="7"/>
  <c r="AP15" i="7"/>
  <c r="AO15" i="7"/>
  <c r="AP17" i="7"/>
  <c r="AO17" i="7"/>
  <c r="AP18" i="7"/>
  <c r="AO18" i="7"/>
  <c r="AP55" i="7"/>
  <c r="AO55" i="7"/>
  <c r="AG9" i="7"/>
  <c r="AG25" i="7"/>
  <c r="AG51" i="7"/>
  <c r="AG68" i="7"/>
  <c r="AG62" i="7"/>
  <c r="AG26" i="7"/>
  <c r="AG34" i="7"/>
  <c r="AG55" i="7"/>
  <c r="AG23" i="7"/>
  <c r="AG28" i="7"/>
  <c r="AG50" i="7"/>
  <c r="AG59" i="7"/>
  <c r="AG66" i="7"/>
  <c r="AG38" i="7"/>
  <c r="AG70" i="7"/>
  <c r="AG11" i="7"/>
  <c r="AG16" i="7"/>
  <c r="AG73" i="7"/>
  <c r="AG45" i="7"/>
  <c r="AG52" i="7"/>
  <c r="AG18" i="7"/>
  <c r="AG8" i="7"/>
  <c r="AG13" i="7"/>
  <c r="AG22" i="7"/>
  <c r="AG5" i="7"/>
  <c r="AG46" i="7"/>
  <c r="AG49" i="7"/>
  <c r="AG41" i="7"/>
  <c r="AG53" i="7"/>
  <c r="AG57" i="7"/>
  <c r="AG58" i="7"/>
  <c r="AG36" i="7"/>
  <c r="AG61" i="7"/>
  <c r="AG15" i="7"/>
  <c r="AG33" i="7"/>
  <c r="AG6" i="7"/>
  <c r="AG60" i="7"/>
  <c r="AG40" i="7"/>
  <c r="AG20" i="7"/>
  <c r="AG30" i="7"/>
  <c r="AG12" i="7"/>
  <c r="AG43" i="7"/>
  <c r="AG69" i="7"/>
  <c r="AG37" i="7"/>
  <c r="AG67" i="7"/>
  <c r="AG29" i="7"/>
  <c r="AG63" i="7"/>
  <c r="AG32" i="7"/>
  <c r="AG42" i="7"/>
  <c r="AG65" i="7"/>
  <c r="AG71" i="7"/>
  <c r="AG10" i="7"/>
  <c r="AG54" i="7"/>
  <c r="AG48" i="7"/>
  <c r="AG7" i="7"/>
  <c r="AG14" i="7"/>
  <c r="AG3" i="7"/>
  <c r="AG72" i="7"/>
  <c r="AG4" i="7"/>
  <c r="AG31" i="7"/>
  <c r="AG64" i="7"/>
  <c r="AG35" i="7"/>
  <c r="AG21" i="7"/>
  <c r="AG56" i="7"/>
  <c r="AG47" i="7"/>
  <c r="AG24" i="7"/>
  <c r="AG39" i="7"/>
  <c r="AG27" i="7"/>
  <c r="AG17" i="7"/>
  <c r="AG19" i="7"/>
  <c r="AG74" i="7"/>
  <c r="AG44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49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26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Gordon Elliott Williams</author>
  </authors>
  <commentList>
    <comment ref="E2" authorId="0" shapeId="0" xr:uid="{E23F3AA8-C32A-4608-82CD-08578D6C83C2}">
      <text>
        <r>
          <rPr>
            <b/>
            <sz val="9"/>
            <color indexed="81"/>
            <rFont val="Tahoma"/>
            <family val="2"/>
          </rPr>
          <t xml:space="preserve">Cost-Effectiveness Ratio=Total Cost/Revenue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Gordon Elliott Williams</author>
  </authors>
  <commentList>
    <comment ref="E2" authorId="0" shapeId="0" xr:uid="{AEC55CA9-1E5E-4DFC-A06B-D72CF476CEC9}">
      <text>
        <r>
          <rPr>
            <b/>
            <sz val="9"/>
            <color indexed="81"/>
            <rFont val="Tahoma"/>
            <family val="2"/>
          </rPr>
          <t xml:space="preserve">Cost-Effectiveness Ratio=Total Cost/Revenue
</t>
        </r>
      </text>
    </comment>
    <comment ref="F2" authorId="0" shapeId="0" xr:uid="{5F4FBC7B-9419-419F-A7FD-0AD981BCB526}">
      <text>
        <r>
          <rPr>
            <b/>
            <sz val="9"/>
            <color indexed="81"/>
            <rFont val="Tahoma"/>
            <family val="2"/>
          </rPr>
          <t xml:space="preserve">Cost-Effectiveness Ratio=Total Cost/Revenue
</t>
        </r>
      </text>
    </comment>
    <comment ref="AO2" authorId="0" shapeId="0" xr:uid="{5AF6D5AA-DAB8-4006-8990-44D05D1B5C14}">
      <text>
        <r>
          <rPr>
            <b/>
            <sz val="9"/>
            <color indexed="81"/>
            <rFont val="Tahoma"/>
            <family val="2"/>
          </rPr>
          <t xml:space="preserve">Cost-Effectiveness Ratio=Total Cost/Revenue
</t>
        </r>
      </text>
    </comment>
    <comment ref="AP2" authorId="0" shapeId="0" xr:uid="{5671AA9B-4533-4102-B628-C60E39F12469}">
      <text>
        <r>
          <rPr>
            <b/>
            <sz val="9"/>
            <color indexed="81"/>
            <rFont val="Tahoma"/>
            <family val="2"/>
          </rPr>
          <t xml:space="preserve">Cost-Effectiveness Ratio=Total Cost/Revenue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21C88B-7834-4DAC-8263-6BEB98A5A30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12ED111-3434-4CDC-BA22-43930C4D97FC}" name="WorksheetConnection_Master Data!$A$2:$E$62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MasterDataA2E621"/>
        </x15:connection>
      </ext>
    </extLst>
  </connection>
  <connection id="3" xr16:uid="{8B35D282-B9EE-41F1-BA48-83D2903FBDCC}" name="WorksheetConnection_Master Data!$AC$2:$AE$74" type="102" refreshedVersion="8" minRefreshableVersion="5">
    <extLst>
      <ext xmlns:x15="http://schemas.microsoft.com/office/spreadsheetml/2010/11/main" uri="{DE250136-89BD-433C-8126-D09CA5730AF9}">
        <x15:connection id="Range 3" autoDelete="1">
          <x15:rangePr sourceName="_xlcn.WorksheetConnection_MasterDataAC2AE741"/>
        </x15:connection>
      </ext>
    </extLst>
  </connection>
  <connection id="4" xr16:uid="{CADE893D-11A7-4480-ACA3-D9540933F42D}" name="WorksheetConnection_Master Data!$AK$2:$BD$329" type="102" refreshedVersion="8" minRefreshableVersion="5">
    <extLst>
      <ext xmlns:x15="http://schemas.microsoft.com/office/spreadsheetml/2010/11/main" uri="{DE250136-89BD-433C-8126-D09CA5730AF9}">
        <x15:connection id="Range 4" autoDelete="1">
          <x15:rangePr sourceName="_xlcn.WorksheetConnection_MasterDataAK2BD329"/>
        </x15:connection>
      </ext>
    </extLst>
  </connection>
  <connection id="5" xr16:uid="{C52961C0-F547-41B8-8A1B-78C28E83EA3D}" name="WorksheetConnection_Master Data!$P$2:$T$77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MasterDataP2T771"/>
        </x15:connection>
      </ext>
    </extLst>
  </connection>
  <connection id="6" xr16:uid="{8FDEAA7D-EAFA-4857-A9AE-09D0DE20B608}" name="WorksheetConnection_Master Data!$V$2:$AA$62" type="102" refreshedVersion="8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MasterDataV2AA62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Range 3].[Initial Contract Start MONTH].[All]}"/>
    <s v="{[Range 3].[Initial Contract Start YEAR].[All]}"/>
    <s v="{[Range 4].[Organization].[All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<sst xmlns="http://schemas.openxmlformats.org/spreadsheetml/2006/main" count="3570" uniqueCount="378">
  <si>
    <t>Silicon Valley Location</t>
  </si>
  <si>
    <t>Organization</t>
  </si>
  <si>
    <t>Initial Contract Start Date</t>
  </si>
  <si>
    <t>Tech Innovations Inc</t>
  </si>
  <si>
    <t>2019-05-01</t>
  </si>
  <si>
    <t>Data Dynamics Corp</t>
  </si>
  <si>
    <t>2018-10-15</t>
  </si>
  <si>
    <t>CyberTech Solutions</t>
  </si>
  <si>
    <t>2020-02-20</t>
  </si>
  <si>
    <t>CloudX Enterprises</t>
  </si>
  <si>
    <t>2017-12-10</t>
  </si>
  <si>
    <t>Future Systems Inc</t>
  </si>
  <si>
    <t>2019-08-05</t>
  </si>
  <si>
    <t>NovaGlobe Solutions</t>
  </si>
  <si>
    <t>2016-06-30</t>
  </si>
  <si>
    <t>Quantum Technologies</t>
  </si>
  <si>
    <t>2018-04-22</t>
  </si>
  <si>
    <t>Visionary Ventures</t>
  </si>
  <si>
    <t>2020-11-12</t>
  </si>
  <si>
    <t>Digital Frontier Inc</t>
  </si>
  <si>
    <t>2017-09-18</t>
  </si>
  <si>
    <t>AlphaWave Technologies</t>
  </si>
  <si>
    <t>2019-03-25</t>
  </si>
  <si>
    <t>NexGen Innovations</t>
  </si>
  <si>
    <t>2018-07-15</t>
  </si>
  <si>
    <t>Infinity Solutions</t>
  </si>
  <si>
    <t>2019-12-08</t>
  </si>
  <si>
    <t>TechSavvy Solutions</t>
  </si>
  <si>
    <t>2017-11-05</t>
  </si>
  <si>
    <t>DataBridge Systems</t>
  </si>
  <si>
    <t>2019-06-20</t>
  </si>
  <si>
    <t>CloudCom Services</t>
  </si>
  <si>
    <t>2018-08-30</t>
  </si>
  <si>
    <t>Innovatech Inc</t>
  </si>
  <si>
    <t>2017-10-10</t>
  </si>
  <si>
    <t>Binary Solutions</t>
  </si>
  <si>
    <t>2019-04-15</t>
  </si>
  <si>
    <t>NetGain Enterprises</t>
  </si>
  <si>
    <t>2018-09-25</t>
  </si>
  <si>
    <t>CodeCrafters Inc</t>
  </si>
  <si>
    <t>2020-01-08</t>
  </si>
  <si>
    <t>Quantum Leap Corp</t>
  </si>
  <si>
    <t>2017-08-12</t>
  </si>
  <si>
    <t>TechMasters Inc</t>
  </si>
  <si>
    <t>2019-02-28</t>
  </si>
  <si>
    <t>DataFusion Solutions</t>
  </si>
  <si>
    <t>2018-06-10</t>
  </si>
  <si>
    <t>MetaSolutions</t>
  </si>
  <si>
    <t>2019-10-20</t>
  </si>
  <si>
    <t>CyberSphere Inc</t>
  </si>
  <si>
    <t>2018-05-05</t>
  </si>
  <si>
    <t>GlobalTech Alliance</t>
  </si>
  <si>
    <t>2017-07-15</t>
  </si>
  <si>
    <t>Toronto Location</t>
  </si>
  <si>
    <t>Maple Leaf Solutions</t>
  </si>
  <si>
    <t>2018-09-10</t>
  </si>
  <si>
    <t>Toronto Tech Group</t>
  </si>
  <si>
    <t>2017-11-15</t>
  </si>
  <si>
    <t>CanTech Innovations</t>
  </si>
  <si>
    <t>2019-03-20</t>
  </si>
  <si>
    <t>Ontario Systems Inc</t>
  </si>
  <si>
    <t>2018-07-05</t>
  </si>
  <si>
    <t>Northern Lights Corp</t>
  </si>
  <si>
    <t>2019-02-18</t>
  </si>
  <si>
    <t>TrueNorth Technologies</t>
  </si>
  <si>
    <t>2017-12-30</t>
  </si>
  <si>
    <t>CanadaNet Solutions</t>
  </si>
  <si>
    <t>2018-10-22</t>
  </si>
  <si>
    <t>MapleSoft Solutions</t>
  </si>
  <si>
    <t>2019-05-12</t>
  </si>
  <si>
    <t>Great Lakes IT</t>
  </si>
  <si>
    <t>2017-08-28</t>
  </si>
  <si>
    <t>Ontario Innovations</t>
  </si>
  <si>
    <t>2018-06-15</t>
  </si>
  <si>
    <t>Toronto Data Systems</t>
  </si>
  <si>
    <t>2019-01-05</t>
  </si>
  <si>
    <t>NorthStar Solutions</t>
  </si>
  <si>
    <t>2018-11-20</t>
  </si>
  <si>
    <t>OntarioTech Inc</t>
  </si>
  <si>
    <t>TorontoTech Solutions</t>
  </si>
  <si>
    <t>2019-04-08</t>
  </si>
  <si>
    <t>MapleTech Group</t>
  </si>
  <si>
    <t>2018-08-25</t>
  </si>
  <si>
    <t>Ontario Networks Inc</t>
  </si>
  <si>
    <t>2019-06-30</t>
  </si>
  <si>
    <t>Toronto Innovators</t>
  </si>
  <si>
    <t>2018-12-15</t>
  </si>
  <si>
    <t>Maple Systems Inc</t>
  </si>
  <si>
    <t>2017-09-05</t>
  </si>
  <si>
    <t>Ontario Solutions</t>
  </si>
  <si>
    <t>2019-03-10</t>
  </si>
  <si>
    <t>CanConnect Solutions</t>
  </si>
  <si>
    <t>2018-05-20</t>
  </si>
  <si>
    <t>TorontoTech Group</t>
  </si>
  <si>
    <t>Ontario Data Systems</t>
  </si>
  <si>
    <t>2018-04-15</t>
  </si>
  <si>
    <t>MapleTech Inc</t>
  </si>
  <si>
    <t>2019-01-01</t>
  </si>
  <si>
    <t>Toronto Dynamics</t>
  </si>
  <si>
    <t>São Paulo Location</t>
  </si>
  <si>
    <t>BrazilSoft Solutions</t>
  </si>
  <si>
    <t>2017-06-20</t>
  </si>
  <si>
    <t>São Paulo Tech Group</t>
  </si>
  <si>
    <t>LatinTech Innovations</t>
  </si>
  <si>
    <t>2019-02-10</t>
  </si>
  <si>
    <t>BrazilNet Solutions</t>
  </si>
  <si>
    <t>2018-05-15</t>
  </si>
  <si>
    <t>SouthStar Tech</t>
  </si>
  <si>
    <t>2019-01-28</t>
  </si>
  <si>
    <t>RioTech Innovations</t>
  </si>
  <si>
    <t>2017-09-10</t>
  </si>
  <si>
    <t>São Paulo Dynamics</t>
  </si>
  <si>
    <t>2018-07-30</t>
  </si>
  <si>
    <t>BrazilData Systems</t>
  </si>
  <si>
    <t>2019-03-18</t>
  </si>
  <si>
    <t>MegaSoft Brazil</t>
  </si>
  <si>
    <t>São Paulo Solutions</t>
  </si>
  <si>
    <t>2018-09-22</t>
  </si>
  <si>
    <t>LatinNet Tech</t>
  </si>
  <si>
    <t>Brazil Innovations</t>
  </si>
  <si>
    <t>São Paulo Networks</t>
  </si>
  <si>
    <t>2017-10-30</t>
  </si>
  <si>
    <t>BrazilTech Group</t>
  </si>
  <si>
    <t>São Paulo Innovators</t>
  </si>
  <si>
    <t>2018-08-15</t>
  </si>
  <si>
    <t>Latin Dynamics</t>
  </si>
  <si>
    <t>2019-01-10</t>
  </si>
  <si>
    <t>RioNet Solutions</t>
  </si>
  <si>
    <t>2018-07-22</t>
  </si>
  <si>
    <t>BrazilTech Inc</t>
  </si>
  <si>
    <t>2017-12-05</t>
  </si>
  <si>
    <t>São Paulo Data Systems</t>
  </si>
  <si>
    <t>LatinNet Solutions</t>
  </si>
  <si>
    <t>RioTech Group</t>
  </si>
  <si>
    <t>2019-03-01</t>
  </si>
  <si>
    <t>Brazil Systems</t>
  </si>
  <si>
    <t>2018-09-12</t>
  </si>
  <si>
    <t>São Paulo Tech Inc</t>
  </si>
  <si>
    <t>2017-08-20</t>
  </si>
  <si>
    <t>Incident ID</t>
  </si>
  <si>
    <t>Service Request Date</t>
  </si>
  <si>
    <t>Completion Date</t>
  </si>
  <si>
    <t>Response Time (Hours)</t>
  </si>
  <si>
    <t>SV001</t>
  </si>
  <si>
    <t>2024-01-05</t>
  </si>
  <si>
    <t>2024-01-06</t>
  </si>
  <si>
    <t>SV002</t>
  </si>
  <si>
    <t>2024-02-10</t>
  </si>
  <si>
    <t>2024-02-12</t>
  </si>
  <si>
    <t>SV003</t>
  </si>
  <si>
    <t>2024-03-15</t>
  </si>
  <si>
    <t>2024-03-17</t>
  </si>
  <si>
    <t>SV004</t>
  </si>
  <si>
    <t>2024-04-20</t>
  </si>
  <si>
    <t>2024-04-21</t>
  </si>
  <si>
    <t>SV005</t>
  </si>
  <si>
    <t>2024-05-25</t>
  </si>
  <si>
    <t>2024-05-27</t>
  </si>
  <si>
    <t>SV006</t>
  </si>
  <si>
    <t>2024-06-30</t>
  </si>
  <si>
    <t>2024-07-02</t>
  </si>
  <si>
    <t>SV007</t>
  </si>
  <si>
    <t>2024-08-05</t>
  </si>
  <si>
    <t>2024-08-08</t>
  </si>
  <si>
    <t>SV008</t>
  </si>
  <si>
    <t>2024-09-10</t>
  </si>
  <si>
    <t>2024-09-12</t>
  </si>
  <si>
    <t>SV009</t>
  </si>
  <si>
    <t>2024-10-15</t>
  </si>
  <si>
    <t>2024-10-18</t>
  </si>
  <si>
    <t>SV010</t>
  </si>
  <si>
    <t>2024-11-20</t>
  </si>
  <si>
    <t>2024-11-22</t>
  </si>
  <si>
    <t>SV011</t>
  </si>
  <si>
    <t>2024-12-25</t>
  </si>
  <si>
    <t>2024-12-27</t>
  </si>
  <si>
    <t>SV012</t>
  </si>
  <si>
    <t>2025-01-30</t>
  </si>
  <si>
    <t>2025-02-01</t>
  </si>
  <si>
    <t>SV013</t>
  </si>
  <si>
    <t>2025-03-05</t>
  </si>
  <si>
    <t>2025-03-07</t>
  </si>
  <si>
    <t>SV014</t>
  </si>
  <si>
    <t>2025-04-10</t>
  </si>
  <si>
    <t>2025-04-12</t>
  </si>
  <si>
    <t>SV015</t>
  </si>
  <si>
    <t>2025-05-15</t>
  </si>
  <si>
    <t>2025-05-17</t>
  </si>
  <si>
    <t>SV016</t>
  </si>
  <si>
    <t>2025-06-20</t>
  </si>
  <si>
    <t>2025-06-22</t>
  </si>
  <si>
    <t>SV017</t>
  </si>
  <si>
    <t>2025-07-25</t>
  </si>
  <si>
    <t>2025-07-27</t>
  </si>
  <si>
    <t>SV018</t>
  </si>
  <si>
    <t>2025-08-30</t>
  </si>
  <si>
    <t>2025-09-01</t>
  </si>
  <si>
    <t>SV019</t>
  </si>
  <si>
    <t>2025-10-05</t>
  </si>
  <si>
    <t>2025-10-07</t>
  </si>
  <si>
    <t>SV020</t>
  </si>
  <si>
    <t>2025-11-10</t>
  </si>
  <si>
    <t>2025-11-13</t>
  </si>
  <si>
    <t>TO001</t>
  </si>
  <si>
    <t>TO002</t>
  </si>
  <si>
    <t>TO003</t>
  </si>
  <si>
    <t>TO004</t>
  </si>
  <si>
    <t>TO005</t>
  </si>
  <si>
    <t>TO006</t>
  </si>
  <si>
    <t>TO007</t>
  </si>
  <si>
    <t>TO008</t>
  </si>
  <si>
    <t>TO009</t>
  </si>
  <si>
    <t>TO010</t>
  </si>
  <si>
    <t>TO011</t>
  </si>
  <si>
    <t>TO012</t>
  </si>
  <si>
    <t>TO013</t>
  </si>
  <si>
    <t>TO014</t>
  </si>
  <si>
    <t>TO015</t>
  </si>
  <si>
    <t>TO016</t>
  </si>
  <si>
    <t>TO017</t>
  </si>
  <si>
    <t>TO018</t>
  </si>
  <si>
    <t>TO019</t>
  </si>
  <si>
    <t>TO020</t>
  </si>
  <si>
    <t>SP001</t>
  </si>
  <si>
    <t>SP002</t>
  </si>
  <si>
    <t>SP003</t>
  </si>
  <si>
    <t>SP004</t>
  </si>
  <si>
    <t>SP005</t>
  </si>
  <si>
    <t>SP006</t>
  </si>
  <si>
    <t>SP007</t>
  </si>
  <si>
    <t>SP008</t>
  </si>
  <si>
    <t>SP009</t>
  </si>
  <si>
    <t>SP010</t>
  </si>
  <si>
    <t>SP011</t>
  </si>
  <si>
    <t>SP012</t>
  </si>
  <si>
    <t>SP013</t>
  </si>
  <si>
    <t>SP014</t>
  </si>
  <si>
    <t>SP015</t>
  </si>
  <si>
    <t>SP016</t>
  </si>
  <si>
    <t>SP017</t>
  </si>
  <si>
    <t>SP018</t>
  </si>
  <si>
    <t>SP019</t>
  </si>
  <si>
    <t>SP020</t>
  </si>
  <si>
    <t>Entry</t>
  </si>
  <si>
    <t>Promoter (9-10)</t>
  </si>
  <si>
    <t>Passive (7-8)</t>
  </si>
  <si>
    <t>Detractor (0-6)</t>
  </si>
  <si>
    <t>OntarioTech Group</t>
  </si>
  <si>
    <t>BrazilSoft Group</t>
  </si>
  <si>
    <t>Project Summary</t>
  </si>
  <si>
    <t>Start Date</t>
  </si>
  <si>
    <t>Completion Time (Days)</t>
  </si>
  <si>
    <t>Upgrade CRM system to enhance customer service</t>
  </si>
  <si>
    <t>2023-01-15</t>
  </si>
  <si>
    <t>2023-02-15</t>
  </si>
  <si>
    <t>Implement data analytics platform</t>
  </si>
  <si>
    <t>2023-03-20</t>
  </si>
  <si>
    <t>2023-05-01</t>
  </si>
  <si>
    <t>Develop mobile app for internal use</t>
  </si>
  <si>
    <t>2023-05-10</t>
  </si>
  <si>
    <t>-</t>
  </si>
  <si>
    <t>Migrate to cloud infrastructure</t>
  </si>
  <si>
    <t>2023-06-25</t>
  </si>
  <si>
    <t>2023-07-25</t>
  </si>
  <si>
    <t>Website redesign and optimization</t>
  </si>
  <si>
    <t>2023-08-15</t>
  </si>
  <si>
    <t>Implement ERP system</t>
  </si>
  <si>
    <t>2023-09-20</t>
  </si>
  <si>
    <t>2023-10-20</t>
  </si>
  <si>
    <t>Develop AI-driven chatbot</t>
  </si>
  <si>
    <t>2023-11-05</t>
  </si>
  <si>
    <t>Upgrade network infrastructure</t>
  </si>
  <si>
    <t>Deploy cybersecurity solution</t>
  </si>
  <si>
    <t>2024-04-15</t>
  </si>
  <si>
    <t>Develop custom software solution</t>
  </si>
  <si>
    <t>2024-05-20</t>
  </si>
  <si>
    <t>2024-07-10</t>
  </si>
  <si>
    <t>Implement HR management system</t>
  </si>
  <si>
    <t>2024-07-25</t>
  </si>
  <si>
    <t>Upgrade database infrastructure</t>
  </si>
  <si>
    <t>2024-10-10</t>
  </si>
  <si>
    <t>Develop e-commerce platform</t>
  </si>
  <si>
    <t>2024-11-15</t>
  </si>
  <si>
    <t>Deploy business intelligence solution</t>
  </si>
  <si>
    <t>2025-01-20</t>
  </si>
  <si>
    <t>2025-03-01</t>
  </si>
  <si>
    <t>Upgrade telecommunication system</t>
  </si>
  <si>
    <t>2025-03-25</t>
  </si>
  <si>
    <t>2025-05-05</t>
  </si>
  <si>
    <t>Implement supply chain management system</t>
  </si>
  <si>
    <t>2025-06-01</t>
  </si>
  <si>
    <t>2025-07-10</t>
  </si>
  <si>
    <t>Develop customer portal</t>
  </si>
  <si>
    <t>2025-08-15</t>
  </si>
  <si>
    <t>Upgrade data storage infrastructure</t>
  </si>
  <si>
    <t>2025-09-20</t>
  </si>
  <si>
    <t>2025-11-01</t>
  </si>
  <si>
    <t>Develop mobile payment application</t>
  </si>
  <si>
    <t>2025-11-25</t>
  </si>
  <si>
    <t>2026-01-25</t>
  </si>
  <si>
    <t>Implement machine learning solution</t>
  </si>
  <si>
    <t>2026-02-10</t>
  </si>
  <si>
    <t>Upgrade ERP system</t>
  </si>
  <si>
    <t>2023-02-28</t>
  </si>
  <si>
    <t>Develop project management software</t>
  </si>
  <si>
    <t>2023-05-15</t>
  </si>
  <si>
    <t>Implement CRM solution</t>
  </si>
  <si>
    <t>2023-08-10</t>
  </si>
  <si>
    <t>2023-11-10</t>
  </si>
  <si>
    <t>Develop mobile app for customer engagement</t>
  </si>
  <si>
    <t>2024-04-30</t>
  </si>
  <si>
    <t>Upgrade website infrastructure</t>
  </si>
  <si>
    <t>2024-07-20</t>
  </si>
  <si>
    <t>2024-11-05</t>
  </si>
  <si>
    <t>Upgrade CRM system</t>
  </si>
  <si>
    <t>2025-03-15</t>
  </si>
  <si>
    <t>2025-05-25</t>
  </si>
  <si>
    <t>Total Cost (USD)</t>
  </si>
  <si>
    <t>Revenue (USD)</t>
  </si>
  <si>
    <t>Cost Effectiveness (%)</t>
  </si>
  <si>
    <t>Grand Total</t>
  </si>
  <si>
    <t>Sum of Total Cost (USD)</t>
  </si>
  <si>
    <t>Sum of Revenue (USD)</t>
  </si>
  <si>
    <t>Sum of Cost Effectiveness (%)</t>
  </si>
  <si>
    <t>LOCATION</t>
  </si>
  <si>
    <t>SILICON VALLEY</t>
  </si>
  <si>
    <t>TORONTO</t>
  </si>
  <si>
    <t>SAO PAULO</t>
  </si>
  <si>
    <t>COST EFFECTIVENESS BY LOCATION</t>
  </si>
  <si>
    <t>Count of Organization</t>
  </si>
  <si>
    <t>KPI</t>
  </si>
  <si>
    <t>PROFIT MARGIN KPI</t>
  </si>
  <si>
    <t>Sum of PROFIT MARGIN KPI</t>
  </si>
  <si>
    <t>COST EFFECTIVENESS</t>
  </si>
  <si>
    <t>PROJECT COMPLETION TIMELINES</t>
  </si>
  <si>
    <t>Count of Project Summary</t>
  </si>
  <si>
    <t>Count of Start Date</t>
  </si>
  <si>
    <t>Count of Completion Date</t>
  </si>
  <si>
    <t>Count of Completion Time (Days)</t>
  </si>
  <si>
    <t>PROJECT COMPLETION TIMELINES ANALYSIS</t>
  </si>
  <si>
    <t>NET PROMOTER SCORE</t>
  </si>
  <si>
    <t>Sum of Promoter (9-10)</t>
  </si>
  <si>
    <t>Sum of Passive (7-8)</t>
  </si>
  <si>
    <t>Sum of Detractor (0-6)</t>
  </si>
  <si>
    <t>CLIENT RESPONSE TIME</t>
  </si>
  <si>
    <t>Count of Incident ID</t>
  </si>
  <si>
    <t>Count of Service Request Date</t>
  </si>
  <si>
    <t>Sum of Response Time (Hours)</t>
  </si>
  <si>
    <t>CLIENT RESPONSE TIME ANALYSIS</t>
  </si>
  <si>
    <t>Client Contract List</t>
  </si>
  <si>
    <t>Count of Initial Contract Start Date</t>
  </si>
  <si>
    <t>Initial Contract Start MONTH</t>
  </si>
  <si>
    <t>October</t>
  </si>
  <si>
    <t>November</t>
  </si>
  <si>
    <t>December</t>
  </si>
  <si>
    <t>January</t>
  </si>
  <si>
    <t>April</t>
  </si>
  <si>
    <t>May</t>
  </si>
  <si>
    <t>June</t>
  </si>
  <si>
    <t>September</t>
  </si>
  <si>
    <t>February</t>
  </si>
  <si>
    <t>March</t>
  </si>
  <si>
    <t>August</t>
  </si>
  <si>
    <t>Initial Contract Start YEAR</t>
  </si>
  <si>
    <t>Count of Initial Contract Start MONTH</t>
  </si>
  <si>
    <t>Count of Initial Contract Start YEAR</t>
  </si>
  <si>
    <t>All</t>
  </si>
  <si>
    <t>CLIENT CONTRACT LIST ANALYSIS</t>
  </si>
  <si>
    <t>COST EFFECTIVNESS</t>
  </si>
  <si>
    <t>COMBINED ANALYSIS</t>
  </si>
  <si>
    <t>CLIENT CONTRACT LIST</t>
  </si>
  <si>
    <t>Project Completion Completion Date</t>
  </si>
  <si>
    <t>Project Completion Start Date</t>
  </si>
  <si>
    <t>Project Completion Time (Days)</t>
  </si>
  <si>
    <t>Count of Project Completion Start Date</t>
  </si>
  <si>
    <t>Count of Project Completion Completion Date</t>
  </si>
  <si>
    <t>Count of Project Completion Time (Days)</t>
  </si>
  <si>
    <t>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</si>
</sst>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7" formatCode="mm/dd/yy;@"/>
    <numFmt numFmtId="171" formatCode="mmmm;@"/>
    <numFmt numFmtId="173" formatCode="yyyy;@"/>
  </numFmts>
  <fonts count="15" x14ac:knownFonts="1">
    <font>
      <sz val="10"/>
      <name val="Arial"/>
      <family val="2"/>
    </font>
    <font>
      <sz val="10"/>
      <name val="Arial"/>
    </font>
    <font>
      <b/>
      <sz val="18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8"/>
      <name val="Arial"/>
      <family val="2"/>
    </font>
    <font>
      <b/>
      <sz val="18"/>
      <name val="Arial"/>
      <family val="2"/>
    </font>
    <font>
      <sz val="18"/>
      <name val="Times New Roman"/>
      <family val="1"/>
    </font>
    <font>
      <b/>
      <sz val="9"/>
      <color indexed="81"/>
      <name val="Tahoma"/>
      <family val="2"/>
    </font>
    <font>
      <b/>
      <sz val="10"/>
      <name val="Arial"/>
      <family val="2"/>
    </font>
    <font>
      <b/>
      <sz val="18"/>
      <color theme="0"/>
      <name val="Times New Roman"/>
      <family val="1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8"/>
      <name val="Arial"/>
      <family val="2"/>
    </font>
    <font>
      <b/>
      <sz val="18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Border="0" applyAlignment="0" applyProtection="0"/>
    <xf numFmtId="9" fontId="1" fillId="0" borderId="0" applyBorder="0" applyAlignment="0" applyProtection="0"/>
  </cellStyleXfs>
  <cellXfs count="109">
    <xf numFmtId="0" fontId="0" fillId="0" borderId="0" xfId="0"/>
    <xf numFmtId="0" fontId="2" fillId="0" borderId="0" xfId="0" applyFont="1" applyAlignment="1">
      <alignment wrapText="1"/>
    </xf>
    <xf numFmtId="0" fontId="6" fillId="0" borderId="0" xfId="0" applyFont="1"/>
    <xf numFmtId="0" fontId="2" fillId="0" borderId="0" xfId="0" applyFont="1" applyAlignment="1">
      <alignment horizontal="center" wrapText="1"/>
    </xf>
    <xf numFmtId="0" fontId="5" fillId="0" borderId="0" xfId="0" applyFont="1"/>
    <xf numFmtId="0" fontId="2" fillId="0" borderId="0" xfId="0" applyFont="1"/>
    <xf numFmtId="0" fontId="3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49" fontId="4" fillId="0" borderId="0" xfId="0" applyNumberFormat="1" applyFont="1" applyAlignment="1">
      <alignment wrapText="1"/>
    </xf>
    <xf numFmtId="0" fontId="0" fillId="2" borderId="0" xfId="0" applyFill="1"/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 vertical="center"/>
    </xf>
    <xf numFmtId="9" fontId="1" fillId="0" borderId="8" xfId="2" applyBorder="1" applyAlignment="1">
      <alignment vertical="center" wrapText="1"/>
    </xf>
    <xf numFmtId="44" fontId="1" fillId="0" borderId="7" xfId="1" applyBorder="1" applyAlignment="1">
      <alignment vertical="center" wrapText="1"/>
    </xf>
    <xf numFmtId="44" fontId="1" fillId="0" borderId="4" xfId="1" applyBorder="1" applyAlignment="1">
      <alignment vertical="center" wrapText="1"/>
    </xf>
    <xf numFmtId="44" fontId="1" fillId="0" borderId="12" xfId="1" applyBorder="1" applyAlignment="1">
      <alignment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1" fillId="0" borderId="4" xfId="2" applyBorder="1" applyAlignment="1">
      <alignment vertical="center" wrapText="1"/>
    </xf>
    <xf numFmtId="9" fontId="1" fillId="0" borderId="10" xfId="2" applyBorder="1" applyAlignment="1">
      <alignment vertical="center" wrapText="1"/>
    </xf>
    <xf numFmtId="9" fontId="1" fillId="0" borderId="13" xfId="2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4" fontId="1" fillId="0" borderId="14" xfId="1" applyBorder="1" applyAlignment="1">
      <alignment vertical="center" wrapText="1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9" fillId="0" borderId="0" xfId="0" applyFont="1"/>
    <xf numFmtId="0" fontId="9" fillId="0" borderId="0" xfId="0" pivotButton="1" applyFont="1"/>
    <xf numFmtId="0" fontId="9" fillId="0" borderId="0" xfId="0" applyFont="1" applyAlignment="1">
      <alignment horizontal="left"/>
    </xf>
    <xf numFmtId="0" fontId="9" fillId="0" borderId="0" xfId="0" applyNumberFormat="1" applyFont="1"/>
    <xf numFmtId="44" fontId="9" fillId="0" borderId="0" xfId="0" applyNumberFormat="1" applyFont="1" applyFill="1"/>
    <xf numFmtId="2" fontId="9" fillId="0" borderId="0" xfId="0" applyNumberFormat="1" applyFont="1" applyFill="1"/>
    <xf numFmtId="49" fontId="4" fillId="0" borderId="7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/>
    </xf>
    <xf numFmtId="0" fontId="11" fillId="6" borderId="2" xfId="0" applyFont="1" applyFill="1" applyBorder="1" applyAlignment="1">
      <alignment horizontal="center"/>
    </xf>
    <xf numFmtId="0" fontId="11" fillId="6" borderId="3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12" fillId="6" borderId="2" xfId="0" applyFont="1" applyFill="1" applyBorder="1" applyAlignment="1">
      <alignment horizontal="center"/>
    </xf>
    <xf numFmtId="0" fontId="12" fillId="6" borderId="3" xfId="0" applyFont="1" applyFill="1" applyBorder="1" applyAlignment="1">
      <alignment horizontal="center"/>
    </xf>
    <xf numFmtId="167" fontId="4" fillId="0" borderId="8" xfId="0" applyNumberFormat="1" applyFont="1" applyBorder="1" applyAlignment="1">
      <alignment horizontal="center" vertical="center" wrapText="1"/>
    </xf>
    <xf numFmtId="167" fontId="4" fillId="0" borderId="10" xfId="0" applyNumberFormat="1" applyFont="1" applyBorder="1" applyAlignment="1">
      <alignment horizontal="center" vertical="center" wrapText="1"/>
    </xf>
    <xf numFmtId="167" fontId="4" fillId="0" borderId="13" xfId="0" applyNumberFormat="1" applyFont="1" applyBorder="1" applyAlignment="1">
      <alignment horizontal="center" vertical="center" wrapText="1"/>
    </xf>
    <xf numFmtId="167" fontId="4" fillId="0" borderId="4" xfId="0" applyNumberFormat="1" applyFont="1" applyBorder="1" applyAlignment="1">
      <alignment horizontal="center" vertical="center" wrapText="1"/>
    </xf>
    <xf numFmtId="171" fontId="4" fillId="0" borderId="8" xfId="0" applyNumberFormat="1" applyFont="1" applyBorder="1" applyAlignment="1">
      <alignment horizontal="center" vertical="center" wrapText="1"/>
    </xf>
    <xf numFmtId="173" fontId="4" fillId="0" borderId="8" xfId="0" applyNumberFormat="1" applyFont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44" fontId="1" fillId="0" borderId="0" xfId="1" applyAlignment="1">
      <alignment vertical="center"/>
    </xf>
    <xf numFmtId="0" fontId="3" fillId="8" borderId="6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center" vertical="center" wrapText="1"/>
    </xf>
    <xf numFmtId="44" fontId="1" fillId="0" borderId="4" xfId="1" applyBorder="1" applyAlignment="1">
      <alignment vertical="center"/>
    </xf>
    <xf numFmtId="0" fontId="0" fillId="0" borderId="4" xfId="0" applyBorder="1" applyAlignment="1">
      <alignment vertical="center"/>
    </xf>
    <xf numFmtId="171" fontId="4" fillId="0" borderId="4" xfId="0" applyNumberFormat="1" applyFont="1" applyBorder="1" applyAlignment="1">
      <alignment horizontal="center" vertical="center" wrapText="1"/>
    </xf>
    <xf numFmtId="173" fontId="4" fillId="0" borderId="4" xfId="0" applyNumberFormat="1" applyFont="1" applyBorder="1" applyAlignment="1">
      <alignment horizontal="center" vertical="center" wrapText="1"/>
    </xf>
    <xf numFmtId="9" fontId="1" fillId="0" borderId="7" xfId="2" applyBorder="1" applyAlignment="1">
      <alignment vertical="center" wrapText="1"/>
    </xf>
    <xf numFmtId="44" fontId="1" fillId="0" borderId="8" xfId="1" applyBorder="1" applyAlignment="1">
      <alignment vertical="center" wrapText="1"/>
    </xf>
    <xf numFmtId="0" fontId="3" fillId="8" borderId="9" xfId="0" applyFont="1" applyFill="1" applyBorder="1" applyAlignment="1">
      <alignment horizontal="center" vertical="center" wrapText="1"/>
    </xf>
    <xf numFmtId="44" fontId="1" fillId="0" borderId="10" xfId="1" applyBorder="1" applyAlignment="1">
      <alignment vertical="center" wrapText="1"/>
    </xf>
    <xf numFmtId="0" fontId="3" fillId="3" borderId="9" xfId="0" applyFont="1" applyFill="1" applyBorder="1" applyAlignment="1">
      <alignment horizontal="center" vertical="center" wrapText="1"/>
    </xf>
    <xf numFmtId="173" fontId="4" fillId="0" borderId="10" xfId="0" applyNumberFormat="1" applyFont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3" fillId="10" borderId="9" xfId="0" applyFont="1" applyFill="1" applyBorder="1" applyAlignment="1">
      <alignment horizontal="center" vertical="center" wrapText="1"/>
    </xf>
    <xf numFmtId="0" fontId="3" fillId="11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3" fillId="11" borderId="11" xfId="0" applyFont="1" applyFill="1" applyBorder="1" applyAlignment="1">
      <alignment horizontal="center" vertical="center" wrapText="1"/>
    </xf>
    <xf numFmtId="44" fontId="1" fillId="0" borderId="12" xfId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</cellXfs>
  <cellStyles count="3">
    <cellStyle name="Currency" xfId="1" builtinId="4"/>
    <cellStyle name="Normal" xfId="0" builtinId="0"/>
    <cellStyle name="Percent" xfId="2" builtinId="5"/>
  </cellStyles>
  <dxfs count="2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[Unit 2 Assignment Raw Data WITH ANALYSIS.xlsx]CLIENT CONTRACT LIST ANALYSIS!PivotTable7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CLIENT CONTRACT LIST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'CLIENT CONTRACT LIST ANALYSIS'!$B$5</c:f>
              <c:strCache>
                <c:ptCount val="1"/>
                <c:pt idx="0">
                  <c:v>Count of Organization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'CLIENT CONTRACT LIST ANALYSIS'!$A$6:$A$9</c:f>
              <c:strCache>
                <c:ptCount val="3"/>
                <c:pt idx="0">
                  <c:v>SAO PAULO</c:v>
                </c:pt>
                <c:pt idx="1">
                  <c:v>SILICON VALLEY</c:v>
                </c:pt>
                <c:pt idx="2">
                  <c:v>TORONTO</c:v>
                </c:pt>
              </c:strCache>
            </c:strRef>
          </c:cat>
          <c:val>
            <c:numRef>
              <c:f>'CLIENT CONTRACT LIST ANALYSIS'!$B$6:$B$9</c:f>
              <c:numCache>
                <c:formatCode>General</c:formatCode>
                <c:ptCount val="3"/>
                <c:pt idx="0">
                  <c:v>23</c:v>
                </c:pt>
                <c:pt idx="1">
                  <c:v>25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E3-45BB-A498-A6E3BE03CA5F}"/>
            </c:ext>
          </c:extLst>
        </c:ser>
        <c:ser>
          <c:idx val="1"/>
          <c:order val="1"/>
          <c:tx>
            <c:strRef>
              <c:f>'CLIENT CONTRACT LIST ANALYSIS'!$C$5</c:f>
              <c:strCache>
                <c:ptCount val="1"/>
                <c:pt idx="0">
                  <c:v>Count of Initial Contract Start Date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'CLIENT CONTRACT LIST ANALYSIS'!$A$6:$A$9</c:f>
              <c:strCache>
                <c:ptCount val="3"/>
                <c:pt idx="0">
                  <c:v>SAO PAULO</c:v>
                </c:pt>
                <c:pt idx="1">
                  <c:v>SILICON VALLEY</c:v>
                </c:pt>
                <c:pt idx="2">
                  <c:v>TORONTO</c:v>
                </c:pt>
              </c:strCache>
            </c:strRef>
          </c:cat>
          <c:val>
            <c:numRef>
              <c:f>'CLIENT CONTRACT LIST ANALYSIS'!$C$6:$C$9</c:f>
              <c:numCache>
                <c:formatCode>General</c:formatCode>
                <c:ptCount val="3"/>
                <c:pt idx="0">
                  <c:v>23</c:v>
                </c:pt>
                <c:pt idx="1">
                  <c:v>25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E3-45BB-A498-A6E3BE03CA5F}"/>
            </c:ext>
          </c:extLst>
        </c:ser>
        <c:ser>
          <c:idx val="2"/>
          <c:order val="2"/>
          <c:tx>
            <c:strRef>
              <c:f>'CLIENT CONTRACT LIST ANALYSIS'!$D$5</c:f>
              <c:strCache>
                <c:ptCount val="1"/>
                <c:pt idx="0">
                  <c:v>Count of Initial Contract Start YEAR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'CLIENT CONTRACT LIST ANALYSIS'!$A$6:$A$9</c:f>
              <c:strCache>
                <c:ptCount val="3"/>
                <c:pt idx="0">
                  <c:v>SAO PAULO</c:v>
                </c:pt>
                <c:pt idx="1">
                  <c:v>SILICON VALLEY</c:v>
                </c:pt>
                <c:pt idx="2">
                  <c:v>TORONTO</c:v>
                </c:pt>
              </c:strCache>
            </c:strRef>
          </c:cat>
          <c:val>
            <c:numRef>
              <c:f>'CLIENT CONTRACT LIST ANALYSIS'!$D$6:$D$9</c:f>
              <c:numCache>
                <c:formatCode>General</c:formatCode>
                <c:ptCount val="3"/>
                <c:pt idx="0">
                  <c:v>23</c:v>
                </c:pt>
                <c:pt idx="1">
                  <c:v>25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E3-45BB-A498-A6E3BE03CA5F}"/>
            </c:ext>
          </c:extLst>
        </c:ser>
        <c:ser>
          <c:idx val="3"/>
          <c:order val="3"/>
          <c:tx>
            <c:strRef>
              <c:f>'CLIENT CONTRACT LIST ANALYSIS'!$E$5</c:f>
              <c:strCache>
                <c:ptCount val="1"/>
                <c:pt idx="0">
                  <c:v>Count of Initial Contract Start MONTH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'CLIENT CONTRACT LIST ANALYSIS'!$A$6:$A$9</c:f>
              <c:strCache>
                <c:ptCount val="3"/>
                <c:pt idx="0">
                  <c:v>SAO PAULO</c:v>
                </c:pt>
                <c:pt idx="1">
                  <c:v>SILICON VALLEY</c:v>
                </c:pt>
                <c:pt idx="2">
                  <c:v>TORONTO</c:v>
                </c:pt>
              </c:strCache>
            </c:strRef>
          </c:cat>
          <c:val>
            <c:numRef>
              <c:f>'CLIENT CONTRACT LIST ANALYSIS'!$E$6:$E$9</c:f>
              <c:numCache>
                <c:formatCode>General</c:formatCode>
                <c:ptCount val="3"/>
                <c:pt idx="0">
                  <c:v>23</c:v>
                </c:pt>
                <c:pt idx="1">
                  <c:v>25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E3-45BB-A498-A6E3BE03C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08360591"/>
        <c:axId val="808345711"/>
        <c:axId val="857844415"/>
      </c:bar3DChart>
      <c:catAx>
        <c:axId val="808360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345711"/>
        <c:crosses val="autoZero"/>
        <c:auto val="1"/>
        <c:lblAlgn val="ctr"/>
        <c:lblOffset val="100"/>
        <c:noMultiLvlLbl val="0"/>
      </c:catAx>
      <c:valAx>
        <c:axId val="80834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360591"/>
        <c:crosses val="autoZero"/>
        <c:crossBetween val="between"/>
      </c:valAx>
      <c:serAx>
        <c:axId val="8578444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345711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[Unit 2 Assignment Raw Data WITH ANALYSIS.xlsx]CLIENT RESPONSE TIME 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CLIENT RESPONSE TIME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'CLIENT RESPONSE TIME ANALYSIS'!$B$2</c:f>
              <c:strCache>
                <c:ptCount val="1"/>
                <c:pt idx="0">
                  <c:v>Count of Incident ID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'CLIENT RESPONSE TIME ANALYSIS'!$A$3:$A$6</c:f>
              <c:strCache>
                <c:ptCount val="3"/>
                <c:pt idx="0">
                  <c:v>SAO PAULO</c:v>
                </c:pt>
                <c:pt idx="1">
                  <c:v>SILICON VALLEY</c:v>
                </c:pt>
                <c:pt idx="2">
                  <c:v>TORONTO</c:v>
                </c:pt>
              </c:strCache>
            </c:strRef>
          </c:cat>
          <c:val>
            <c:numRef>
              <c:f>'CLIENT RESPONSE TIME ANALYSIS'!$B$3:$B$6</c:f>
              <c:numCache>
                <c:formatCode>General</c:formatCode>
                <c:ptCount val="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78-452F-A892-B02BCFDAE586}"/>
            </c:ext>
          </c:extLst>
        </c:ser>
        <c:ser>
          <c:idx val="1"/>
          <c:order val="1"/>
          <c:tx>
            <c:strRef>
              <c:f>'CLIENT RESPONSE TIME ANALYSIS'!$C$2</c:f>
              <c:strCache>
                <c:ptCount val="1"/>
                <c:pt idx="0">
                  <c:v>Count of Organization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'CLIENT RESPONSE TIME ANALYSIS'!$A$3:$A$6</c:f>
              <c:strCache>
                <c:ptCount val="3"/>
                <c:pt idx="0">
                  <c:v>SAO PAULO</c:v>
                </c:pt>
                <c:pt idx="1">
                  <c:v>SILICON VALLEY</c:v>
                </c:pt>
                <c:pt idx="2">
                  <c:v>TORONTO</c:v>
                </c:pt>
              </c:strCache>
            </c:strRef>
          </c:cat>
          <c:val>
            <c:numRef>
              <c:f>'CLIENT RESPONSE TIME ANALYSIS'!$C$3:$C$6</c:f>
              <c:numCache>
                <c:formatCode>General</c:formatCode>
                <c:ptCount val="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78-452F-A892-B02BCFDAE586}"/>
            </c:ext>
          </c:extLst>
        </c:ser>
        <c:ser>
          <c:idx val="2"/>
          <c:order val="2"/>
          <c:tx>
            <c:strRef>
              <c:f>'CLIENT RESPONSE TIME ANALYSIS'!$D$2</c:f>
              <c:strCache>
                <c:ptCount val="1"/>
                <c:pt idx="0">
                  <c:v>Count of Service Request Date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'CLIENT RESPONSE TIME ANALYSIS'!$A$3:$A$6</c:f>
              <c:strCache>
                <c:ptCount val="3"/>
                <c:pt idx="0">
                  <c:v>SAO PAULO</c:v>
                </c:pt>
                <c:pt idx="1">
                  <c:v>SILICON VALLEY</c:v>
                </c:pt>
                <c:pt idx="2">
                  <c:v>TORONTO</c:v>
                </c:pt>
              </c:strCache>
            </c:strRef>
          </c:cat>
          <c:val>
            <c:numRef>
              <c:f>'CLIENT RESPONSE TIME ANALYSIS'!$D$3:$D$6</c:f>
              <c:numCache>
                <c:formatCode>General</c:formatCode>
                <c:ptCount val="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78-452F-A892-B02BCFDAE586}"/>
            </c:ext>
          </c:extLst>
        </c:ser>
        <c:ser>
          <c:idx val="3"/>
          <c:order val="3"/>
          <c:tx>
            <c:strRef>
              <c:f>'CLIENT RESPONSE TIME ANALYSIS'!$E$2</c:f>
              <c:strCache>
                <c:ptCount val="1"/>
                <c:pt idx="0">
                  <c:v>Count of Completion Date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'CLIENT RESPONSE TIME ANALYSIS'!$A$3:$A$6</c:f>
              <c:strCache>
                <c:ptCount val="3"/>
                <c:pt idx="0">
                  <c:v>SAO PAULO</c:v>
                </c:pt>
                <c:pt idx="1">
                  <c:v>SILICON VALLEY</c:v>
                </c:pt>
                <c:pt idx="2">
                  <c:v>TORONTO</c:v>
                </c:pt>
              </c:strCache>
            </c:strRef>
          </c:cat>
          <c:val>
            <c:numRef>
              <c:f>'CLIENT RESPONSE TIME ANALYSIS'!$E$3:$E$6</c:f>
              <c:numCache>
                <c:formatCode>General</c:formatCode>
                <c:ptCount val="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78-452F-A892-B02BCFDAE586}"/>
            </c:ext>
          </c:extLst>
        </c:ser>
        <c:ser>
          <c:idx val="4"/>
          <c:order val="4"/>
          <c:tx>
            <c:strRef>
              <c:f>'CLIENT RESPONSE TIME ANALYSIS'!$F$2</c:f>
              <c:strCache>
                <c:ptCount val="1"/>
                <c:pt idx="0">
                  <c:v>Sum of Response Time (Hours)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'CLIENT RESPONSE TIME ANALYSIS'!$A$3:$A$6</c:f>
              <c:strCache>
                <c:ptCount val="3"/>
                <c:pt idx="0">
                  <c:v>SAO PAULO</c:v>
                </c:pt>
                <c:pt idx="1">
                  <c:v>SILICON VALLEY</c:v>
                </c:pt>
                <c:pt idx="2">
                  <c:v>TORONTO</c:v>
                </c:pt>
              </c:strCache>
            </c:strRef>
          </c:cat>
          <c:val>
            <c:numRef>
              <c:f>'CLIENT RESPONSE TIME ANALYSIS'!$F$3:$F$6</c:f>
              <c:numCache>
                <c:formatCode>General</c:formatCode>
                <c:ptCount val="3"/>
                <c:pt idx="0">
                  <c:v>61</c:v>
                </c:pt>
                <c:pt idx="1">
                  <c:v>59</c:v>
                </c:pt>
                <c:pt idx="2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78-452F-A892-B02BCFDAE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5799599"/>
        <c:axId val="35818319"/>
        <c:axId val="0"/>
      </c:bar3DChart>
      <c:catAx>
        <c:axId val="35799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18319"/>
        <c:crosses val="autoZero"/>
        <c:auto val="1"/>
        <c:lblAlgn val="ctr"/>
        <c:lblOffset val="100"/>
        <c:noMultiLvlLbl val="0"/>
      </c:catAx>
      <c:valAx>
        <c:axId val="3581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9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[Unit 2 Assignment Raw Data WITH ANALYSIS.xlsx]NET PROMOTER SCORE 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PROMOTER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'NET PROMOTER SCORE ANALYSIS'!$B$2</c:f>
              <c:strCache>
                <c:ptCount val="1"/>
                <c:pt idx="0">
                  <c:v>Count of Organization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'NET PROMOTER SCORE ANALYSIS'!$A$3:$A$6</c:f>
              <c:strCache>
                <c:ptCount val="3"/>
                <c:pt idx="0">
                  <c:v>SAO PAULO</c:v>
                </c:pt>
                <c:pt idx="1">
                  <c:v>SILICON VALLEY</c:v>
                </c:pt>
                <c:pt idx="2">
                  <c:v>TORONTO</c:v>
                </c:pt>
              </c:strCache>
            </c:strRef>
          </c:cat>
          <c:val>
            <c:numRef>
              <c:f>'NET PROMOTER SCORE ANALYSIS'!$B$3:$B$6</c:f>
              <c:numCache>
                <c:formatCode>General</c:formatCode>
                <c:ptCount val="3"/>
                <c:pt idx="0">
                  <c:v>25</c:v>
                </c:pt>
                <c:pt idx="1">
                  <c:v>25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8C-44E2-8592-45373DC40095}"/>
            </c:ext>
          </c:extLst>
        </c:ser>
        <c:ser>
          <c:idx val="1"/>
          <c:order val="1"/>
          <c:tx>
            <c:strRef>
              <c:f>'NET PROMOTER SCORE ANALYSIS'!$C$2</c:f>
              <c:strCache>
                <c:ptCount val="1"/>
                <c:pt idx="0">
                  <c:v>Sum of Promoter (9-10)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'NET PROMOTER SCORE ANALYSIS'!$A$3:$A$6</c:f>
              <c:strCache>
                <c:ptCount val="3"/>
                <c:pt idx="0">
                  <c:v>SAO PAULO</c:v>
                </c:pt>
                <c:pt idx="1">
                  <c:v>SILICON VALLEY</c:v>
                </c:pt>
                <c:pt idx="2">
                  <c:v>TORONTO</c:v>
                </c:pt>
              </c:strCache>
            </c:strRef>
          </c:cat>
          <c:val>
            <c:numRef>
              <c:f>'NET PROMOTER SCORE ANALYSIS'!$C$3:$C$6</c:f>
              <c:numCache>
                <c:formatCode>General</c:formatCode>
                <c:ptCount val="3"/>
                <c:pt idx="0">
                  <c:v>226</c:v>
                </c:pt>
                <c:pt idx="1">
                  <c:v>221</c:v>
                </c:pt>
                <c:pt idx="2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8C-44E2-8592-45373DC40095}"/>
            </c:ext>
          </c:extLst>
        </c:ser>
        <c:ser>
          <c:idx val="2"/>
          <c:order val="2"/>
          <c:tx>
            <c:strRef>
              <c:f>'NET PROMOTER SCORE ANALYSIS'!$D$2</c:f>
              <c:strCache>
                <c:ptCount val="1"/>
                <c:pt idx="0">
                  <c:v>Sum of Passive (7-8)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'NET PROMOTER SCORE ANALYSIS'!$A$3:$A$6</c:f>
              <c:strCache>
                <c:ptCount val="3"/>
                <c:pt idx="0">
                  <c:v>SAO PAULO</c:v>
                </c:pt>
                <c:pt idx="1">
                  <c:v>SILICON VALLEY</c:v>
                </c:pt>
                <c:pt idx="2">
                  <c:v>TORONTO</c:v>
                </c:pt>
              </c:strCache>
            </c:strRef>
          </c:cat>
          <c:val>
            <c:numRef>
              <c:f>'NET PROMOTER SCORE ANALYSIS'!$D$3:$D$6</c:f>
              <c:numCache>
                <c:formatCode>General</c:formatCode>
                <c:ptCount val="3"/>
                <c:pt idx="0">
                  <c:v>72</c:v>
                </c:pt>
                <c:pt idx="1">
                  <c:v>71</c:v>
                </c:pt>
                <c:pt idx="2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8C-44E2-8592-45373DC40095}"/>
            </c:ext>
          </c:extLst>
        </c:ser>
        <c:ser>
          <c:idx val="3"/>
          <c:order val="3"/>
          <c:tx>
            <c:strRef>
              <c:f>'NET PROMOTER SCORE ANALYSIS'!$E$2</c:f>
              <c:strCache>
                <c:ptCount val="1"/>
                <c:pt idx="0">
                  <c:v>Sum of Detractor (0-6)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'NET PROMOTER SCORE ANALYSIS'!$A$3:$A$6</c:f>
              <c:strCache>
                <c:ptCount val="3"/>
                <c:pt idx="0">
                  <c:v>SAO PAULO</c:v>
                </c:pt>
                <c:pt idx="1">
                  <c:v>SILICON VALLEY</c:v>
                </c:pt>
                <c:pt idx="2">
                  <c:v>TORONTO</c:v>
                </c:pt>
              </c:strCache>
            </c:strRef>
          </c:cat>
          <c:val>
            <c:numRef>
              <c:f>'NET PROMOTER SCORE ANALYSIS'!$E$3:$E$6</c:f>
              <c:numCache>
                <c:formatCode>General</c:formatCode>
                <c:ptCount val="3"/>
                <c:pt idx="0">
                  <c:v>12</c:v>
                </c:pt>
                <c:pt idx="1">
                  <c:v>16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8C-44E2-8592-45373DC40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35818799"/>
        <c:axId val="35803439"/>
      </c:barChart>
      <c:catAx>
        <c:axId val="3581879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03439"/>
        <c:crosses val="autoZero"/>
        <c:auto val="1"/>
        <c:lblAlgn val="ctr"/>
        <c:lblOffset val="100"/>
        <c:noMultiLvlLbl val="0"/>
      </c:catAx>
      <c:valAx>
        <c:axId val="3580343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1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[Unit 2 Assignment Raw Data WITH ANALYSIS.xlsx]PROJ. COMP. TIMELINES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PROJECT COMPLETION TIMELINES ANALYSIS</a:t>
            </a:r>
          </a:p>
        </c:rich>
      </c:tx>
      <c:layout>
        <c:manualLayout>
          <c:xMode val="edge"/>
          <c:yMode val="edge"/>
          <c:x val="0.19018764276623587"/>
          <c:y val="7.47514799331050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'PROJ. COMP. TIMELINES ANALYSIS'!$B$2</c:f>
              <c:strCache>
                <c:ptCount val="1"/>
                <c:pt idx="0">
                  <c:v>Count of Project Summary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'PROJ. COMP. TIMELINES ANALYSIS'!$A$3:$A$6</c:f>
              <c:strCache>
                <c:ptCount val="3"/>
                <c:pt idx="0">
                  <c:v>SAO PAULO</c:v>
                </c:pt>
                <c:pt idx="1">
                  <c:v>SILICON VALLEY</c:v>
                </c:pt>
                <c:pt idx="2">
                  <c:v>TORONTO</c:v>
                </c:pt>
              </c:strCache>
            </c:strRef>
          </c:cat>
          <c:val>
            <c:numRef>
              <c:f>'PROJ. COMP. TIMELINES ANALYSIS'!$B$3:$B$6</c:f>
              <c:numCache>
                <c:formatCode>General</c:formatCode>
                <c:ptCount val="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5A-4CEB-9751-B7504A73E308}"/>
            </c:ext>
          </c:extLst>
        </c:ser>
        <c:ser>
          <c:idx val="1"/>
          <c:order val="1"/>
          <c:tx>
            <c:strRef>
              <c:f>'PROJ. COMP. TIMELINES ANALYSIS'!$C$2</c:f>
              <c:strCache>
                <c:ptCount val="1"/>
                <c:pt idx="0">
                  <c:v>Count of Organization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'PROJ. COMP. TIMELINES ANALYSIS'!$A$3:$A$6</c:f>
              <c:strCache>
                <c:ptCount val="3"/>
                <c:pt idx="0">
                  <c:v>SAO PAULO</c:v>
                </c:pt>
                <c:pt idx="1">
                  <c:v>SILICON VALLEY</c:v>
                </c:pt>
                <c:pt idx="2">
                  <c:v>TORONTO</c:v>
                </c:pt>
              </c:strCache>
            </c:strRef>
          </c:cat>
          <c:val>
            <c:numRef>
              <c:f>'PROJ. COMP. TIMELINES ANALYSIS'!$C$3:$C$6</c:f>
              <c:numCache>
                <c:formatCode>General</c:formatCode>
                <c:ptCount val="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5A-4CEB-9751-B7504A73E308}"/>
            </c:ext>
          </c:extLst>
        </c:ser>
        <c:ser>
          <c:idx val="2"/>
          <c:order val="2"/>
          <c:tx>
            <c:strRef>
              <c:f>'PROJ. COMP. TIMELINES ANALYSIS'!$D$2</c:f>
              <c:strCache>
                <c:ptCount val="1"/>
                <c:pt idx="0">
                  <c:v>Count of Start Date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'PROJ. COMP. TIMELINES ANALYSIS'!$A$3:$A$6</c:f>
              <c:strCache>
                <c:ptCount val="3"/>
                <c:pt idx="0">
                  <c:v>SAO PAULO</c:v>
                </c:pt>
                <c:pt idx="1">
                  <c:v>SILICON VALLEY</c:v>
                </c:pt>
                <c:pt idx="2">
                  <c:v>TORONTO</c:v>
                </c:pt>
              </c:strCache>
            </c:strRef>
          </c:cat>
          <c:val>
            <c:numRef>
              <c:f>'PROJ. COMP. TIMELINES ANALYSIS'!$D$3:$D$6</c:f>
              <c:numCache>
                <c:formatCode>General</c:formatCode>
                <c:ptCount val="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5A-4CEB-9751-B7504A73E308}"/>
            </c:ext>
          </c:extLst>
        </c:ser>
        <c:ser>
          <c:idx val="3"/>
          <c:order val="3"/>
          <c:tx>
            <c:strRef>
              <c:f>'PROJ. COMP. TIMELINES ANALYSIS'!$E$2</c:f>
              <c:strCache>
                <c:ptCount val="1"/>
                <c:pt idx="0">
                  <c:v>Count of Completion Date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'PROJ. COMP. TIMELINES ANALYSIS'!$A$3:$A$6</c:f>
              <c:strCache>
                <c:ptCount val="3"/>
                <c:pt idx="0">
                  <c:v>SAO PAULO</c:v>
                </c:pt>
                <c:pt idx="1">
                  <c:v>SILICON VALLEY</c:v>
                </c:pt>
                <c:pt idx="2">
                  <c:v>TORONTO</c:v>
                </c:pt>
              </c:strCache>
            </c:strRef>
          </c:cat>
          <c:val>
            <c:numRef>
              <c:f>'PROJ. COMP. TIMELINES ANALYSIS'!$E$3:$E$6</c:f>
              <c:numCache>
                <c:formatCode>General</c:formatCode>
                <c:ptCount val="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5A-4CEB-9751-B7504A73E308}"/>
            </c:ext>
          </c:extLst>
        </c:ser>
        <c:ser>
          <c:idx val="4"/>
          <c:order val="4"/>
          <c:tx>
            <c:strRef>
              <c:f>'PROJ. COMP. TIMELINES ANALYSIS'!$F$2</c:f>
              <c:strCache>
                <c:ptCount val="1"/>
                <c:pt idx="0">
                  <c:v>Count of Completion Time (Days)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'PROJ. COMP. TIMELINES ANALYSIS'!$A$3:$A$6</c:f>
              <c:strCache>
                <c:ptCount val="3"/>
                <c:pt idx="0">
                  <c:v>SAO PAULO</c:v>
                </c:pt>
                <c:pt idx="1">
                  <c:v>SILICON VALLEY</c:v>
                </c:pt>
                <c:pt idx="2">
                  <c:v>TORONTO</c:v>
                </c:pt>
              </c:strCache>
            </c:strRef>
          </c:cat>
          <c:val>
            <c:numRef>
              <c:f>'PROJ. COMP. TIMELINES ANALYSIS'!$F$3:$F$6</c:f>
              <c:numCache>
                <c:formatCode>General</c:formatCode>
                <c:ptCount val="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5A-4CEB-9751-B7504A73E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08374031"/>
        <c:axId val="808390351"/>
        <c:axId val="163469983"/>
      </c:bar3DChart>
      <c:catAx>
        <c:axId val="80837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390351"/>
        <c:crosses val="autoZero"/>
        <c:auto val="1"/>
        <c:lblAlgn val="ctr"/>
        <c:lblOffset val="100"/>
        <c:noMultiLvlLbl val="0"/>
      </c:catAx>
      <c:valAx>
        <c:axId val="80839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374031"/>
        <c:crosses val="autoZero"/>
        <c:crossBetween val="between"/>
      </c:valAx>
      <c:serAx>
        <c:axId val="1634699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390351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[Unit 2 Assignment Raw Data WITH ANALYSIS.xlsx]COST EFFECTIVENESS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EFFECTIVENESS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'COST EFFECTIVENESS ANALYSIS'!$B$2</c:f>
              <c:strCache>
                <c:ptCount val="1"/>
                <c:pt idx="0">
                  <c:v>Count of Organization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'COST EFFECTIVENESS ANALYSIS'!$A$3:$A$6</c:f>
              <c:strCache>
                <c:ptCount val="3"/>
                <c:pt idx="0">
                  <c:v>SAO PAULO</c:v>
                </c:pt>
                <c:pt idx="1">
                  <c:v>SILICON VALLEY</c:v>
                </c:pt>
                <c:pt idx="2">
                  <c:v>TORONTO</c:v>
                </c:pt>
              </c:strCache>
            </c:strRef>
          </c:cat>
          <c:val>
            <c:numRef>
              <c:f>'COST EFFECTIVENESS ANALYSIS'!$B$3:$B$6</c:f>
              <c:numCache>
                <c:formatCode>General</c:formatCode>
                <c:ptCount val="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57-47C4-B074-D2C13F0DAAF0}"/>
            </c:ext>
          </c:extLst>
        </c:ser>
        <c:ser>
          <c:idx val="1"/>
          <c:order val="1"/>
          <c:tx>
            <c:strRef>
              <c:f>'COST EFFECTIVENESS ANALYSIS'!$C$2</c:f>
              <c:strCache>
                <c:ptCount val="1"/>
                <c:pt idx="0">
                  <c:v>Sum of Total Cost (USD)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'COST EFFECTIVENESS ANALYSIS'!$A$3:$A$6</c:f>
              <c:strCache>
                <c:ptCount val="3"/>
                <c:pt idx="0">
                  <c:v>SAO PAULO</c:v>
                </c:pt>
                <c:pt idx="1">
                  <c:v>SILICON VALLEY</c:v>
                </c:pt>
                <c:pt idx="2">
                  <c:v>TORONTO</c:v>
                </c:pt>
              </c:strCache>
            </c:strRef>
          </c:cat>
          <c:val>
            <c:numRef>
              <c:f>'COST EFFECTIVENESS ANALYSIS'!$C$3:$C$6</c:f>
              <c:numCache>
                <c:formatCode>_("$"* #,##0.00_);_("$"* \(#,##0.00\);_("$"* "-"??_);_(@_)</c:formatCode>
                <c:ptCount val="3"/>
                <c:pt idx="0">
                  <c:v>12450000</c:v>
                </c:pt>
                <c:pt idx="1">
                  <c:v>12830000</c:v>
                </c:pt>
                <c:pt idx="2">
                  <c:v>12000000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57-47C4-B074-D2C13F0DAAF0}"/>
            </c:ext>
          </c:extLst>
        </c:ser>
        <c:ser>
          <c:idx val="2"/>
          <c:order val="2"/>
          <c:tx>
            <c:strRef>
              <c:f>'COST EFFECTIVENESS ANALYSIS'!$D$2</c:f>
              <c:strCache>
                <c:ptCount val="1"/>
                <c:pt idx="0">
                  <c:v>Sum of Revenue (USD)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'COST EFFECTIVENESS ANALYSIS'!$A$3:$A$6</c:f>
              <c:strCache>
                <c:ptCount val="3"/>
                <c:pt idx="0">
                  <c:v>SAO PAULO</c:v>
                </c:pt>
                <c:pt idx="1">
                  <c:v>SILICON VALLEY</c:v>
                </c:pt>
                <c:pt idx="2">
                  <c:v>TORONTO</c:v>
                </c:pt>
              </c:strCache>
            </c:strRef>
          </c:cat>
          <c:val>
            <c:numRef>
              <c:f>'COST EFFECTIVENESS ANALYSIS'!$D$3:$D$6</c:f>
              <c:numCache>
                <c:formatCode>_("$"* #,##0.00_);_("$"* \(#,##0.00\);_("$"* "-"??_);_(@_)</c:formatCode>
                <c:ptCount val="3"/>
                <c:pt idx="0">
                  <c:v>15250000</c:v>
                </c:pt>
                <c:pt idx="1">
                  <c:v>17200000</c:v>
                </c:pt>
                <c:pt idx="2">
                  <c:v>15750000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57-47C4-B074-D2C13F0DAAF0}"/>
            </c:ext>
          </c:extLst>
        </c:ser>
        <c:ser>
          <c:idx val="3"/>
          <c:order val="3"/>
          <c:tx>
            <c:strRef>
              <c:f>'COST EFFECTIVENESS ANALYSIS'!$E$2</c:f>
              <c:strCache>
                <c:ptCount val="1"/>
                <c:pt idx="0">
                  <c:v>Sum of Cost Effectiveness (%)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'COST EFFECTIVENESS ANALYSIS'!$A$3:$A$6</c:f>
              <c:strCache>
                <c:ptCount val="3"/>
                <c:pt idx="0">
                  <c:v>SAO PAULO</c:v>
                </c:pt>
                <c:pt idx="1">
                  <c:v>SILICON VALLEY</c:v>
                </c:pt>
                <c:pt idx="2">
                  <c:v>TORONTO</c:v>
                </c:pt>
              </c:strCache>
            </c:strRef>
          </c:cat>
          <c:val>
            <c:numRef>
              <c:f>'COST EFFECTIVENESS ANALYSIS'!$E$3:$E$6</c:f>
              <c:numCache>
                <c:formatCode>0.00</c:formatCode>
                <c:ptCount val="3"/>
                <c:pt idx="0">
                  <c:v>16.198797551777428</c:v>
                </c:pt>
                <c:pt idx="1">
                  <c:v>15.101301253300175</c:v>
                </c:pt>
                <c:pt idx="2">
                  <c:v>15.28060341361425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57-47C4-B074-D2C13F0DAAF0}"/>
            </c:ext>
          </c:extLst>
        </c:ser>
        <c:ser>
          <c:idx val="4"/>
          <c:order val="4"/>
          <c:tx>
            <c:strRef>
              <c:f>'COST EFFECTIVENESS ANALYSIS'!$F$2</c:f>
              <c:strCache>
                <c:ptCount val="1"/>
                <c:pt idx="0">
                  <c:v>Sum of PROFIT MARGIN KPI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'COST EFFECTIVENESS ANALYSIS'!$A$3:$A$6</c:f>
              <c:strCache>
                <c:ptCount val="3"/>
                <c:pt idx="0">
                  <c:v>SAO PAULO</c:v>
                </c:pt>
                <c:pt idx="1">
                  <c:v>SILICON VALLEY</c:v>
                </c:pt>
                <c:pt idx="2">
                  <c:v>TORONTO</c:v>
                </c:pt>
              </c:strCache>
            </c:strRef>
          </c:cat>
          <c:val>
            <c:numRef>
              <c:f>'COST EFFECTIVENESS ANALYSIS'!$F$3:$F$6</c:f>
              <c:numCache>
                <c:formatCode>_("$"* #,##0.00_);_("$"* \(#,##0.00\);_("$"* "-"??_);_(@_)</c:formatCode>
                <c:ptCount val="3"/>
                <c:pt idx="0">
                  <c:v>3.8012024482225715</c:v>
                </c:pt>
                <c:pt idx="1">
                  <c:v>4.8986987466998233</c:v>
                </c:pt>
                <c:pt idx="2">
                  <c:v>4.7193965863857503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57-47C4-B074-D2C13F0DA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35808719"/>
        <c:axId val="35813999"/>
      </c:barChart>
      <c:catAx>
        <c:axId val="3580871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13999"/>
        <c:crosses val="autoZero"/>
        <c:auto val="1"/>
        <c:lblAlgn val="ctr"/>
        <c:lblOffset val="100"/>
        <c:noMultiLvlLbl val="0"/>
      </c:catAx>
      <c:valAx>
        <c:axId val="3581399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08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[Unit 2 Assignment Raw Data WITH ANALYSIS.xlsx]COMBINED ANALYSIS!PivotTable8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COMBINED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'COMBINED ANALYSIS'!$B$3</c:f>
              <c:strCache>
                <c:ptCount val="1"/>
                <c:pt idx="0">
                  <c:v>Count of Organization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'COMBINED ANALYSIS'!$A$4:$A$7</c:f>
              <c:strCache>
                <c:ptCount val="3"/>
                <c:pt idx="0">
                  <c:v>SAO PAULO</c:v>
                </c:pt>
                <c:pt idx="1">
                  <c:v>SILICON VALLEY</c:v>
                </c:pt>
                <c:pt idx="2">
                  <c:v>TORONTO</c:v>
                </c:pt>
              </c:strCache>
            </c:strRef>
          </c:cat>
          <c:val>
            <c:numRef>
              <c:f>'COMBINED ANALYSIS'!$B$4:$B$7</c:f>
              <c:numCache>
                <c:formatCode>General</c:formatCode>
                <c:ptCount val="3"/>
                <c:pt idx="0">
                  <c:v>108</c:v>
                </c:pt>
                <c:pt idx="1">
                  <c:v>110</c:v>
                </c:pt>
                <c:pt idx="2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6-462D-9CB1-E39D2BA75706}"/>
            </c:ext>
          </c:extLst>
        </c:ser>
        <c:ser>
          <c:idx val="1"/>
          <c:order val="1"/>
          <c:tx>
            <c:strRef>
              <c:f>'COMBINED ANALYSIS'!$C$3</c:f>
              <c:strCache>
                <c:ptCount val="1"/>
                <c:pt idx="0">
                  <c:v>Sum of Total Cost (USD)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'COMBINED ANALYSIS'!$A$4:$A$7</c:f>
              <c:strCache>
                <c:ptCount val="3"/>
                <c:pt idx="0">
                  <c:v>SAO PAULO</c:v>
                </c:pt>
                <c:pt idx="1">
                  <c:v>SILICON VALLEY</c:v>
                </c:pt>
                <c:pt idx="2">
                  <c:v>TORONTO</c:v>
                </c:pt>
              </c:strCache>
            </c:strRef>
          </c:cat>
          <c:val>
            <c:numRef>
              <c:f>'COMBINED ANALYSIS'!$C$4:$C$7</c:f>
              <c:numCache>
                <c:formatCode>General</c:formatCode>
                <c:ptCount val="3"/>
                <c:pt idx="0">
                  <c:v>12450000</c:v>
                </c:pt>
                <c:pt idx="1">
                  <c:v>12830000</c:v>
                </c:pt>
                <c:pt idx="2">
                  <c:v>12000000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06-462D-9CB1-E39D2BA75706}"/>
            </c:ext>
          </c:extLst>
        </c:ser>
        <c:ser>
          <c:idx val="2"/>
          <c:order val="2"/>
          <c:tx>
            <c:strRef>
              <c:f>'COMBINED ANALYSIS'!$D$3</c:f>
              <c:strCache>
                <c:ptCount val="1"/>
                <c:pt idx="0">
                  <c:v>Sum of Revenue (USD)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'COMBINED ANALYSIS'!$A$4:$A$7</c:f>
              <c:strCache>
                <c:ptCount val="3"/>
                <c:pt idx="0">
                  <c:v>SAO PAULO</c:v>
                </c:pt>
                <c:pt idx="1">
                  <c:v>SILICON VALLEY</c:v>
                </c:pt>
                <c:pt idx="2">
                  <c:v>TORONTO</c:v>
                </c:pt>
              </c:strCache>
            </c:strRef>
          </c:cat>
          <c:val>
            <c:numRef>
              <c:f>'COMBINED ANALYSIS'!$D$4:$D$7</c:f>
              <c:numCache>
                <c:formatCode>General</c:formatCode>
                <c:ptCount val="3"/>
                <c:pt idx="0">
                  <c:v>15250000</c:v>
                </c:pt>
                <c:pt idx="1">
                  <c:v>17200000</c:v>
                </c:pt>
                <c:pt idx="2">
                  <c:v>15750000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06-462D-9CB1-E39D2BA75706}"/>
            </c:ext>
          </c:extLst>
        </c:ser>
        <c:ser>
          <c:idx val="3"/>
          <c:order val="3"/>
          <c:tx>
            <c:strRef>
              <c:f>'COMBINED ANALYSIS'!$E$3</c:f>
              <c:strCache>
                <c:ptCount val="1"/>
                <c:pt idx="0">
                  <c:v>Sum of PROFIT MARGIN KPI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'COMBINED ANALYSIS'!$A$4:$A$7</c:f>
              <c:strCache>
                <c:ptCount val="3"/>
                <c:pt idx="0">
                  <c:v>SAO PAULO</c:v>
                </c:pt>
                <c:pt idx="1">
                  <c:v>SILICON VALLEY</c:v>
                </c:pt>
                <c:pt idx="2">
                  <c:v>TORONTO</c:v>
                </c:pt>
              </c:strCache>
            </c:strRef>
          </c:cat>
          <c:val>
            <c:numRef>
              <c:f>'COMBINED ANALYSIS'!$E$4:$E$7</c:f>
              <c:numCache>
                <c:formatCode>General</c:formatCode>
                <c:ptCount val="3"/>
                <c:pt idx="0">
                  <c:v>3.8012024482225724</c:v>
                </c:pt>
                <c:pt idx="1">
                  <c:v>4.8986987466998224</c:v>
                </c:pt>
                <c:pt idx="2">
                  <c:v>4.7193965863857503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06-462D-9CB1-E39D2BA75706}"/>
            </c:ext>
          </c:extLst>
        </c:ser>
        <c:ser>
          <c:idx val="4"/>
          <c:order val="4"/>
          <c:tx>
            <c:strRef>
              <c:f>'COMBINED ANALYSIS'!$F$3</c:f>
              <c:strCache>
                <c:ptCount val="1"/>
                <c:pt idx="0">
                  <c:v>Count of Initial Contract Start YEAR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'COMBINED ANALYSIS'!$A$4:$A$7</c:f>
              <c:strCache>
                <c:ptCount val="3"/>
                <c:pt idx="0">
                  <c:v>SAO PAULO</c:v>
                </c:pt>
                <c:pt idx="1">
                  <c:v>SILICON VALLEY</c:v>
                </c:pt>
                <c:pt idx="2">
                  <c:v>TORONTO</c:v>
                </c:pt>
              </c:strCache>
            </c:strRef>
          </c:cat>
          <c:val>
            <c:numRef>
              <c:f>'COMBINED ANALYSIS'!$F$4:$F$7</c:f>
              <c:numCache>
                <c:formatCode>General</c:formatCode>
                <c:ptCount val="3"/>
                <c:pt idx="0">
                  <c:v>23</c:v>
                </c:pt>
                <c:pt idx="1">
                  <c:v>25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06-462D-9CB1-E39D2BA75706}"/>
            </c:ext>
          </c:extLst>
        </c:ser>
        <c:ser>
          <c:idx val="5"/>
          <c:order val="5"/>
          <c:tx>
            <c:strRef>
              <c:f>'COMBINED ANALYSIS'!$G$3</c:f>
              <c:strCache>
                <c:ptCount val="1"/>
                <c:pt idx="0">
                  <c:v>Sum of Cost Effectiveness (%)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'COMBINED ANALYSIS'!$A$4:$A$7</c:f>
              <c:strCache>
                <c:ptCount val="3"/>
                <c:pt idx="0">
                  <c:v>SAO PAULO</c:v>
                </c:pt>
                <c:pt idx="1">
                  <c:v>SILICON VALLEY</c:v>
                </c:pt>
                <c:pt idx="2">
                  <c:v>TORONTO</c:v>
                </c:pt>
              </c:strCache>
            </c:strRef>
          </c:cat>
          <c:val>
            <c:numRef>
              <c:f>'COMBINED ANALYSIS'!$G$4:$G$7</c:f>
              <c:numCache>
                <c:formatCode>General</c:formatCode>
                <c:ptCount val="3"/>
                <c:pt idx="0">
                  <c:v>16.198797551777432</c:v>
                </c:pt>
                <c:pt idx="1">
                  <c:v>15.101301253300177</c:v>
                </c:pt>
                <c:pt idx="2">
                  <c:v>15.280603413614248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306-462D-9CB1-E39D2BA75706}"/>
            </c:ext>
          </c:extLst>
        </c:ser>
        <c:ser>
          <c:idx val="6"/>
          <c:order val="6"/>
          <c:tx>
            <c:strRef>
              <c:f>'COMBINED ANALYSIS'!$H$3</c:f>
              <c:strCache>
                <c:ptCount val="1"/>
                <c:pt idx="0">
                  <c:v>Count of Initial Contract Start Date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'COMBINED ANALYSIS'!$A$4:$A$7</c:f>
              <c:strCache>
                <c:ptCount val="3"/>
                <c:pt idx="0">
                  <c:v>SAO PAULO</c:v>
                </c:pt>
                <c:pt idx="1">
                  <c:v>SILICON VALLEY</c:v>
                </c:pt>
                <c:pt idx="2">
                  <c:v>TORONTO</c:v>
                </c:pt>
              </c:strCache>
            </c:strRef>
          </c:cat>
          <c:val>
            <c:numRef>
              <c:f>'COMBINED ANALYSIS'!$H$4:$H$7</c:f>
              <c:numCache>
                <c:formatCode>General</c:formatCode>
                <c:ptCount val="3"/>
                <c:pt idx="0">
                  <c:v>23</c:v>
                </c:pt>
                <c:pt idx="1">
                  <c:v>25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306-462D-9CB1-E39D2BA75706}"/>
            </c:ext>
          </c:extLst>
        </c:ser>
        <c:ser>
          <c:idx val="7"/>
          <c:order val="7"/>
          <c:tx>
            <c:strRef>
              <c:f>'COMBINED ANALYSIS'!$I$3</c:f>
              <c:strCache>
                <c:ptCount val="1"/>
                <c:pt idx="0">
                  <c:v>Count of Incident ID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'COMBINED ANALYSIS'!$A$4:$A$7</c:f>
              <c:strCache>
                <c:ptCount val="3"/>
                <c:pt idx="0">
                  <c:v>SAO PAULO</c:v>
                </c:pt>
                <c:pt idx="1">
                  <c:v>SILICON VALLEY</c:v>
                </c:pt>
                <c:pt idx="2">
                  <c:v>TORONTO</c:v>
                </c:pt>
              </c:strCache>
            </c:strRef>
          </c:cat>
          <c:val>
            <c:numRef>
              <c:f>'COMBINED ANALYSIS'!$I$4:$I$7</c:f>
              <c:numCache>
                <c:formatCode>General</c:formatCode>
                <c:ptCount val="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306-462D-9CB1-E39D2BA75706}"/>
            </c:ext>
          </c:extLst>
        </c:ser>
        <c:ser>
          <c:idx val="8"/>
          <c:order val="8"/>
          <c:tx>
            <c:strRef>
              <c:f>'COMBINED ANALYSIS'!$J$3</c:f>
              <c:strCache>
                <c:ptCount val="1"/>
                <c:pt idx="0">
                  <c:v>Count of Initial Contract Start MONTH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'COMBINED ANALYSIS'!$A$4:$A$7</c:f>
              <c:strCache>
                <c:ptCount val="3"/>
                <c:pt idx="0">
                  <c:v>SAO PAULO</c:v>
                </c:pt>
                <c:pt idx="1">
                  <c:v>SILICON VALLEY</c:v>
                </c:pt>
                <c:pt idx="2">
                  <c:v>TORONTO</c:v>
                </c:pt>
              </c:strCache>
            </c:strRef>
          </c:cat>
          <c:val>
            <c:numRef>
              <c:f>'COMBINED ANALYSIS'!$J$4:$J$7</c:f>
              <c:numCache>
                <c:formatCode>General</c:formatCode>
                <c:ptCount val="3"/>
                <c:pt idx="0">
                  <c:v>23</c:v>
                </c:pt>
                <c:pt idx="1">
                  <c:v>25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306-462D-9CB1-E39D2BA75706}"/>
            </c:ext>
          </c:extLst>
        </c:ser>
        <c:ser>
          <c:idx val="9"/>
          <c:order val="9"/>
          <c:tx>
            <c:strRef>
              <c:f>'COMBINED ANALYSIS'!$K$3</c:f>
              <c:strCache>
                <c:ptCount val="1"/>
                <c:pt idx="0">
                  <c:v>Count of Completion Date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'COMBINED ANALYSIS'!$A$4:$A$7</c:f>
              <c:strCache>
                <c:ptCount val="3"/>
                <c:pt idx="0">
                  <c:v>SAO PAULO</c:v>
                </c:pt>
                <c:pt idx="1">
                  <c:v>SILICON VALLEY</c:v>
                </c:pt>
                <c:pt idx="2">
                  <c:v>TORONTO</c:v>
                </c:pt>
              </c:strCache>
            </c:strRef>
          </c:cat>
          <c:val>
            <c:numRef>
              <c:f>'COMBINED ANALYSIS'!$K$4:$K$7</c:f>
              <c:numCache>
                <c:formatCode>General</c:formatCode>
                <c:ptCount val="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306-462D-9CB1-E39D2BA75706}"/>
            </c:ext>
          </c:extLst>
        </c:ser>
        <c:ser>
          <c:idx val="10"/>
          <c:order val="10"/>
          <c:tx>
            <c:strRef>
              <c:f>'COMBINED ANALYSIS'!$L$3</c:f>
              <c:strCache>
                <c:ptCount val="1"/>
                <c:pt idx="0">
                  <c:v>Count of Service Request Date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'COMBINED ANALYSIS'!$A$4:$A$7</c:f>
              <c:strCache>
                <c:ptCount val="3"/>
                <c:pt idx="0">
                  <c:v>SAO PAULO</c:v>
                </c:pt>
                <c:pt idx="1">
                  <c:v>SILICON VALLEY</c:v>
                </c:pt>
                <c:pt idx="2">
                  <c:v>TORONTO</c:v>
                </c:pt>
              </c:strCache>
            </c:strRef>
          </c:cat>
          <c:val>
            <c:numRef>
              <c:f>'COMBINED ANALYSIS'!$L$4:$L$7</c:f>
              <c:numCache>
                <c:formatCode>General</c:formatCode>
                <c:ptCount val="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306-462D-9CB1-E39D2BA75706}"/>
            </c:ext>
          </c:extLst>
        </c:ser>
        <c:ser>
          <c:idx val="11"/>
          <c:order val="11"/>
          <c:tx>
            <c:strRef>
              <c:f>'COMBINED ANALYSIS'!$M$3</c:f>
              <c:strCache>
                <c:ptCount val="1"/>
                <c:pt idx="0">
                  <c:v>Sum of Response Time (Hours)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'COMBINED ANALYSIS'!$A$4:$A$7</c:f>
              <c:strCache>
                <c:ptCount val="3"/>
                <c:pt idx="0">
                  <c:v>SAO PAULO</c:v>
                </c:pt>
                <c:pt idx="1">
                  <c:v>SILICON VALLEY</c:v>
                </c:pt>
                <c:pt idx="2">
                  <c:v>TORONTO</c:v>
                </c:pt>
              </c:strCache>
            </c:strRef>
          </c:cat>
          <c:val>
            <c:numRef>
              <c:f>'COMBINED ANALYSIS'!$M$4:$M$7</c:f>
              <c:numCache>
                <c:formatCode>General</c:formatCode>
                <c:ptCount val="3"/>
                <c:pt idx="0">
                  <c:v>61</c:v>
                </c:pt>
                <c:pt idx="1">
                  <c:v>59</c:v>
                </c:pt>
                <c:pt idx="2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306-462D-9CB1-E39D2BA75706}"/>
            </c:ext>
          </c:extLst>
        </c:ser>
        <c:ser>
          <c:idx val="12"/>
          <c:order val="12"/>
          <c:tx>
            <c:strRef>
              <c:f>'COMBINED ANALYSIS'!$N$3</c:f>
              <c:strCache>
                <c:ptCount val="1"/>
                <c:pt idx="0">
                  <c:v>Count of Project Completion Start Date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'COMBINED ANALYSIS'!$A$4:$A$7</c:f>
              <c:strCache>
                <c:ptCount val="3"/>
                <c:pt idx="0">
                  <c:v>SAO PAULO</c:v>
                </c:pt>
                <c:pt idx="1">
                  <c:v>SILICON VALLEY</c:v>
                </c:pt>
                <c:pt idx="2">
                  <c:v>TORONTO</c:v>
                </c:pt>
              </c:strCache>
            </c:strRef>
          </c:cat>
          <c:val>
            <c:numRef>
              <c:f>'COMBINED ANALYSIS'!$N$4:$N$7</c:f>
              <c:numCache>
                <c:formatCode>General</c:formatCode>
                <c:ptCount val="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306-462D-9CB1-E39D2BA75706}"/>
            </c:ext>
          </c:extLst>
        </c:ser>
        <c:ser>
          <c:idx val="13"/>
          <c:order val="13"/>
          <c:tx>
            <c:strRef>
              <c:f>'COMBINED ANALYSIS'!$O$3</c:f>
              <c:strCache>
                <c:ptCount val="1"/>
                <c:pt idx="0">
                  <c:v>Count of Project Summary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'COMBINED ANALYSIS'!$A$4:$A$7</c:f>
              <c:strCache>
                <c:ptCount val="3"/>
                <c:pt idx="0">
                  <c:v>SAO PAULO</c:v>
                </c:pt>
                <c:pt idx="1">
                  <c:v>SILICON VALLEY</c:v>
                </c:pt>
                <c:pt idx="2">
                  <c:v>TORONTO</c:v>
                </c:pt>
              </c:strCache>
            </c:strRef>
          </c:cat>
          <c:val>
            <c:numRef>
              <c:f>'COMBINED ANALYSIS'!$O$4:$O$7</c:f>
              <c:numCache>
                <c:formatCode>General</c:formatCode>
                <c:ptCount val="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306-462D-9CB1-E39D2BA75706}"/>
            </c:ext>
          </c:extLst>
        </c:ser>
        <c:ser>
          <c:idx val="14"/>
          <c:order val="14"/>
          <c:tx>
            <c:strRef>
              <c:f>'COMBINED ANALYSIS'!$P$3</c:f>
              <c:strCache>
                <c:ptCount val="1"/>
                <c:pt idx="0">
                  <c:v>Count of Project Completion Completion Date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'COMBINED ANALYSIS'!$A$4:$A$7</c:f>
              <c:strCache>
                <c:ptCount val="3"/>
                <c:pt idx="0">
                  <c:v>SAO PAULO</c:v>
                </c:pt>
                <c:pt idx="1">
                  <c:v>SILICON VALLEY</c:v>
                </c:pt>
                <c:pt idx="2">
                  <c:v>TORONTO</c:v>
                </c:pt>
              </c:strCache>
            </c:strRef>
          </c:cat>
          <c:val>
            <c:numRef>
              <c:f>'COMBINED ANALYSIS'!$P$4:$P$7</c:f>
              <c:numCache>
                <c:formatCode>General</c:formatCode>
                <c:ptCount val="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306-462D-9CB1-E39D2BA75706}"/>
            </c:ext>
          </c:extLst>
        </c:ser>
        <c:ser>
          <c:idx val="15"/>
          <c:order val="15"/>
          <c:tx>
            <c:strRef>
              <c:f>'COMBINED ANALYSIS'!$Q$3</c:f>
              <c:strCache>
                <c:ptCount val="1"/>
                <c:pt idx="0">
                  <c:v>Count of Project Completion Time (Days)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'COMBINED ANALYSIS'!$A$4:$A$7</c:f>
              <c:strCache>
                <c:ptCount val="3"/>
                <c:pt idx="0">
                  <c:v>SAO PAULO</c:v>
                </c:pt>
                <c:pt idx="1">
                  <c:v>SILICON VALLEY</c:v>
                </c:pt>
                <c:pt idx="2">
                  <c:v>TORONTO</c:v>
                </c:pt>
              </c:strCache>
            </c:strRef>
          </c:cat>
          <c:val>
            <c:numRef>
              <c:f>'COMBINED ANALYSIS'!$Q$4:$Q$7</c:f>
              <c:numCache>
                <c:formatCode>General</c:formatCode>
                <c:ptCount val="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306-462D-9CB1-E39D2BA75706}"/>
            </c:ext>
          </c:extLst>
        </c:ser>
        <c:ser>
          <c:idx val="16"/>
          <c:order val="16"/>
          <c:tx>
            <c:strRef>
              <c:f>'COMBINED ANALYSIS'!$R$3</c:f>
              <c:strCache>
                <c:ptCount val="1"/>
                <c:pt idx="0">
                  <c:v>Sum of Promoter (9-10)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'COMBINED ANALYSIS'!$A$4:$A$7</c:f>
              <c:strCache>
                <c:ptCount val="3"/>
                <c:pt idx="0">
                  <c:v>SAO PAULO</c:v>
                </c:pt>
                <c:pt idx="1">
                  <c:v>SILICON VALLEY</c:v>
                </c:pt>
                <c:pt idx="2">
                  <c:v>TORONTO</c:v>
                </c:pt>
              </c:strCache>
            </c:strRef>
          </c:cat>
          <c:val>
            <c:numRef>
              <c:f>'COMBINED ANALYSIS'!$R$4:$R$7</c:f>
              <c:numCache>
                <c:formatCode>General</c:formatCode>
                <c:ptCount val="3"/>
                <c:pt idx="0">
                  <c:v>226</c:v>
                </c:pt>
                <c:pt idx="1">
                  <c:v>221</c:v>
                </c:pt>
                <c:pt idx="2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306-462D-9CB1-E39D2BA75706}"/>
            </c:ext>
          </c:extLst>
        </c:ser>
        <c:ser>
          <c:idx val="17"/>
          <c:order val="17"/>
          <c:tx>
            <c:strRef>
              <c:f>'COMBINED ANALYSIS'!$S$3</c:f>
              <c:strCache>
                <c:ptCount val="1"/>
                <c:pt idx="0">
                  <c:v>Sum of Passive (7-8)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'COMBINED ANALYSIS'!$A$4:$A$7</c:f>
              <c:strCache>
                <c:ptCount val="3"/>
                <c:pt idx="0">
                  <c:v>SAO PAULO</c:v>
                </c:pt>
                <c:pt idx="1">
                  <c:v>SILICON VALLEY</c:v>
                </c:pt>
                <c:pt idx="2">
                  <c:v>TORONTO</c:v>
                </c:pt>
              </c:strCache>
            </c:strRef>
          </c:cat>
          <c:val>
            <c:numRef>
              <c:f>'COMBINED ANALYSIS'!$S$4:$S$7</c:f>
              <c:numCache>
                <c:formatCode>General</c:formatCode>
                <c:ptCount val="3"/>
                <c:pt idx="0">
                  <c:v>72</c:v>
                </c:pt>
                <c:pt idx="1">
                  <c:v>71</c:v>
                </c:pt>
                <c:pt idx="2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306-462D-9CB1-E39D2BA75706}"/>
            </c:ext>
          </c:extLst>
        </c:ser>
        <c:ser>
          <c:idx val="18"/>
          <c:order val="18"/>
          <c:tx>
            <c:strRef>
              <c:f>'COMBINED ANALYSIS'!$T$3</c:f>
              <c:strCache>
                <c:ptCount val="1"/>
                <c:pt idx="0">
                  <c:v>Sum of Detractor (0-6)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'COMBINED ANALYSIS'!$A$4:$A$7</c:f>
              <c:strCache>
                <c:ptCount val="3"/>
                <c:pt idx="0">
                  <c:v>SAO PAULO</c:v>
                </c:pt>
                <c:pt idx="1">
                  <c:v>SILICON VALLEY</c:v>
                </c:pt>
                <c:pt idx="2">
                  <c:v>TORONTO</c:v>
                </c:pt>
              </c:strCache>
            </c:strRef>
          </c:cat>
          <c:val>
            <c:numRef>
              <c:f>'COMBINED ANALYSIS'!$T$4:$T$7</c:f>
              <c:numCache>
                <c:formatCode>General</c:formatCode>
                <c:ptCount val="3"/>
                <c:pt idx="0">
                  <c:v>12</c:v>
                </c:pt>
                <c:pt idx="1">
                  <c:v>16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0306-462D-9CB1-E39D2BA75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08357711"/>
        <c:axId val="808350991"/>
        <c:axId val="0"/>
      </c:bar3DChart>
      <c:catAx>
        <c:axId val="80835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350991"/>
        <c:crosses val="autoZero"/>
        <c:auto val="1"/>
        <c:lblAlgn val="ctr"/>
        <c:lblOffset val="100"/>
        <c:noMultiLvlLbl val="0"/>
      </c:catAx>
      <c:valAx>
        <c:axId val="80835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357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709611</xdr:colOff>
      <xdr:row>0</xdr:row>
      <xdr:rowOff>23811</xdr:rowOff>
    </xdr:from>
    <xdr:to>
      <xdr:col>10</xdr:col>
      <xdr:colOff>1133474</xdr:colOff>
      <xdr:row>32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5A2D35-0494-B329-9BEC-523E2B3CA2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576262</xdr:colOff>
      <xdr:row>0</xdr:row>
      <xdr:rowOff>4761</xdr:rowOff>
    </xdr:from>
    <xdr:to>
      <xdr:col>19</xdr:col>
      <xdr:colOff>57150</xdr:colOff>
      <xdr:row>31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7F69C3-9A34-D707-49D0-D5F4D5CBE5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</xdr:colOff>
      <xdr:row>0</xdr:row>
      <xdr:rowOff>0</xdr:rowOff>
    </xdr:from>
    <xdr:to>
      <xdr:col>17</xdr:col>
      <xdr:colOff>504825</xdr:colOff>
      <xdr:row>29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21C929-541D-6739-9DA6-D06C6EA1D2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528636</xdr:colOff>
      <xdr:row>0</xdr:row>
      <xdr:rowOff>33336</xdr:rowOff>
    </xdr:from>
    <xdr:to>
      <xdr:col>19</xdr:col>
      <xdr:colOff>304799</xdr:colOff>
      <xdr:row>29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EA7829-C531-D4C8-0E8F-81ADD81AAE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552449</xdr:colOff>
      <xdr:row>0</xdr:row>
      <xdr:rowOff>0</xdr:rowOff>
    </xdr:from>
    <xdr:to>
      <xdr:col>20</xdr:col>
      <xdr:colOff>9525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DE3CA6-0008-F873-C0CF-72C1C461B4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1428750</xdr:colOff>
      <xdr:row>11</xdr:row>
      <xdr:rowOff>119061</xdr:rowOff>
    </xdr:from>
    <xdr:to>
      <xdr:col>19</xdr:col>
      <xdr:colOff>581025</xdr:colOff>
      <xdr:row>54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49A657-D7E9-AAD9-2C00-3732DB8BF2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rdon Elliott Williams" refreshedDate="45872.833658449075" createdVersion="8" refreshedVersion="8" minRefreshableVersion="3" recordCount="60" xr:uid="{82CD85C5-6B42-4264-832A-6C95B6E5B629}">
  <cacheSource type="worksheet">
    <worksheetSource ref="I2:N62" sheet="Master Data"/>
  </cacheSource>
  <cacheFields count="6">
    <cacheField name="LOCATION" numFmtId="0">
      <sharedItems count="3">
        <s v="SILICON VALLEY"/>
        <s v="TORONTO"/>
        <s v="SAO PAULO"/>
      </sharedItems>
    </cacheField>
    <cacheField name="Organization" numFmtId="0">
      <sharedItems/>
    </cacheField>
    <cacheField name="Project Summary" numFmtId="0">
      <sharedItems/>
    </cacheField>
    <cacheField name="Start Date" numFmtId="49">
      <sharedItems/>
    </cacheField>
    <cacheField name="Completion Date" numFmtId="0">
      <sharedItems/>
    </cacheField>
    <cacheField name="Completion Time (Days)" numFmtId="0">
      <sharedItems containsMixedTypes="1" containsNumber="1" containsInteger="1" minValue="30" maxValue="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rdon Elliott Williams" refreshedDate="45872.83597847222" backgroundQuery="1" createdVersion="8" refreshedVersion="8" minRefreshableVersion="3" recordCount="0" supportSubquery="1" supportAdvancedDrill="1" xr:uid="{5269351D-B7B5-401D-93CE-F7C2929C1D09}">
  <cacheSource type="external" connectionId="1"/>
  <cacheFields count="7">
    <cacheField name="[Range 3].[LOCATION].[LOCATION]" caption="LOCATION" numFmtId="0" hierarchy="17" level="1">
      <sharedItems count="3">
        <s v="SAO PAULO"/>
        <s v="SILICON VALLEY"/>
        <s v="TORONTO"/>
      </sharedItems>
    </cacheField>
    <cacheField name="[Measures].[Count of Organization 4]" caption="Count of Organization 4" numFmtId="0" hierarchy="66" level="32767"/>
    <cacheField name="[Measures].[Count of Initial Contract Start Date]" caption="Count of Initial Contract Start Date" numFmtId="0" hierarchy="67" level="32767"/>
    <cacheField name="[Measures].[Count of Initial Contract Start YEAR]" caption="Count of Initial Contract Start YEAR" numFmtId="0" hierarchy="70" level="32767"/>
    <cacheField name="[Measures].[Count of Initial Contract Start MONTH]" caption="Count of Initial Contract Start MONTH" numFmtId="0" hierarchy="69" level="32767"/>
    <cacheField name="[Range 3].[Initial Contract Start MONTH].[Initial Contract Start MONTH]" caption="Initial Contract Start MONTH" numFmtId="0" hierarchy="20" level="1">
      <sharedItems containsSemiMixedTypes="0" containsNonDate="0" containsString="0"/>
    </cacheField>
    <cacheField name="[Range 3].[Initial Contract Start YEAR].[Initial Contract Start YEAR]" caption="Initial Contract Start YEAR" numFmtId="0" hierarchy="21" level="1">
      <sharedItems containsSemiMixedTypes="0" containsNonDate="0" containsString="0"/>
    </cacheField>
  </cacheFields>
  <cacheHierarchies count="90"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Organization]" caption="Organization" attribute="1" defaultMemberUniqueName="[Range].[Organization].[All]" allUniqueName="[Range].[Organization].[All]" dimensionUniqueName="[Range]" displayFolder="" count="0" memberValueDatatype="130" unbalanced="0"/>
    <cacheHierarchy uniqueName="[Range].[Total Cost (USD)]" caption="Total Cost (USD)" attribute="1" defaultMemberUniqueName="[Range].[Total Cost (USD)].[All]" allUniqueName="[Range].[Total Cost (USD)].[All]" dimensionUniqueName="[Range]" displayFolder="" count="0" memberValueDatatype="20" unbalanced="0"/>
    <cacheHierarchy uniqueName="[Range].[Revenue (USD)]" caption="Revenue (USD)" attribute="1" defaultMemberUniqueName="[Range].[Revenue (USD)].[All]" allUniqueName="[Range].[Revenue (USD)].[All]" dimensionUniqueName="[Range]" displayFolder="" count="0" memberValueDatatype="20" unbalanced="0"/>
    <cacheHierarchy uniqueName="[Range].[PROFIT MARGIN KPI]" caption="PROFIT MARGIN KPI" attribute="1" defaultMemberUniqueName="[Range].[PROFIT MARGIN KPI].[All]" allUniqueName="[Range].[PROFIT MARGIN KPI].[All]" dimensionUniqueName="[Range]" displayFolder="" count="0" memberValueDatatype="5" unbalanced="0"/>
    <cacheHierarchy uniqueName="[Range].[Cost Effectiveness (%)]" caption="Cost Effectiveness (%)" attribute="1" defaultMemberUniqueName="[Range].[Cost Effectiveness (%)].[All]" allUniqueName="[Range].[Cost Effectiveness (%)].[All]" dimensionUniqueName="[Range]" displayFolder="" count="0" memberValueDatatype="5" unbalanced="0"/>
    <cacheHierarchy uniqueName="[Range 1].[LOCATION]" caption="LOCATION" attribute="1" defaultMemberUniqueName="[Range 1].[LOCATION].[All]" allUniqueName="[Range 1].[LOCATION].[All]" dimensionUniqueName="[Range 1]" displayFolder="" count="0" memberValueDatatype="130" unbalanced="0"/>
    <cacheHierarchy uniqueName="[Range 1].[Organization]" caption="Organization" attribute="1" defaultMemberUniqueName="[Range 1].[Organization].[All]" allUniqueName="[Range 1].[Organization].[All]" dimensionUniqueName="[Range 1]" displayFolder="" count="0" memberValueDatatype="130" unbalanced="0"/>
    <cacheHierarchy uniqueName="[Range 1].[Promoter (9-10)]" caption="Promoter (9-10)" attribute="1" defaultMemberUniqueName="[Range 1].[Promoter (9-10)].[All]" allUniqueName="[Range 1].[Promoter (9-10)].[All]" dimensionUniqueName="[Range 1]" displayFolder="" count="0" memberValueDatatype="20" unbalanced="0"/>
    <cacheHierarchy uniqueName="[Range 1].[Passive (7-8)]" caption="Passive (7-8)" attribute="1" defaultMemberUniqueName="[Range 1].[Passive (7-8)].[All]" allUniqueName="[Range 1].[Passive (7-8)].[All]" dimensionUniqueName="[Range 1]" displayFolder="" count="0" memberValueDatatype="20" unbalanced="0"/>
    <cacheHierarchy uniqueName="[Range 1].[Detractor (0-6)]" caption="Detractor (0-6)" attribute="1" defaultMemberUniqueName="[Range 1].[Detractor (0-6)].[All]" allUniqueName="[Range 1].[Detractor (0-6)].[All]" dimensionUniqueName="[Range 1]" displayFolder="" count="0" memberValueDatatype="20" unbalanced="0"/>
    <cacheHierarchy uniqueName="[Range 2].[LOCATION]" caption="LOCATION" attribute="1" defaultMemberUniqueName="[Range 2].[LOCATION].[All]" allUniqueName="[Range 2].[LOCATION].[All]" dimensionUniqueName="[Range 2]" displayFolder="" count="0" memberValueDatatype="130" unbalanced="0"/>
    <cacheHierarchy uniqueName="[Range 2].[Incident ID]" caption="Incident ID" attribute="1" defaultMemberUniqueName="[Range 2].[Incident ID].[All]" allUniqueName="[Range 2].[Incident ID].[All]" dimensionUniqueName="[Range 2]" displayFolder="" count="0" memberValueDatatype="130" unbalanced="0"/>
    <cacheHierarchy uniqueName="[Range 2].[Organization]" caption="Organization" attribute="1" defaultMemberUniqueName="[Range 2].[Organization].[All]" allUniqueName="[Range 2].[Organization].[All]" dimensionUniqueName="[Range 2]" displayFolder="" count="0" memberValueDatatype="130" unbalanced="0"/>
    <cacheHierarchy uniqueName="[Range 2].[Service Request Date]" caption="Service Request Date" attribute="1" defaultMemberUniqueName="[Range 2].[Service Request Date].[All]" allUniqueName="[Range 2].[Service Request Date].[All]" dimensionUniqueName="[Range 2]" displayFolder="" count="0" memberValueDatatype="130" unbalanced="0"/>
    <cacheHierarchy uniqueName="[Range 2].[Completion Date]" caption="Completion Date" attribute="1" defaultMemberUniqueName="[Range 2].[Completion Date].[All]" allUniqueName="[Range 2].[Completion Date].[All]" dimensionUniqueName="[Range 2]" displayFolder="" count="0" memberValueDatatype="130" unbalanced="0"/>
    <cacheHierarchy uniqueName="[Range 2].[Response Time (Hours)]" caption="Response Time (Hours)" attribute="1" defaultMemberUniqueName="[Range 2].[Response Time (Hours)].[All]" allUniqueName="[Range 2].[Response Time (Hours)].[All]" dimensionUniqueName="[Range 2]" displayFolder="" count="0" memberValueDatatype="20" unbalanced="0"/>
    <cacheHierarchy uniqueName="[Range 3].[LOCATION]" caption="LOCATION" attribute="1" defaultMemberUniqueName="[Range 3].[LOCATION].[All]" allUniqueName="[Range 3].[LOCATION].[All]" dimensionUniqueName="[Range 3]" displayFolder="" count="2" memberValueDatatype="130" unbalanced="0">
      <fieldsUsage count="2">
        <fieldUsage x="-1"/>
        <fieldUsage x="0"/>
      </fieldsUsage>
    </cacheHierarchy>
    <cacheHierarchy uniqueName="[Range 3].[Organization]" caption="Organization" attribute="1" defaultMemberUniqueName="[Range 3].[Organization].[All]" allUniqueName="[Range 3].[Organization].[All]" dimensionUniqueName="[Range 3]" displayFolder="" count="0" memberValueDatatype="130" unbalanced="0"/>
    <cacheHierarchy uniqueName="[Range 3].[Initial Contract Start Date]" caption="Initial Contract Start Date" attribute="1" time="1" defaultMemberUniqueName="[Range 3].[Initial Contract Start Date].[All]" allUniqueName="[Range 3].[Initial Contract Start Date].[All]" dimensionUniqueName="[Range 3]" displayFolder="" count="0" memberValueDatatype="7" unbalanced="0"/>
    <cacheHierarchy uniqueName="[Range 3].[Initial Contract Start MONTH]" caption="Initial Contract Start MONTH" attribute="1" defaultMemberUniqueName="[Range 3].[Initial Contract Start MONTH].[All]" allUniqueName="[Range 3].[Initial Contract Start MONTH].[All]" dimensionUniqueName="[Range 3]" displayFolder="" count="2" memberValueDatatype="130" unbalanced="0">
      <fieldsUsage count="2">
        <fieldUsage x="-1"/>
        <fieldUsage x="5"/>
      </fieldsUsage>
    </cacheHierarchy>
    <cacheHierarchy uniqueName="[Range 3].[Initial Contract Start YEAR]" caption="Initial Contract Start YEAR" attribute="1" time="1" defaultMemberUniqueName="[Range 3].[Initial Contract Start YEAR].[All]" allUniqueName="[Range 3].[Initial Contract Start YEAR].[All]" dimensionUniqueName="[Range 3]" displayFolder="" count="2" memberValueDatatype="7" unbalanced="0">
      <fieldsUsage count="2">
        <fieldUsage x="-1"/>
        <fieldUsage x="6"/>
      </fieldsUsage>
    </cacheHierarchy>
    <cacheHierarchy uniqueName="[Range 3].[Initial Contract Start YEAR (Year)]" caption="Initial Contract Start YEAR (Year)" attribute="1" defaultMemberUniqueName="[Range 3].[Initial Contract Start YEAR (Year)].[All]" allUniqueName="[Range 3].[Initial Contract Start YEAR (Year)].[All]" dimensionUniqueName="[Range 3]" displayFolder="" count="0" memberValueDatatype="130" unbalanced="0"/>
    <cacheHierarchy uniqueName="[Range 3].[Initial Contract Start YEAR (Quarter)]" caption="Initial Contract Start YEAR (Quarter)" attribute="1" defaultMemberUniqueName="[Range 3].[Initial Contract Start YEAR (Quarter)].[All]" allUniqueName="[Range 3].[Initial Contract Start YEAR (Quarter)].[All]" dimensionUniqueName="[Range 3]" displayFolder="" count="0" memberValueDatatype="130" unbalanced="0"/>
    <cacheHierarchy uniqueName="[Range 3].[Initial Contract Start YEAR (Month)]" caption="Initial Contract Start YEAR (Month)" attribute="1" defaultMemberUniqueName="[Range 3].[Initial Contract Start YEAR (Month)].[All]" allUniqueName="[Range 3].[Initial Contract Start YEAR (Month)].[All]" dimensionUniqueName="[Range 3]" displayFolder="" count="0" memberValueDatatype="130" unbalanced="0"/>
    <cacheHierarchy uniqueName="[Range 4].[LOCATION]" caption="LOCATION" attribute="1" defaultMemberUniqueName="[Range 4].[LOCATION].[All]" allUniqueName="[Range 4].[LOCATION].[All]" dimensionUniqueName="[Range 4]" displayFolder="" count="0" memberValueDatatype="130" unbalanced="0"/>
    <cacheHierarchy uniqueName="[Range 4].[Organization]" caption="Organization" attribute="1" defaultMemberUniqueName="[Range 4].[Organization].[All]" allUniqueName="[Range 4].[Organization].[All]" dimensionUniqueName="[Range 4]" displayFolder="" count="0" memberValueDatatype="130" unbalanced="0"/>
    <cacheHierarchy uniqueName="[Range 4].[Total Cost (USD)]" caption="Total Cost (USD)" attribute="1" defaultMemberUniqueName="[Range 4].[Total Cost (USD)].[All]" allUniqueName="[Range 4].[Total Cost (USD)].[All]" dimensionUniqueName="[Range 4]" displayFolder="" count="0" memberValueDatatype="20" unbalanced="0"/>
    <cacheHierarchy uniqueName="[Range 4].[Revenue (USD)]" caption="Revenue (USD)" attribute="1" defaultMemberUniqueName="[Range 4].[Revenue (USD)].[All]" allUniqueName="[Range 4].[Revenue (USD)].[All]" dimensionUniqueName="[Range 4]" displayFolder="" count="0" memberValueDatatype="20" unbalanced="0"/>
    <cacheHierarchy uniqueName="[Range 4].[PROFIT MARGIN KPI]" caption="PROFIT MARGIN KPI" attribute="1" defaultMemberUniqueName="[Range 4].[PROFIT MARGIN KPI].[All]" allUniqueName="[Range 4].[PROFIT MARGIN KPI].[All]" dimensionUniqueName="[Range 4]" displayFolder="" count="0" memberValueDatatype="5" unbalanced="0"/>
    <cacheHierarchy uniqueName="[Range 4].[Cost Effectiveness (%)]" caption="Cost Effectiveness (%)" attribute="1" defaultMemberUniqueName="[Range 4].[Cost Effectiveness (%)].[All]" allUniqueName="[Range 4].[Cost Effectiveness (%)].[All]" dimensionUniqueName="[Range 4]" displayFolder="" count="0" memberValueDatatype="5" unbalanced="0"/>
    <cacheHierarchy uniqueName="[Range 4].[Initial Contract Start Date]" caption="Initial Contract Start Date" attribute="1" time="1" defaultMemberUniqueName="[Range 4].[Initial Contract Start Date].[All]" allUniqueName="[Range 4].[Initial Contract Start Date].[All]" dimensionUniqueName="[Range 4]" displayFolder="" count="0" memberValueDatatype="7" unbalanced="0"/>
    <cacheHierarchy uniqueName="[Range 4].[Initial Contract Start MONTH]" caption="Initial Contract Start MONTH" attribute="1" defaultMemberUniqueName="[Range 4].[Initial Contract Start MONTH].[All]" allUniqueName="[Range 4].[Initial Contract Start MONTH].[All]" dimensionUniqueName="[Range 4]" displayFolder="" count="0" memberValueDatatype="130" unbalanced="0"/>
    <cacheHierarchy uniqueName="[Range 4].[Initial Contract Start YEAR]" caption="Initial Contract Start YEAR" attribute="1" time="1" defaultMemberUniqueName="[Range 4].[Initial Contract Start YEAR].[All]" allUniqueName="[Range 4].[Initial Contract Start YEAR].[All]" dimensionUniqueName="[Range 4]" displayFolder="" count="0" memberValueDatatype="7" unbalanced="0"/>
    <cacheHierarchy uniqueName="[Range 4].[Incident ID]" caption="Incident ID" attribute="1" defaultMemberUniqueName="[Range 4].[Incident ID].[All]" allUniqueName="[Range 4].[Incident ID].[All]" dimensionUniqueName="[Range 4]" displayFolder="" count="0" memberValueDatatype="130" unbalanced="0"/>
    <cacheHierarchy uniqueName="[Range 4].[Service Request Date]" caption="Service Request Date" attribute="1" defaultMemberUniqueName="[Range 4].[Service Request Date].[All]" allUniqueName="[Range 4].[Service Request Date].[All]" dimensionUniqueName="[Range 4]" displayFolder="" count="0" memberValueDatatype="130" unbalanced="0"/>
    <cacheHierarchy uniqueName="[Range 4].[Completion Date]" caption="Completion Date" attribute="1" defaultMemberUniqueName="[Range 4].[Completion Date].[All]" allUniqueName="[Range 4].[Completion Date].[All]" dimensionUniqueName="[Range 4]" displayFolder="" count="0" memberValueDatatype="130" unbalanced="0"/>
    <cacheHierarchy uniqueName="[Range 4].[Response Time (Hours)]" caption="Response Time (Hours)" attribute="1" defaultMemberUniqueName="[Range 4].[Response Time (Hours)].[All]" allUniqueName="[Range 4].[Response Time (Hours)].[All]" dimensionUniqueName="[Range 4]" displayFolder="" count="0" memberValueDatatype="20" unbalanced="0"/>
    <cacheHierarchy uniqueName="[Range 4].[Project Summary]" caption="Project Summary" attribute="1" defaultMemberUniqueName="[Range 4].[Project Summary].[All]" allUniqueName="[Range 4].[Project Summary].[All]" dimensionUniqueName="[Range 4]" displayFolder="" count="0" memberValueDatatype="130" unbalanced="0"/>
    <cacheHierarchy uniqueName="[Range 4].[Project Completion Start Date]" caption="Project Completion Start Date" attribute="1" defaultMemberUniqueName="[Range 4].[Project Completion Start Date].[All]" allUniqueName="[Range 4].[Project Completion Start Date].[All]" dimensionUniqueName="[Range 4]" displayFolder="" count="0" memberValueDatatype="130" unbalanced="0"/>
    <cacheHierarchy uniqueName="[Range 4].[Project Completion Completion Date]" caption="Project Completion Completion Date" attribute="1" defaultMemberUniqueName="[Range 4].[Project Completion Completion Date].[All]" allUniqueName="[Range 4].[Project Completion Completion Date].[All]" dimensionUniqueName="[Range 4]" displayFolder="" count="0" memberValueDatatype="130" unbalanced="0"/>
    <cacheHierarchy uniqueName="[Range 4].[Project Completion Time (Days)]" caption="Project Completion Time (Days)" attribute="1" defaultMemberUniqueName="[Range 4].[Project Completion Time (Days)].[All]" allUniqueName="[Range 4].[Project Completion Time (Days)].[All]" dimensionUniqueName="[Range 4]" displayFolder="" count="0" memberValueDatatype="130" unbalanced="0"/>
    <cacheHierarchy uniqueName="[Range 4].[Promoter (9-10)]" caption="Promoter (9-10)" attribute="1" defaultMemberUniqueName="[Range 4].[Promoter (9-10)].[All]" allUniqueName="[Range 4].[Promoter (9-10)].[All]" dimensionUniqueName="[Range 4]" displayFolder="" count="0" memberValueDatatype="20" unbalanced="0"/>
    <cacheHierarchy uniqueName="[Range 4].[Passive (7-8)]" caption="Passive (7-8)" attribute="1" defaultMemberUniqueName="[Range 4].[Passive (7-8)].[All]" allUniqueName="[Range 4].[Passive (7-8)].[All]" dimensionUniqueName="[Range 4]" displayFolder="" count="0" memberValueDatatype="20" unbalanced="0"/>
    <cacheHierarchy uniqueName="[Range 4].[Detractor (0-6)]" caption="Detractor (0-6)" attribute="1" defaultMemberUniqueName="[Range 4].[Detractor (0-6)].[All]" allUniqueName="[Range 4].[Detractor (0-6)].[All]" dimensionUniqueName="[Range 4]" displayFolder="" count="0" memberValueDatatype="20" unbalanced="0"/>
    <cacheHierarchy uniqueName="[Range 3].[Initial Contract Start YEAR (Month Index)]" caption="Initial Contract Start YEAR (Month Index)" attribute="1" defaultMemberUniqueName="[Range 3].[Initial Contract Start YEAR (Month Index)].[All]" allUniqueName="[Range 3].[Initial Contract Start YEAR (Month Index)].[All]" dimensionUniqueName="[Range 3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Count of Organization]" caption="Count of Organization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 Cost (USD)]" caption="Sum of Total Cost (USD)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Revenue (USD)]" caption="Sum of Revenue (USD)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ost Effectiveness (%)]" caption="Sum of Cost Effectiveness (%)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OFIT MARGIN KPI]" caption="Sum of PROFIT MARGIN KPI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ganization 2]" caption="Count of Organization 2" measure="1" displayFolder="" measureGroup="Range 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moter (9-10)]" caption="Sum of Promoter (9-10)" measure="1" displayFolder="" measureGroup="Range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assive (7-8)]" caption="Sum of Passive (7-8)" measure="1" displayFolder="" measureGroup="Range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Detractor (0-6)]" caption="Sum of Detractor (0-6)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Incident ID]" caption="Count of Incident ID" measure="1" displayFolder="" measureGroup="Range 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ganization 3]" caption="Count of Organization 3" measure="1" displayFolder="" measureGroup="Range 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Service Request Date]" caption="Count of Service Request Date" measure="1" displayFolder="" measureGroup="Range 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ompletion Date]" caption="Count of Completion Date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esponse Time (Hours)]" caption="Sum of Response Time (Hours)" measure="1" displayFolder="" measureGroup="Range 2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Organization 4]" caption="Count of Organization 4" measure="1" displayFolder="" measureGroup="Range 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Initial Contract Start Date]" caption="Count of Initial Contract Start Date" measure="1" displayFolder="" measureGroup="Range 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Distinct Count of Initial Contract Start Date]" caption="Distinct Count of Initial Contract Start Date" measure="1" displayFolder="" measureGroup="Range 3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Initial Contract Start MONTH]" caption="Count of Initial Contract Start MONTH" measure="1" displayFolder="" measureGroup="Range 3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Initial Contract Start YEAR]" caption="Count of Initial Contract Start YEAR" measure="1" displayFolder="" measureGroup="Range 3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otal Cost (USD) 2]" caption="Sum of Total Cost (USD) 2" measure="1" displayFolder="" measureGroup="Range 4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Revenue (USD) 2]" caption="Sum of Revenue (USD) 2" measure="1" displayFolder="" measureGroup="Range 4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PROFIT MARGIN KPI 2]" caption="Sum of PROFIT MARGIN KPI 2" measure="1" displayFolder="" measureGroup="Range 4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Cost Effectiveness (%) 2]" caption="Sum of Cost Effectiveness (%) 2" measure="1" displayFolder="" measureGroup="Range 4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Initial Contract Start Date 2]" caption="Count of Initial Contract Start Date 2" measure="1" displayFolder="" measureGroup="Range 4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Initial Contract Start MONTH 2]" caption="Count of Initial Contract Start MONTH 2" measure="1" displayFolder="" measureGroup="Range 4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Initial Contract Start YEAR 2]" caption="Count of Initial Contract Start YEAR 2" measure="1" displayFolder="" measureGroup="Range 4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Incident ID 2]" caption="Count of Incident ID 2" measure="1" displayFolder="" measureGroup="Range 4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Service Request Date 2]" caption="Count of Service Request Date 2" measure="1" displayFolder="" measureGroup="Range 4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Completion Date 2]" caption="Count of Completion Date 2" measure="1" displayFolder="" measureGroup="Range 4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Response Time (Hours) 2]" caption="Sum of Response Time (Hours) 2" measure="1" displayFolder="" measureGroup="Range 4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Project Summary]" caption="Count of Project Summary" measure="1" displayFolder="" measureGroup="Range 4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Project Completion Start Date]" caption="Count of Project Completion Start Date" measure="1" displayFolder="" measureGroup="Range 4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Project Completion Completion Date]" caption="Count of Project Completion Completion Date" measure="1" displayFolder="" measureGroup="Range 4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Project Completion Time (Days)]" caption="Count of Project Completion Time (Days)" measure="1" displayFolder="" measureGroup="Range 4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Promoter (9-10) 2]" caption="Sum of Promoter (9-10) 2" measure="1" displayFolder="" measureGroup="Range 4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Passive (7-8) 2]" caption="Sum of Passive (7-8) 2" measure="1" displayFolder="" measureGroup="Range 4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Detractor (0-6) 2]" caption="Sum of Detractor (0-6) 2" measure="1" displayFolder="" measureGroup="Range 4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Count of Organization 5]" caption="Count of Organization 5" measure="1" displayFolder="" measureGroup="Range 4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rdon Elliott Williams" refreshedDate="45872.833651273148" backgroundQuery="1" createdVersion="8" refreshedVersion="8" minRefreshableVersion="3" recordCount="0" supportSubquery="1" supportAdvancedDrill="1" xr:uid="{A71F28E3-BAD4-435F-8B23-524936276C4F}">
  <cacheSource type="external" connectionId="1"/>
  <cacheFields count="6">
    <cacheField name="[Range 2].[LOCATION].[LOCATION]" caption="LOCATION" numFmtId="0" hierarchy="11" level="1">
      <sharedItems count="3">
        <s v="SAO PAULO"/>
        <s v="SILICON VALLEY"/>
        <s v="TORONTO"/>
      </sharedItems>
    </cacheField>
    <cacheField name="[Measures].[Count of Incident ID]" caption="Count of Incident ID" numFmtId="0" hierarchy="61" level="32767"/>
    <cacheField name="[Measures].[Count of Organization 3]" caption="Count of Organization 3" numFmtId="0" hierarchy="62" level="32767"/>
    <cacheField name="[Measures].[Count of Service Request Date]" caption="Count of Service Request Date" numFmtId="0" hierarchy="63" level="32767"/>
    <cacheField name="[Measures].[Count of Completion Date]" caption="Count of Completion Date" numFmtId="0" hierarchy="64" level="32767"/>
    <cacheField name="[Measures].[Sum of Response Time (Hours)]" caption="Sum of Response Time (Hours)" numFmtId="0" hierarchy="65" level="32767"/>
  </cacheFields>
  <cacheHierarchies count="90"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Organization]" caption="Organization" attribute="1" defaultMemberUniqueName="[Range].[Organization].[All]" allUniqueName="[Range].[Organization].[All]" dimensionUniqueName="[Range]" displayFolder="" count="0" memberValueDatatype="130" unbalanced="0"/>
    <cacheHierarchy uniqueName="[Range].[Total Cost (USD)]" caption="Total Cost (USD)" attribute="1" defaultMemberUniqueName="[Range].[Total Cost (USD)].[All]" allUniqueName="[Range].[Total Cost (USD)].[All]" dimensionUniqueName="[Range]" displayFolder="" count="0" memberValueDatatype="20" unbalanced="0"/>
    <cacheHierarchy uniqueName="[Range].[Revenue (USD)]" caption="Revenue (USD)" attribute="1" defaultMemberUniqueName="[Range].[Revenue (USD)].[All]" allUniqueName="[Range].[Revenue (USD)].[All]" dimensionUniqueName="[Range]" displayFolder="" count="0" memberValueDatatype="20" unbalanced="0"/>
    <cacheHierarchy uniqueName="[Range].[PROFIT MARGIN KPI]" caption="PROFIT MARGIN KPI" attribute="1" defaultMemberUniqueName="[Range].[PROFIT MARGIN KPI].[All]" allUniqueName="[Range].[PROFIT MARGIN KPI].[All]" dimensionUniqueName="[Range]" displayFolder="" count="0" memberValueDatatype="5" unbalanced="0"/>
    <cacheHierarchy uniqueName="[Range].[Cost Effectiveness (%)]" caption="Cost Effectiveness (%)" attribute="1" defaultMemberUniqueName="[Range].[Cost Effectiveness (%)].[All]" allUniqueName="[Range].[Cost Effectiveness (%)].[All]" dimensionUniqueName="[Range]" displayFolder="" count="0" memberValueDatatype="5" unbalanced="0"/>
    <cacheHierarchy uniqueName="[Range 1].[LOCATION]" caption="LOCATION" attribute="1" defaultMemberUniqueName="[Range 1].[LOCATION].[All]" allUniqueName="[Range 1].[LOCATION].[All]" dimensionUniqueName="[Range 1]" displayFolder="" count="0" memberValueDatatype="130" unbalanced="0"/>
    <cacheHierarchy uniqueName="[Range 1].[Organization]" caption="Organization" attribute="1" defaultMemberUniqueName="[Range 1].[Organization].[All]" allUniqueName="[Range 1].[Organization].[All]" dimensionUniqueName="[Range 1]" displayFolder="" count="0" memberValueDatatype="130" unbalanced="0"/>
    <cacheHierarchy uniqueName="[Range 1].[Promoter (9-10)]" caption="Promoter (9-10)" attribute="1" defaultMemberUniqueName="[Range 1].[Promoter (9-10)].[All]" allUniqueName="[Range 1].[Promoter (9-10)].[All]" dimensionUniqueName="[Range 1]" displayFolder="" count="0" memberValueDatatype="20" unbalanced="0"/>
    <cacheHierarchy uniqueName="[Range 1].[Passive (7-8)]" caption="Passive (7-8)" attribute="1" defaultMemberUniqueName="[Range 1].[Passive (7-8)].[All]" allUniqueName="[Range 1].[Passive (7-8)].[All]" dimensionUniqueName="[Range 1]" displayFolder="" count="0" memberValueDatatype="20" unbalanced="0"/>
    <cacheHierarchy uniqueName="[Range 1].[Detractor (0-6)]" caption="Detractor (0-6)" attribute="1" defaultMemberUniqueName="[Range 1].[Detractor (0-6)].[All]" allUniqueName="[Range 1].[Detractor (0-6)].[All]" dimensionUniqueName="[Range 1]" displayFolder="" count="0" memberValueDatatype="20" unbalanced="0"/>
    <cacheHierarchy uniqueName="[Range 2].[LOCATION]" caption="LOCATION" attribute="1" defaultMemberUniqueName="[Range 2].[LOCATION].[All]" allUniqueName="[Range 2].[LOCATION].[All]" dimensionUniqueName="[Range 2]" displayFolder="" count="2" memberValueDatatype="130" unbalanced="0">
      <fieldsUsage count="2">
        <fieldUsage x="-1"/>
        <fieldUsage x="0"/>
      </fieldsUsage>
    </cacheHierarchy>
    <cacheHierarchy uniqueName="[Range 2].[Incident ID]" caption="Incident ID" attribute="1" defaultMemberUniqueName="[Range 2].[Incident ID].[All]" allUniqueName="[Range 2].[Incident ID].[All]" dimensionUniqueName="[Range 2]" displayFolder="" count="0" memberValueDatatype="130" unbalanced="0"/>
    <cacheHierarchy uniqueName="[Range 2].[Organization]" caption="Organization" attribute="1" defaultMemberUniqueName="[Range 2].[Organization].[All]" allUniqueName="[Range 2].[Organization].[All]" dimensionUniqueName="[Range 2]" displayFolder="" count="0" memberValueDatatype="130" unbalanced="0"/>
    <cacheHierarchy uniqueName="[Range 2].[Service Request Date]" caption="Service Request Date" attribute="1" defaultMemberUniqueName="[Range 2].[Service Request Date].[All]" allUniqueName="[Range 2].[Service Request Date].[All]" dimensionUniqueName="[Range 2]" displayFolder="" count="0" memberValueDatatype="130" unbalanced="0"/>
    <cacheHierarchy uniqueName="[Range 2].[Completion Date]" caption="Completion Date" attribute="1" defaultMemberUniqueName="[Range 2].[Completion Date].[All]" allUniqueName="[Range 2].[Completion Date].[All]" dimensionUniqueName="[Range 2]" displayFolder="" count="0" memberValueDatatype="130" unbalanced="0"/>
    <cacheHierarchy uniqueName="[Range 2].[Response Time (Hours)]" caption="Response Time (Hours)" attribute="1" defaultMemberUniqueName="[Range 2].[Response Time (Hours)].[All]" allUniqueName="[Range 2].[Response Time (Hours)].[All]" dimensionUniqueName="[Range 2]" displayFolder="" count="0" memberValueDatatype="20" unbalanced="0"/>
    <cacheHierarchy uniqueName="[Range 3].[LOCATION]" caption="LOCATION" attribute="1" defaultMemberUniqueName="[Range 3].[LOCATION].[All]" allUniqueName="[Range 3].[LOCATION].[All]" dimensionUniqueName="[Range 3]" displayFolder="" count="0" memberValueDatatype="130" unbalanced="0"/>
    <cacheHierarchy uniqueName="[Range 3].[Organization]" caption="Organization" attribute="1" defaultMemberUniqueName="[Range 3].[Organization].[All]" allUniqueName="[Range 3].[Organization].[All]" dimensionUniqueName="[Range 3]" displayFolder="" count="0" memberValueDatatype="130" unbalanced="0"/>
    <cacheHierarchy uniqueName="[Range 3].[Initial Contract Start Date]" caption="Initial Contract Start Date" attribute="1" time="1" defaultMemberUniqueName="[Range 3].[Initial Contract Start Date].[All]" allUniqueName="[Range 3].[Initial Contract Start Date].[All]" dimensionUniqueName="[Range 3]" displayFolder="" count="0" memberValueDatatype="7" unbalanced="0"/>
    <cacheHierarchy uniqueName="[Range 3].[Initial Contract Start MONTH]" caption="Initial Contract Start MONTH" attribute="1" defaultMemberUniqueName="[Range 3].[Initial Contract Start MONTH].[All]" allUniqueName="[Range 3].[Initial Contract Start MONTH].[All]" dimensionUniqueName="[Range 3]" displayFolder="" count="0" memberValueDatatype="130" unbalanced="0"/>
    <cacheHierarchy uniqueName="[Range 3].[Initial Contract Start YEAR]" caption="Initial Contract Start YEAR" attribute="1" time="1" defaultMemberUniqueName="[Range 3].[Initial Contract Start YEAR].[All]" allUniqueName="[Range 3].[Initial Contract Start YEAR].[All]" dimensionUniqueName="[Range 3]" displayFolder="" count="0" memberValueDatatype="7" unbalanced="0"/>
    <cacheHierarchy uniqueName="[Range 3].[Initial Contract Start YEAR (Year)]" caption="Initial Contract Start YEAR (Year)" attribute="1" defaultMemberUniqueName="[Range 3].[Initial Contract Start YEAR (Year)].[All]" allUniqueName="[Range 3].[Initial Contract Start YEAR (Year)].[All]" dimensionUniqueName="[Range 3]" displayFolder="" count="0" memberValueDatatype="130" unbalanced="0"/>
    <cacheHierarchy uniqueName="[Range 3].[Initial Contract Start YEAR (Quarter)]" caption="Initial Contract Start YEAR (Quarter)" attribute="1" defaultMemberUniqueName="[Range 3].[Initial Contract Start YEAR (Quarter)].[All]" allUniqueName="[Range 3].[Initial Contract Start YEAR (Quarter)].[All]" dimensionUniqueName="[Range 3]" displayFolder="" count="0" memberValueDatatype="130" unbalanced="0"/>
    <cacheHierarchy uniqueName="[Range 3].[Initial Contract Start YEAR (Month)]" caption="Initial Contract Start YEAR (Month)" attribute="1" defaultMemberUniqueName="[Range 3].[Initial Contract Start YEAR (Month)].[All]" allUniqueName="[Range 3].[Initial Contract Start YEAR (Month)].[All]" dimensionUniqueName="[Range 3]" displayFolder="" count="0" memberValueDatatype="130" unbalanced="0"/>
    <cacheHierarchy uniqueName="[Range 4].[LOCATION]" caption="LOCATION" attribute="1" defaultMemberUniqueName="[Range 4].[LOCATION].[All]" allUniqueName="[Range 4].[LOCATION].[All]" dimensionUniqueName="[Range 4]" displayFolder="" count="0" memberValueDatatype="130" unbalanced="0"/>
    <cacheHierarchy uniqueName="[Range 4].[Organization]" caption="Organization" attribute="1" defaultMemberUniqueName="[Range 4].[Organization].[All]" allUniqueName="[Range 4].[Organization].[All]" dimensionUniqueName="[Range 4]" displayFolder="" count="0" memberValueDatatype="130" unbalanced="0"/>
    <cacheHierarchy uniqueName="[Range 4].[Total Cost (USD)]" caption="Total Cost (USD)" attribute="1" defaultMemberUniqueName="[Range 4].[Total Cost (USD)].[All]" allUniqueName="[Range 4].[Total Cost (USD)].[All]" dimensionUniqueName="[Range 4]" displayFolder="" count="0" memberValueDatatype="20" unbalanced="0"/>
    <cacheHierarchy uniqueName="[Range 4].[Revenue (USD)]" caption="Revenue (USD)" attribute="1" defaultMemberUniqueName="[Range 4].[Revenue (USD)].[All]" allUniqueName="[Range 4].[Revenue (USD)].[All]" dimensionUniqueName="[Range 4]" displayFolder="" count="0" memberValueDatatype="20" unbalanced="0"/>
    <cacheHierarchy uniqueName="[Range 4].[PROFIT MARGIN KPI]" caption="PROFIT MARGIN KPI" attribute="1" defaultMemberUniqueName="[Range 4].[PROFIT MARGIN KPI].[All]" allUniqueName="[Range 4].[PROFIT MARGIN KPI].[All]" dimensionUniqueName="[Range 4]" displayFolder="" count="0" memberValueDatatype="5" unbalanced="0"/>
    <cacheHierarchy uniqueName="[Range 4].[Cost Effectiveness (%)]" caption="Cost Effectiveness (%)" attribute="1" defaultMemberUniqueName="[Range 4].[Cost Effectiveness (%)].[All]" allUniqueName="[Range 4].[Cost Effectiveness (%)].[All]" dimensionUniqueName="[Range 4]" displayFolder="" count="0" memberValueDatatype="5" unbalanced="0"/>
    <cacheHierarchy uniqueName="[Range 4].[Initial Contract Start Date]" caption="Initial Contract Start Date" attribute="1" time="1" defaultMemberUniqueName="[Range 4].[Initial Contract Start Date].[All]" allUniqueName="[Range 4].[Initial Contract Start Date].[All]" dimensionUniqueName="[Range 4]" displayFolder="" count="0" memberValueDatatype="7" unbalanced="0"/>
    <cacheHierarchy uniqueName="[Range 4].[Initial Contract Start MONTH]" caption="Initial Contract Start MONTH" attribute="1" defaultMemberUniqueName="[Range 4].[Initial Contract Start MONTH].[All]" allUniqueName="[Range 4].[Initial Contract Start MONTH].[All]" dimensionUniqueName="[Range 4]" displayFolder="" count="0" memberValueDatatype="130" unbalanced="0"/>
    <cacheHierarchy uniqueName="[Range 4].[Initial Contract Start YEAR]" caption="Initial Contract Start YEAR" attribute="1" time="1" defaultMemberUniqueName="[Range 4].[Initial Contract Start YEAR].[All]" allUniqueName="[Range 4].[Initial Contract Start YEAR].[All]" dimensionUniqueName="[Range 4]" displayFolder="" count="0" memberValueDatatype="7" unbalanced="0"/>
    <cacheHierarchy uniqueName="[Range 4].[Incident ID]" caption="Incident ID" attribute="1" defaultMemberUniqueName="[Range 4].[Incident ID].[All]" allUniqueName="[Range 4].[Incident ID].[All]" dimensionUniqueName="[Range 4]" displayFolder="" count="0" memberValueDatatype="130" unbalanced="0"/>
    <cacheHierarchy uniqueName="[Range 4].[Service Request Date]" caption="Service Request Date" attribute="1" defaultMemberUniqueName="[Range 4].[Service Request Date].[All]" allUniqueName="[Range 4].[Service Request Date].[All]" dimensionUniqueName="[Range 4]" displayFolder="" count="0" memberValueDatatype="130" unbalanced="0"/>
    <cacheHierarchy uniqueName="[Range 4].[Completion Date]" caption="Completion Date" attribute="1" defaultMemberUniqueName="[Range 4].[Completion Date].[All]" allUniqueName="[Range 4].[Completion Date].[All]" dimensionUniqueName="[Range 4]" displayFolder="" count="0" memberValueDatatype="130" unbalanced="0"/>
    <cacheHierarchy uniqueName="[Range 4].[Response Time (Hours)]" caption="Response Time (Hours)" attribute="1" defaultMemberUniqueName="[Range 4].[Response Time (Hours)].[All]" allUniqueName="[Range 4].[Response Time (Hours)].[All]" dimensionUniqueName="[Range 4]" displayFolder="" count="0" memberValueDatatype="20" unbalanced="0"/>
    <cacheHierarchy uniqueName="[Range 4].[Project Summary]" caption="Project Summary" attribute="1" defaultMemberUniqueName="[Range 4].[Project Summary].[All]" allUniqueName="[Range 4].[Project Summary].[All]" dimensionUniqueName="[Range 4]" displayFolder="" count="0" memberValueDatatype="130" unbalanced="0"/>
    <cacheHierarchy uniqueName="[Range 4].[Project Completion Start Date]" caption="Project Completion Start Date" attribute="1" defaultMemberUniqueName="[Range 4].[Project Completion Start Date].[All]" allUniqueName="[Range 4].[Project Completion Start Date].[All]" dimensionUniqueName="[Range 4]" displayFolder="" count="0" memberValueDatatype="130" unbalanced="0"/>
    <cacheHierarchy uniqueName="[Range 4].[Project Completion Completion Date]" caption="Project Completion Completion Date" attribute="1" defaultMemberUniqueName="[Range 4].[Project Completion Completion Date].[All]" allUniqueName="[Range 4].[Project Completion Completion Date].[All]" dimensionUniqueName="[Range 4]" displayFolder="" count="0" memberValueDatatype="130" unbalanced="0"/>
    <cacheHierarchy uniqueName="[Range 4].[Project Completion Time (Days)]" caption="Project Completion Time (Days)" attribute="1" defaultMemberUniqueName="[Range 4].[Project Completion Time (Days)].[All]" allUniqueName="[Range 4].[Project Completion Time (Days)].[All]" dimensionUniqueName="[Range 4]" displayFolder="" count="0" memberValueDatatype="130" unbalanced="0"/>
    <cacheHierarchy uniqueName="[Range 4].[Promoter (9-10)]" caption="Promoter (9-10)" attribute="1" defaultMemberUniqueName="[Range 4].[Promoter (9-10)].[All]" allUniqueName="[Range 4].[Promoter (9-10)].[All]" dimensionUniqueName="[Range 4]" displayFolder="" count="0" memberValueDatatype="20" unbalanced="0"/>
    <cacheHierarchy uniqueName="[Range 4].[Passive (7-8)]" caption="Passive (7-8)" attribute="1" defaultMemberUniqueName="[Range 4].[Passive (7-8)].[All]" allUniqueName="[Range 4].[Passive (7-8)].[All]" dimensionUniqueName="[Range 4]" displayFolder="" count="0" memberValueDatatype="20" unbalanced="0"/>
    <cacheHierarchy uniqueName="[Range 4].[Detractor (0-6)]" caption="Detractor (0-6)" attribute="1" defaultMemberUniqueName="[Range 4].[Detractor (0-6)].[All]" allUniqueName="[Range 4].[Detractor (0-6)].[All]" dimensionUniqueName="[Range 4]" displayFolder="" count="0" memberValueDatatype="20" unbalanced="0"/>
    <cacheHierarchy uniqueName="[Range 3].[Initial Contract Start YEAR (Month Index)]" caption="Initial Contract Start YEAR (Month Index)" attribute="1" defaultMemberUniqueName="[Range 3].[Initial Contract Start YEAR (Month Index)].[All]" allUniqueName="[Range 3].[Initial Contract Start YEAR (Month Index)].[All]" dimensionUniqueName="[Range 3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Count of Organization]" caption="Count of Organization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 Cost (USD)]" caption="Sum of Total Cost (USD)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Revenue (USD)]" caption="Sum of Revenue (USD)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ost Effectiveness (%)]" caption="Sum of Cost Effectiveness (%)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OFIT MARGIN KPI]" caption="Sum of PROFIT MARGIN KPI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ganization 2]" caption="Count of Organization 2" measure="1" displayFolder="" measureGroup="Range 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moter (9-10)]" caption="Sum of Promoter (9-10)" measure="1" displayFolder="" measureGroup="Range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assive (7-8)]" caption="Sum of Passive (7-8)" measure="1" displayFolder="" measureGroup="Range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Detractor (0-6)]" caption="Sum of Detractor (0-6)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Incident ID]" caption="Count of Incident ID" measure="1" displayFolder="" measureGroup="Range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ganization 3]" caption="Count of Organization 3" measure="1" displayFolder="" measureGroup="Range 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Service Request Date]" caption="Count of Service Request Date" measure="1" displayFolder="" measureGroup="Range 2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ompletion Date]" caption="Count of Completion Date" measure="1" displayFolder="" measureGroup="Range 2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esponse Time (Hours)]" caption="Sum of Response Time (Hours)" measure="1" displayFolder="" measureGroup="Range 2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Organization 4]" caption="Count of Organization 4" measure="1" displayFolder="" measureGroup="Range 3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Initial Contract Start Date]" caption="Count of Initial Contract Start Date" measure="1" displayFolder="" measureGroup="Range 3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Distinct Count of Initial Contract Start Date]" caption="Distinct Count of Initial Contract Start Date" measure="1" displayFolder="" measureGroup="Range 3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Initial Contract Start MONTH]" caption="Count of Initial Contract Start MONTH" measure="1" displayFolder="" measureGroup="Range 3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Initial Contract Start YEAR]" caption="Count of Initial Contract Start YEAR" measure="1" displayFolder="" measureGroup="Range 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otal Cost (USD) 2]" caption="Sum of Total Cost (USD) 2" measure="1" displayFolder="" measureGroup="Range 4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Revenue (USD) 2]" caption="Sum of Revenue (USD) 2" measure="1" displayFolder="" measureGroup="Range 4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PROFIT MARGIN KPI 2]" caption="Sum of PROFIT MARGIN KPI 2" measure="1" displayFolder="" measureGroup="Range 4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Cost Effectiveness (%) 2]" caption="Sum of Cost Effectiveness (%) 2" measure="1" displayFolder="" measureGroup="Range 4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Initial Contract Start Date 2]" caption="Count of Initial Contract Start Date 2" measure="1" displayFolder="" measureGroup="Range 4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Initial Contract Start MONTH 2]" caption="Count of Initial Contract Start MONTH 2" measure="1" displayFolder="" measureGroup="Range 4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Initial Contract Start YEAR 2]" caption="Count of Initial Contract Start YEAR 2" measure="1" displayFolder="" measureGroup="Range 4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Incident ID 2]" caption="Count of Incident ID 2" measure="1" displayFolder="" measureGroup="Range 4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Service Request Date 2]" caption="Count of Service Request Date 2" measure="1" displayFolder="" measureGroup="Range 4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Completion Date 2]" caption="Count of Completion Date 2" measure="1" displayFolder="" measureGroup="Range 4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Response Time (Hours) 2]" caption="Sum of Response Time (Hours) 2" measure="1" displayFolder="" measureGroup="Range 4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Project Summary]" caption="Count of Project Summary" measure="1" displayFolder="" measureGroup="Range 4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Project Completion Start Date]" caption="Count of Project Completion Start Date" measure="1" displayFolder="" measureGroup="Range 4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Project Completion Completion Date]" caption="Count of Project Completion Completion Date" measure="1" displayFolder="" measureGroup="Range 4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Project Completion Time (Days)]" caption="Count of Project Completion Time (Days)" measure="1" displayFolder="" measureGroup="Range 4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Promoter (9-10) 2]" caption="Sum of Promoter (9-10) 2" measure="1" displayFolder="" measureGroup="Range 4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Passive (7-8) 2]" caption="Sum of Passive (7-8) 2" measure="1" displayFolder="" measureGroup="Range 4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Detractor (0-6) 2]" caption="Sum of Detractor (0-6) 2" measure="1" displayFolder="" measureGroup="Range 4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Count of Organization 5]" caption="Count of Organization 5" measure="1" displayFolder="" measureGroup="Range 4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rdon Elliott Williams" refreshedDate="45872.83364837963" backgroundQuery="1" createdVersion="8" refreshedVersion="8" minRefreshableVersion="3" recordCount="0" supportSubquery="1" supportAdvancedDrill="1" xr:uid="{FD28327B-B781-4BD5-908E-87B06550FD74}">
  <cacheSource type="external" connectionId="1"/>
  <cacheFields count="5">
    <cacheField name="[Range 1].[LOCATION].[LOCATION]" caption="LOCATION" numFmtId="0" hierarchy="6" level="1">
      <sharedItems count="3">
        <s v="SAO PAULO"/>
        <s v="SILICON VALLEY"/>
        <s v="TORONTO"/>
      </sharedItems>
    </cacheField>
    <cacheField name="[Measures].[Count of Organization 2]" caption="Count of Organization 2" numFmtId="0" hierarchy="57" level="32767"/>
    <cacheField name="[Measures].[Sum of Promoter (9-10)]" caption="Sum of Promoter (9-10)" numFmtId="0" hierarchy="58" level="32767"/>
    <cacheField name="[Measures].[Sum of Passive (7-8)]" caption="Sum of Passive (7-8)" numFmtId="0" hierarchy="59" level="32767"/>
    <cacheField name="[Measures].[Sum of Detractor (0-6)]" caption="Sum of Detractor (0-6)" numFmtId="0" hierarchy="60" level="32767"/>
  </cacheFields>
  <cacheHierarchies count="90"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Organization]" caption="Organization" attribute="1" defaultMemberUniqueName="[Range].[Organization].[All]" allUniqueName="[Range].[Organization].[All]" dimensionUniqueName="[Range]" displayFolder="" count="0" memberValueDatatype="130" unbalanced="0"/>
    <cacheHierarchy uniqueName="[Range].[Total Cost (USD)]" caption="Total Cost (USD)" attribute="1" defaultMemberUniqueName="[Range].[Total Cost (USD)].[All]" allUniqueName="[Range].[Total Cost (USD)].[All]" dimensionUniqueName="[Range]" displayFolder="" count="0" memberValueDatatype="20" unbalanced="0"/>
    <cacheHierarchy uniqueName="[Range].[Revenue (USD)]" caption="Revenue (USD)" attribute="1" defaultMemberUniqueName="[Range].[Revenue (USD)].[All]" allUniqueName="[Range].[Revenue (USD)].[All]" dimensionUniqueName="[Range]" displayFolder="" count="0" memberValueDatatype="20" unbalanced="0"/>
    <cacheHierarchy uniqueName="[Range].[PROFIT MARGIN KPI]" caption="PROFIT MARGIN KPI" attribute="1" defaultMemberUniqueName="[Range].[PROFIT MARGIN KPI].[All]" allUniqueName="[Range].[PROFIT MARGIN KPI].[All]" dimensionUniqueName="[Range]" displayFolder="" count="0" memberValueDatatype="5" unbalanced="0"/>
    <cacheHierarchy uniqueName="[Range].[Cost Effectiveness (%)]" caption="Cost Effectiveness (%)" attribute="1" defaultMemberUniqueName="[Range].[Cost Effectiveness (%)].[All]" allUniqueName="[Range].[Cost Effectiveness (%)].[All]" dimensionUniqueName="[Range]" displayFolder="" count="0" memberValueDatatype="5" unbalanced="0"/>
    <cacheHierarchy uniqueName="[Range 1].[LOCATION]" caption="LOCATION" attribute="1" defaultMemberUniqueName="[Range 1].[LOCATION].[All]" allUniqueName="[Range 1].[LOCATION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Organization]" caption="Organization" attribute="1" defaultMemberUniqueName="[Range 1].[Organization].[All]" allUniqueName="[Range 1].[Organization].[All]" dimensionUniqueName="[Range 1]" displayFolder="" count="0" memberValueDatatype="130" unbalanced="0"/>
    <cacheHierarchy uniqueName="[Range 1].[Promoter (9-10)]" caption="Promoter (9-10)" attribute="1" defaultMemberUniqueName="[Range 1].[Promoter (9-10)].[All]" allUniqueName="[Range 1].[Promoter (9-10)].[All]" dimensionUniqueName="[Range 1]" displayFolder="" count="0" memberValueDatatype="20" unbalanced="0"/>
    <cacheHierarchy uniqueName="[Range 1].[Passive (7-8)]" caption="Passive (7-8)" attribute="1" defaultMemberUniqueName="[Range 1].[Passive (7-8)].[All]" allUniqueName="[Range 1].[Passive (7-8)].[All]" dimensionUniqueName="[Range 1]" displayFolder="" count="0" memberValueDatatype="20" unbalanced="0"/>
    <cacheHierarchy uniqueName="[Range 1].[Detractor (0-6)]" caption="Detractor (0-6)" attribute="1" defaultMemberUniqueName="[Range 1].[Detractor (0-6)].[All]" allUniqueName="[Range 1].[Detractor (0-6)].[All]" dimensionUniqueName="[Range 1]" displayFolder="" count="0" memberValueDatatype="20" unbalanced="0"/>
    <cacheHierarchy uniqueName="[Range 2].[LOCATION]" caption="LOCATION" attribute="1" defaultMemberUniqueName="[Range 2].[LOCATION].[All]" allUniqueName="[Range 2].[LOCATION].[All]" dimensionUniqueName="[Range 2]" displayFolder="" count="0" memberValueDatatype="130" unbalanced="0"/>
    <cacheHierarchy uniqueName="[Range 2].[Incident ID]" caption="Incident ID" attribute="1" defaultMemberUniqueName="[Range 2].[Incident ID].[All]" allUniqueName="[Range 2].[Incident ID].[All]" dimensionUniqueName="[Range 2]" displayFolder="" count="0" memberValueDatatype="130" unbalanced="0"/>
    <cacheHierarchy uniqueName="[Range 2].[Organization]" caption="Organization" attribute="1" defaultMemberUniqueName="[Range 2].[Organization].[All]" allUniqueName="[Range 2].[Organization].[All]" dimensionUniqueName="[Range 2]" displayFolder="" count="0" memberValueDatatype="130" unbalanced="0"/>
    <cacheHierarchy uniqueName="[Range 2].[Service Request Date]" caption="Service Request Date" attribute="1" defaultMemberUniqueName="[Range 2].[Service Request Date].[All]" allUniqueName="[Range 2].[Service Request Date].[All]" dimensionUniqueName="[Range 2]" displayFolder="" count="0" memberValueDatatype="130" unbalanced="0"/>
    <cacheHierarchy uniqueName="[Range 2].[Completion Date]" caption="Completion Date" attribute="1" defaultMemberUniqueName="[Range 2].[Completion Date].[All]" allUniqueName="[Range 2].[Completion Date].[All]" dimensionUniqueName="[Range 2]" displayFolder="" count="0" memberValueDatatype="130" unbalanced="0"/>
    <cacheHierarchy uniqueName="[Range 2].[Response Time (Hours)]" caption="Response Time (Hours)" attribute="1" defaultMemberUniqueName="[Range 2].[Response Time (Hours)].[All]" allUniqueName="[Range 2].[Response Time (Hours)].[All]" dimensionUniqueName="[Range 2]" displayFolder="" count="0" memberValueDatatype="20" unbalanced="0"/>
    <cacheHierarchy uniqueName="[Range 3].[LOCATION]" caption="LOCATION" attribute="1" defaultMemberUniqueName="[Range 3].[LOCATION].[All]" allUniqueName="[Range 3].[LOCATION].[All]" dimensionUniqueName="[Range 3]" displayFolder="" count="0" memberValueDatatype="130" unbalanced="0"/>
    <cacheHierarchy uniqueName="[Range 3].[Organization]" caption="Organization" attribute="1" defaultMemberUniqueName="[Range 3].[Organization].[All]" allUniqueName="[Range 3].[Organization].[All]" dimensionUniqueName="[Range 3]" displayFolder="" count="0" memberValueDatatype="130" unbalanced="0"/>
    <cacheHierarchy uniqueName="[Range 3].[Initial Contract Start Date]" caption="Initial Contract Start Date" attribute="1" time="1" defaultMemberUniqueName="[Range 3].[Initial Contract Start Date].[All]" allUniqueName="[Range 3].[Initial Contract Start Date].[All]" dimensionUniqueName="[Range 3]" displayFolder="" count="0" memberValueDatatype="7" unbalanced="0"/>
    <cacheHierarchy uniqueName="[Range 3].[Initial Contract Start MONTH]" caption="Initial Contract Start MONTH" attribute="1" defaultMemberUniqueName="[Range 3].[Initial Contract Start MONTH].[All]" allUniqueName="[Range 3].[Initial Contract Start MONTH].[All]" dimensionUniqueName="[Range 3]" displayFolder="" count="0" memberValueDatatype="130" unbalanced="0"/>
    <cacheHierarchy uniqueName="[Range 3].[Initial Contract Start YEAR]" caption="Initial Contract Start YEAR" attribute="1" time="1" defaultMemberUniqueName="[Range 3].[Initial Contract Start YEAR].[All]" allUniqueName="[Range 3].[Initial Contract Start YEAR].[All]" dimensionUniqueName="[Range 3]" displayFolder="" count="0" memberValueDatatype="7" unbalanced="0"/>
    <cacheHierarchy uniqueName="[Range 3].[Initial Contract Start YEAR (Year)]" caption="Initial Contract Start YEAR (Year)" attribute="1" defaultMemberUniqueName="[Range 3].[Initial Contract Start YEAR (Year)].[All]" allUniqueName="[Range 3].[Initial Contract Start YEAR (Year)].[All]" dimensionUniqueName="[Range 3]" displayFolder="" count="0" memberValueDatatype="130" unbalanced="0"/>
    <cacheHierarchy uniqueName="[Range 3].[Initial Contract Start YEAR (Quarter)]" caption="Initial Contract Start YEAR (Quarter)" attribute="1" defaultMemberUniqueName="[Range 3].[Initial Contract Start YEAR (Quarter)].[All]" allUniqueName="[Range 3].[Initial Contract Start YEAR (Quarter)].[All]" dimensionUniqueName="[Range 3]" displayFolder="" count="0" memberValueDatatype="130" unbalanced="0"/>
    <cacheHierarchy uniqueName="[Range 3].[Initial Contract Start YEAR (Month)]" caption="Initial Contract Start YEAR (Month)" attribute="1" defaultMemberUniqueName="[Range 3].[Initial Contract Start YEAR (Month)].[All]" allUniqueName="[Range 3].[Initial Contract Start YEAR (Month)].[All]" dimensionUniqueName="[Range 3]" displayFolder="" count="0" memberValueDatatype="130" unbalanced="0"/>
    <cacheHierarchy uniqueName="[Range 4].[LOCATION]" caption="LOCATION" attribute="1" defaultMemberUniqueName="[Range 4].[LOCATION].[All]" allUniqueName="[Range 4].[LOCATION].[All]" dimensionUniqueName="[Range 4]" displayFolder="" count="0" memberValueDatatype="130" unbalanced="0"/>
    <cacheHierarchy uniqueName="[Range 4].[Organization]" caption="Organization" attribute="1" defaultMemberUniqueName="[Range 4].[Organization].[All]" allUniqueName="[Range 4].[Organization].[All]" dimensionUniqueName="[Range 4]" displayFolder="" count="0" memberValueDatatype="130" unbalanced="0"/>
    <cacheHierarchy uniqueName="[Range 4].[Total Cost (USD)]" caption="Total Cost (USD)" attribute="1" defaultMemberUniqueName="[Range 4].[Total Cost (USD)].[All]" allUniqueName="[Range 4].[Total Cost (USD)].[All]" dimensionUniqueName="[Range 4]" displayFolder="" count="0" memberValueDatatype="20" unbalanced="0"/>
    <cacheHierarchy uniqueName="[Range 4].[Revenue (USD)]" caption="Revenue (USD)" attribute="1" defaultMemberUniqueName="[Range 4].[Revenue (USD)].[All]" allUniqueName="[Range 4].[Revenue (USD)].[All]" dimensionUniqueName="[Range 4]" displayFolder="" count="0" memberValueDatatype="20" unbalanced="0"/>
    <cacheHierarchy uniqueName="[Range 4].[PROFIT MARGIN KPI]" caption="PROFIT MARGIN KPI" attribute="1" defaultMemberUniqueName="[Range 4].[PROFIT MARGIN KPI].[All]" allUniqueName="[Range 4].[PROFIT MARGIN KPI].[All]" dimensionUniqueName="[Range 4]" displayFolder="" count="0" memberValueDatatype="5" unbalanced="0"/>
    <cacheHierarchy uniqueName="[Range 4].[Cost Effectiveness (%)]" caption="Cost Effectiveness (%)" attribute="1" defaultMemberUniqueName="[Range 4].[Cost Effectiveness (%)].[All]" allUniqueName="[Range 4].[Cost Effectiveness (%)].[All]" dimensionUniqueName="[Range 4]" displayFolder="" count="0" memberValueDatatype="5" unbalanced="0"/>
    <cacheHierarchy uniqueName="[Range 4].[Initial Contract Start Date]" caption="Initial Contract Start Date" attribute="1" time="1" defaultMemberUniqueName="[Range 4].[Initial Contract Start Date].[All]" allUniqueName="[Range 4].[Initial Contract Start Date].[All]" dimensionUniqueName="[Range 4]" displayFolder="" count="0" memberValueDatatype="7" unbalanced="0"/>
    <cacheHierarchy uniqueName="[Range 4].[Initial Contract Start MONTH]" caption="Initial Contract Start MONTH" attribute="1" defaultMemberUniqueName="[Range 4].[Initial Contract Start MONTH].[All]" allUniqueName="[Range 4].[Initial Contract Start MONTH].[All]" dimensionUniqueName="[Range 4]" displayFolder="" count="0" memberValueDatatype="130" unbalanced="0"/>
    <cacheHierarchy uniqueName="[Range 4].[Initial Contract Start YEAR]" caption="Initial Contract Start YEAR" attribute="1" time="1" defaultMemberUniqueName="[Range 4].[Initial Contract Start YEAR].[All]" allUniqueName="[Range 4].[Initial Contract Start YEAR].[All]" dimensionUniqueName="[Range 4]" displayFolder="" count="0" memberValueDatatype="7" unbalanced="0"/>
    <cacheHierarchy uniqueName="[Range 4].[Incident ID]" caption="Incident ID" attribute="1" defaultMemberUniqueName="[Range 4].[Incident ID].[All]" allUniqueName="[Range 4].[Incident ID].[All]" dimensionUniqueName="[Range 4]" displayFolder="" count="0" memberValueDatatype="130" unbalanced="0"/>
    <cacheHierarchy uniqueName="[Range 4].[Service Request Date]" caption="Service Request Date" attribute="1" defaultMemberUniqueName="[Range 4].[Service Request Date].[All]" allUniqueName="[Range 4].[Service Request Date].[All]" dimensionUniqueName="[Range 4]" displayFolder="" count="0" memberValueDatatype="130" unbalanced="0"/>
    <cacheHierarchy uniqueName="[Range 4].[Completion Date]" caption="Completion Date" attribute="1" defaultMemberUniqueName="[Range 4].[Completion Date].[All]" allUniqueName="[Range 4].[Completion Date].[All]" dimensionUniqueName="[Range 4]" displayFolder="" count="0" memberValueDatatype="130" unbalanced="0"/>
    <cacheHierarchy uniqueName="[Range 4].[Response Time (Hours)]" caption="Response Time (Hours)" attribute="1" defaultMemberUniqueName="[Range 4].[Response Time (Hours)].[All]" allUniqueName="[Range 4].[Response Time (Hours)].[All]" dimensionUniqueName="[Range 4]" displayFolder="" count="0" memberValueDatatype="20" unbalanced="0"/>
    <cacheHierarchy uniqueName="[Range 4].[Project Summary]" caption="Project Summary" attribute="1" defaultMemberUniqueName="[Range 4].[Project Summary].[All]" allUniqueName="[Range 4].[Project Summary].[All]" dimensionUniqueName="[Range 4]" displayFolder="" count="0" memberValueDatatype="130" unbalanced="0"/>
    <cacheHierarchy uniqueName="[Range 4].[Project Completion Start Date]" caption="Project Completion Start Date" attribute="1" defaultMemberUniqueName="[Range 4].[Project Completion Start Date].[All]" allUniqueName="[Range 4].[Project Completion Start Date].[All]" dimensionUniqueName="[Range 4]" displayFolder="" count="0" memberValueDatatype="130" unbalanced="0"/>
    <cacheHierarchy uniqueName="[Range 4].[Project Completion Completion Date]" caption="Project Completion Completion Date" attribute="1" defaultMemberUniqueName="[Range 4].[Project Completion Completion Date].[All]" allUniqueName="[Range 4].[Project Completion Completion Date].[All]" dimensionUniqueName="[Range 4]" displayFolder="" count="0" memberValueDatatype="130" unbalanced="0"/>
    <cacheHierarchy uniqueName="[Range 4].[Project Completion Time (Days)]" caption="Project Completion Time (Days)" attribute="1" defaultMemberUniqueName="[Range 4].[Project Completion Time (Days)].[All]" allUniqueName="[Range 4].[Project Completion Time (Days)].[All]" dimensionUniqueName="[Range 4]" displayFolder="" count="0" memberValueDatatype="130" unbalanced="0"/>
    <cacheHierarchy uniqueName="[Range 4].[Promoter (9-10)]" caption="Promoter (9-10)" attribute="1" defaultMemberUniqueName="[Range 4].[Promoter (9-10)].[All]" allUniqueName="[Range 4].[Promoter (9-10)].[All]" dimensionUniqueName="[Range 4]" displayFolder="" count="0" memberValueDatatype="20" unbalanced="0"/>
    <cacheHierarchy uniqueName="[Range 4].[Passive (7-8)]" caption="Passive (7-8)" attribute="1" defaultMemberUniqueName="[Range 4].[Passive (7-8)].[All]" allUniqueName="[Range 4].[Passive (7-8)].[All]" dimensionUniqueName="[Range 4]" displayFolder="" count="0" memberValueDatatype="20" unbalanced="0"/>
    <cacheHierarchy uniqueName="[Range 4].[Detractor (0-6)]" caption="Detractor (0-6)" attribute="1" defaultMemberUniqueName="[Range 4].[Detractor (0-6)].[All]" allUniqueName="[Range 4].[Detractor (0-6)].[All]" dimensionUniqueName="[Range 4]" displayFolder="" count="0" memberValueDatatype="20" unbalanced="0"/>
    <cacheHierarchy uniqueName="[Range 3].[Initial Contract Start YEAR (Month Index)]" caption="Initial Contract Start YEAR (Month Index)" attribute="1" defaultMemberUniqueName="[Range 3].[Initial Contract Start YEAR (Month Index)].[All]" allUniqueName="[Range 3].[Initial Contract Start YEAR (Month Index)].[All]" dimensionUniqueName="[Range 3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Count of Organization]" caption="Count of Organization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 Cost (USD)]" caption="Sum of Total Cost (USD)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Revenue (USD)]" caption="Sum of Revenue (USD)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ost Effectiveness (%)]" caption="Sum of Cost Effectiveness (%)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OFIT MARGIN KPI]" caption="Sum of PROFIT MARGIN KPI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ganization 2]" caption="Count of Organization 2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moter (9-10)]" caption="Sum of Promoter (9-10)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assive (7-8)]" caption="Sum of Passive (7-8)" measure="1" displayFolder="" measureGroup="Range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Detractor (0-6)]" caption="Sum of Detractor (0-6)" measure="1" displayFolder="" measureGroup="Range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Incident ID]" caption="Count of Incident ID" measure="1" displayFolder="" measureGroup="Range 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ganization 3]" caption="Count of Organization 3" measure="1" displayFolder="" measureGroup="Range 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Service Request Date]" caption="Count of Service Request Date" measure="1" displayFolder="" measureGroup="Range 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ompletion Date]" caption="Count of Completion Date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esponse Time (Hours)]" caption="Sum of Response Time (Hours)" measure="1" displayFolder="" measureGroup="Range 2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Organization 4]" caption="Count of Organization 4" measure="1" displayFolder="" measureGroup="Range 3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Initial Contract Start Date]" caption="Count of Initial Contract Start Date" measure="1" displayFolder="" measureGroup="Range 3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Distinct Count of Initial Contract Start Date]" caption="Distinct Count of Initial Contract Start Date" measure="1" displayFolder="" measureGroup="Range 3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Initial Contract Start MONTH]" caption="Count of Initial Contract Start MONTH" measure="1" displayFolder="" measureGroup="Range 3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Initial Contract Start YEAR]" caption="Count of Initial Contract Start YEAR" measure="1" displayFolder="" measureGroup="Range 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otal Cost (USD) 2]" caption="Sum of Total Cost (USD) 2" measure="1" displayFolder="" measureGroup="Range 4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Revenue (USD) 2]" caption="Sum of Revenue (USD) 2" measure="1" displayFolder="" measureGroup="Range 4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PROFIT MARGIN KPI 2]" caption="Sum of PROFIT MARGIN KPI 2" measure="1" displayFolder="" measureGroup="Range 4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Cost Effectiveness (%) 2]" caption="Sum of Cost Effectiveness (%) 2" measure="1" displayFolder="" measureGroup="Range 4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Initial Contract Start Date 2]" caption="Count of Initial Contract Start Date 2" measure="1" displayFolder="" measureGroup="Range 4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Initial Contract Start MONTH 2]" caption="Count of Initial Contract Start MONTH 2" measure="1" displayFolder="" measureGroup="Range 4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Initial Contract Start YEAR 2]" caption="Count of Initial Contract Start YEAR 2" measure="1" displayFolder="" measureGroup="Range 4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Incident ID 2]" caption="Count of Incident ID 2" measure="1" displayFolder="" measureGroup="Range 4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Service Request Date 2]" caption="Count of Service Request Date 2" measure="1" displayFolder="" measureGroup="Range 4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Completion Date 2]" caption="Count of Completion Date 2" measure="1" displayFolder="" measureGroup="Range 4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Response Time (Hours) 2]" caption="Sum of Response Time (Hours) 2" measure="1" displayFolder="" measureGroup="Range 4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Project Summary]" caption="Count of Project Summary" measure="1" displayFolder="" measureGroup="Range 4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Project Completion Start Date]" caption="Count of Project Completion Start Date" measure="1" displayFolder="" measureGroup="Range 4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Project Completion Completion Date]" caption="Count of Project Completion Completion Date" measure="1" displayFolder="" measureGroup="Range 4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Project Completion Time (Days)]" caption="Count of Project Completion Time (Days)" measure="1" displayFolder="" measureGroup="Range 4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Promoter (9-10) 2]" caption="Sum of Promoter (9-10) 2" measure="1" displayFolder="" measureGroup="Range 4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Passive (7-8) 2]" caption="Sum of Passive (7-8) 2" measure="1" displayFolder="" measureGroup="Range 4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Detractor (0-6) 2]" caption="Sum of Detractor (0-6) 2" measure="1" displayFolder="" measureGroup="Range 4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Count of Organization 5]" caption="Count of Organization 5" measure="1" displayFolder="" measureGroup="Range 4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rdon Elliott Williams" refreshedDate="45872.83364571759" backgroundQuery="1" createdVersion="8" refreshedVersion="8" minRefreshableVersion="3" recordCount="0" supportSubquery="1" supportAdvancedDrill="1" xr:uid="{3D1B49C8-1788-486E-86F6-766F665ADA48}">
  <cacheSource type="external" connectionId="1"/>
  <cacheFields count="6">
    <cacheField name="[Range].[LOCATION].[LOCATION]" caption="LOCATION" numFmtId="0" level="1">
      <sharedItems count="3">
        <s v="SAO PAULO"/>
        <s v="SILICON VALLEY"/>
        <s v="TORONTO"/>
      </sharedItems>
    </cacheField>
    <cacheField name="[Measures].[Count of Organization]" caption="Count of Organization" numFmtId="0" hierarchy="52" level="32767"/>
    <cacheField name="[Measures].[Sum of Total Cost (USD)]" caption="Sum of Total Cost (USD)" numFmtId="0" hierarchy="53" level="32767"/>
    <cacheField name="[Measures].[Sum of Revenue (USD)]" caption="Sum of Revenue (USD)" numFmtId="0" hierarchy="54" level="32767"/>
    <cacheField name="[Measures].[Sum of Cost Effectiveness (%)]" caption="Sum of Cost Effectiveness (%)" numFmtId="0" hierarchy="55" level="32767"/>
    <cacheField name="[Measures].[Sum of PROFIT MARGIN KPI]" caption="Sum of PROFIT MARGIN KPI" numFmtId="0" hierarchy="56" level="32767"/>
  </cacheFields>
  <cacheHierarchies count="90">
    <cacheHierarchy uniqueName="[Range].[LOCATION]" caption="LOCATION" attribute="1" defaultMemberUniqueName="[Range].[LOCATION].[All]" allUniqueName="[Range].[LOCAT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Organization]" caption="Organization" attribute="1" defaultMemberUniqueName="[Range].[Organization].[All]" allUniqueName="[Range].[Organization].[All]" dimensionUniqueName="[Range]" displayFolder="" count="0" memberValueDatatype="130" unbalanced="0"/>
    <cacheHierarchy uniqueName="[Range].[Total Cost (USD)]" caption="Total Cost (USD)" attribute="1" defaultMemberUniqueName="[Range].[Total Cost (USD)].[All]" allUniqueName="[Range].[Total Cost (USD)].[All]" dimensionUniqueName="[Range]" displayFolder="" count="0" memberValueDatatype="20" unbalanced="0"/>
    <cacheHierarchy uniqueName="[Range].[Revenue (USD)]" caption="Revenue (USD)" attribute="1" defaultMemberUniqueName="[Range].[Revenue (USD)].[All]" allUniqueName="[Range].[Revenue (USD)].[All]" dimensionUniqueName="[Range]" displayFolder="" count="0" memberValueDatatype="20" unbalanced="0"/>
    <cacheHierarchy uniqueName="[Range].[PROFIT MARGIN KPI]" caption="PROFIT MARGIN KPI" attribute="1" defaultMemberUniqueName="[Range].[PROFIT MARGIN KPI].[All]" allUniqueName="[Range].[PROFIT MARGIN KPI].[All]" dimensionUniqueName="[Range]" displayFolder="" count="0" memberValueDatatype="5" unbalanced="0"/>
    <cacheHierarchy uniqueName="[Range].[Cost Effectiveness (%)]" caption="Cost Effectiveness (%)" attribute="1" defaultMemberUniqueName="[Range].[Cost Effectiveness (%)].[All]" allUniqueName="[Range].[Cost Effectiveness (%)].[All]" dimensionUniqueName="[Range]" displayFolder="" count="0" memberValueDatatype="5" unbalanced="0"/>
    <cacheHierarchy uniqueName="[Range 1].[LOCATION]" caption="LOCATION" attribute="1" defaultMemberUniqueName="[Range 1].[LOCATION].[All]" allUniqueName="[Range 1].[LOCATION].[All]" dimensionUniqueName="[Range 1]" displayFolder="" count="0" memberValueDatatype="130" unbalanced="0"/>
    <cacheHierarchy uniqueName="[Range 1].[Organization]" caption="Organization" attribute="1" defaultMemberUniqueName="[Range 1].[Organization].[All]" allUniqueName="[Range 1].[Organization].[All]" dimensionUniqueName="[Range 1]" displayFolder="" count="0" memberValueDatatype="130" unbalanced="0"/>
    <cacheHierarchy uniqueName="[Range 1].[Promoter (9-10)]" caption="Promoter (9-10)" attribute="1" defaultMemberUniqueName="[Range 1].[Promoter (9-10)].[All]" allUniqueName="[Range 1].[Promoter (9-10)].[All]" dimensionUniqueName="[Range 1]" displayFolder="" count="0" memberValueDatatype="20" unbalanced="0"/>
    <cacheHierarchy uniqueName="[Range 1].[Passive (7-8)]" caption="Passive (7-8)" attribute="1" defaultMemberUniqueName="[Range 1].[Passive (7-8)].[All]" allUniqueName="[Range 1].[Passive (7-8)].[All]" dimensionUniqueName="[Range 1]" displayFolder="" count="0" memberValueDatatype="20" unbalanced="0"/>
    <cacheHierarchy uniqueName="[Range 1].[Detractor (0-6)]" caption="Detractor (0-6)" attribute="1" defaultMemberUniqueName="[Range 1].[Detractor (0-6)].[All]" allUniqueName="[Range 1].[Detractor (0-6)].[All]" dimensionUniqueName="[Range 1]" displayFolder="" count="0" memberValueDatatype="20" unbalanced="0"/>
    <cacheHierarchy uniqueName="[Range 2].[LOCATION]" caption="LOCATION" attribute="1" defaultMemberUniqueName="[Range 2].[LOCATION].[All]" allUniqueName="[Range 2].[LOCATION].[All]" dimensionUniqueName="[Range 2]" displayFolder="" count="0" memberValueDatatype="130" unbalanced="0"/>
    <cacheHierarchy uniqueName="[Range 2].[Incident ID]" caption="Incident ID" attribute="1" defaultMemberUniqueName="[Range 2].[Incident ID].[All]" allUniqueName="[Range 2].[Incident ID].[All]" dimensionUniqueName="[Range 2]" displayFolder="" count="0" memberValueDatatype="130" unbalanced="0"/>
    <cacheHierarchy uniqueName="[Range 2].[Organization]" caption="Organization" attribute="1" defaultMemberUniqueName="[Range 2].[Organization].[All]" allUniqueName="[Range 2].[Organization].[All]" dimensionUniqueName="[Range 2]" displayFolder="" count="0" memberValueDatatype="130" unbalanced="0"/>
    <cacheHierarchy uniqueName="[Range 2].[Service Request Date]" caption="Service Request Date" attribute="1" defaultMemberUniqueName="[Range 2].[Service Request Date].[All]" allUniqueName="[Range 2].[Service Request Date].[All]" dimensionUniqueName="[Range 2]" displayFolder="" count="0" memberValueDatatype="130" unbalanced="0"/>
    <cacheHierarchy uniqueName="[Range 2].[Completion Date]" caption="Completion Date" attribute="1" defaultMemberUniqueName="[Range 2].[Completion Date].[All]" allUniqueName="[Range 2].[Completion Date].[All]" dimensionUniqueName="[Range 2]" displayFolder="" count="0" memberValueDatatype="130" unbalanced="0"/>
    <cacheHierarchy uniqueName="[Range 2].[Response Time (Hours)]" caption="Response Time (Hours)" attribute="1" defaultMemberUniqueName="[Range 2].[Response Time (Hours)].[All]" allUniqueName="[Range 2].[Response Time (Hours)].[All]" dimensionUniqueName="[Range 2]" displayFolder="" count="0" memberValueDatatype="20" unbalanced="0"/>
    <cacheHierarchy uniqueName="[Range 3].[LOCATION]" caption="LOCATION" attribute="1" defaultMemberUniqueName="[Range 3].[LOCATION].[All]" allUniqueName="[Range 3].[LOCATION].[All]" dimensionUniqueName="[Range 3]" displayFolder="" count="0" memberValueDatatype="130" unbalanced="0"/>
    <cacheHierarchy uniqueName="[Range 3].[Organization]" caption="Organization" attribute="1" defaultMemberUniqueName="[Range 3].[Organization].[All]" allUniqueName="[Range 3].[Organization].[All]" dimensionUniqueName="[Range 3]" displayFolder="" count="0" memberValueDatatype="130" unbalanced="0"/>
    <cacheHierarchy uniqueName="[Range 3].[Initial Contract Start Date]" caption="Initial Contract Start Date" attribute="1" time="1" defaultMemberUniqueName="[Range 3].[Initial Contract Start Date].[All]" allUniqueName="[Range 3].[Initial Contract Start Date].[All]" dimensionUniqueName="[Range 3]" displayFolder="" count="0" memberValueDatatype="7" unbalanced="0"/>
    <cacheHierarchy uniqueName="[Range 3].[Initial Contract Start MONTH]" caption="Initial Contract Start MONTH" attribute="1" defaultMemberUniqueName="[Range 3].[Initial Contract Start MONTH].[All]" allUniqueName="[Range 3].[Initial Contract Start MONTH].[All]" dimensionUniqueName="[Range 3]" displayFolder="" count="0" memberValueDatatype="130" unbalanced="0"/>
    <cacheHierarchy uniqueName="[Range 3].[Initial Contract Start YEAR]" caption="Initial Contract Start YEAR" attribute="1" time="1" defaultMemberUniqueName="[Range 3].[Initial Contract Start YEAR].[All]" allUniqueName="[Range 3].[Initial Contract Start YEAR].[All]" dimensionUniqueName="[Range 3]" displayFolder="" count="0" memberValueDatatype="7" unbalanced="0"/>
    <cacheHierarchy uniqueName="[Range 3].[Initial Contract Start YEAR (Year)]" caption="Initial Contract Start YEAR (Year)" attribute="1" defaultMemberUniqueName="[Range 3].[Initial Contract Start YEAR (Year)].[All]" allUniqueName="[Range 3].[Initial Contract Start YEAR (Year)].[All]" dimensionUniqueName="[Range 3]" displayFolder="" count="0" memberValueDatatype="130" unbalanced="0"/>
    <cacheHierarchy uniqueName="[Range 3].[Initial Contract Start YEAR (Quarter)]" caption="Initial Contract Start YEAR (Quarter)" attribute="1" defaultMemberUniqueName="[Range 3].[Initial Contract Start YEAR (Quarter)].[All]" allUniqueName="[Range 3].[Initial Contract Start YEAR (Quarter)].[All]" dimensionUniqueName="[Range 3]" displayFolder="" count="0" memberValueDatatype="130" unbalanced="0"/>
    <cacheHierarchy uniqueName="[Range 3].[Initial Contract Start YEAR (Month)]" caption="Initial Contract Start YEAR (Month)" attribute="1" defaultMemberUniqueName="[Range 3].[Initial Contract Start YEAR (Month)].[All]" allUniqueName="[Range 3].[Initial Contract Start YEAR (Month)].[All]" dimensionUniqueName="[Range 3]" displayFolder="" count="0" memberValueDatatype="130" unbalanced="0"/>
    <cacheHierarchy uniqueName="[Range 4].[LOCATION]" caption="LOCATION" attribute="1" defaultMemberUniqueName="[Range 4].[LOCATION].[All]" allUniqueName="[Range 4].[LOCATION].[All]" dimensionUniqueName="[Range 4]" displayFolder="" count="0" memberValueDatatype="130" unbalanced="0"/>
    <cacheHierarchy uniqueName="[Range 4].[Organization]" caption="Organization" attribute="1" defaultMemberUniqueName="[Range 4].[Organization].[All]" allUniqueName="[Range 4].[Organization].[All]" dimensionUniqueName="[Range 4]" displayFolder="" count="0" memberValueDatatype="130" unbalanced="0"/>
    <cacheHierarchy uniqueName="[Range 4].[Total Cost (USD)]" caption="Total Cost (USD)" attribute="1" defaultMemberUniqueName="[Range 4].[Total Cost (USD)].[All]" allUniqueName="[Range 4].[Total Cost (USD)].[All]" dimensionUniqueName="[Range 4]" displayFolder="" count="0" memberValueDatatype="20" unbalanced="0"/>
    <cacheHierarchy uniqueName="[Range 4].[Revenue (USD)]" caption="Revenue (USD)" attribute="1" defaultMemberUniqueName="[Range 4].[Revenue (USD)].[All]" allUniqueName="[Range 4].[Revenue (USD)].[All]" dimensionUniqueName="[Range 4]" displayFolder="" count="0" memberValueDatatype="20" unbalanced="0"/>
    <cacheHierarchy uniqueName="[Range 4].[PROFIT MARGIN KPI]" caption="PROFIT MARGIN KPI" attribute="1" defaultMemberUniqueName="[Range 4].[PROFIT MARGIN KPI].[All]" allUniqueName="[Range 4].[PROFIT MARGIN KPI].[All]" dimensionUniqueName="[Range 4]" displayFolder="" count="0" memberValueDatatype="5" unbalanced="0"/>
    <cacheHierarchy uniqueName="[Range 4].[Cost Effectiveness (%)]" caption="Cost Effectiveness (%)" attribute="1" defaultMemberUniqueName="[Range 4].[Cost Effectiveness (%)].[All]" allUniqueName="[Range 4].[Cost Effectiveness (%)].[All]" dimensionUniqueName="[Range 4]" displayFolder="" count="0" memberValueDatatype="5" unbalanced="0"/>
    <cacheHierarchy uniqueName="[Range 4].[Initial Contract Start Date]" caption="Initial Contract Start Date" attribute="1" time="1" defaultMemberUniqueName="[Range 4].[Initial Contract Start Date].[All]" allUniqueName="[Range 4].[Initial Contract Start Date].[All]" dimensionUniqueName="[Range 4]" displayFolder="" count="0" memberValueDatatype="7" unbalanced="0"/>
    <cacheHierarchy uniqueName="[Range 4].[Initial Contract Start MONTH]" caption="Initial Contract Start MONTH" attribute="1" defaultMemberUniqueName="[Range 4].[Initial Contract Start MONTH].[All]" allUniqueName="[Range 4].[Initial Contract Start MONTH].[All]" dimensionUniqueName="[Range 4]" displayFolder="" count="0" memberValueDatatype="130" unbalanced="0"/>
    <cacheHierarchy uniqueName="[Range 4].[Initial Contract Start YEAR]" caption="Initial Contract Start YEAR" attribute="1" time="1" defaultMemberUniqueName="[Range 4].[Initial Contract Start YEAR].[All]" allUniqueName="[Range 4].[Initial Contract Start YEAR].[All]" dimensionUniqueName="[Range 4]" displayFolder="" count="0" memberValueDatatype="7" unbalanced="0"/>
    <cacheHierarchy uniqueName="[Range 4].[Incident ID]" caption="Incident ID" attribute="1" defaultMemberUniqueName="[Range 4].[Incident ID].[All]" allUniqueName="[Range 4].[Incident ID].[All]" dimensionUniqueName="[Range 4]" displayFolder="" count="0" memberValueDatatype="130" unbalanced="0"/>
    <cacheHierarchy uniqueName="[Range 4].[Service Request Date]" caption="Service Request Date" attribute="1" defaultMemberUniqueName="[Range 4].[Service Request Date].[All]" allUniqueName="[Range 4].[Service Request Date].[All]" dimensionUniqueName="[Range 4]" displayFolder="" count="0" memberValueDatatype="130" unbalanced="0"/>
    <cacheHierarchy uniqueName="[Range 4].[Completion Date]" caption="Completion Date" attribute="1" defaultMemberUniqueName="[Range 4].[Completion Date].[All]" allUniqueName="[Range 4].[Completion Date].[All]" dimensionUniqueName="[Range 4]" displayFolder="" count="0" memberValueDatatype="130" unbalanced="0"/>
    <cacheHierarchy uniqueName="[Range 4].[Response Time (Hours)]" caption="Response Time (Hours)" attribute="1" defaultMemberUniqueName="[Range 4].[Response Time (Hours)].[All]" allUniqueName="[Range 4].[Response Time (Hours)].[All]" dimensionUniqueName="[Range 4]" displayFolder="" count="0" memberValueDatatype="20" unbalanced="0"/>
    <cacheHierarchy uniqueName="[Range 4].[Project Summary]" caption="Project Summary" attribute="1" defaultMemberUniqueName="[Range 4].[Project Summary].[All]" allUniqueName="[Range 4].[Project Summary].[All]" dimensionUniqueName="[Range 4]" displayFolder="" count="0" memberValueDatatype="130" unbalanced="0"/>
    <cacheHierarchy uniqueName="[Range 4].[Project Completion Start Date]" caption="Project Completion Start Date" attribute="1" defaultMemberUniqueName="[Range 4].[Project Completion Start Date].[All]" allUniqueName="[Range 4].[Project Completion Start Date].[All]" dimensionUniqueName="[Range 4]" displayFolder="" count="0" memberValueDatatype="130" unbalanced="0"/>
    <cacheHierarchy uniqueName="[Range 4].[Project Completion Completion Date]" caption="Project Completion Completion Date" attribute="1" defaultMemberUniqueName="[Range 4].[Project Completion Completion Date].[All]" allUniqueName="[Range 4].[Project Completion Completion Date].[All]" dimensionUniqueName="[Range 4]" displayFolder="" count="0" memberValueDatatype="130" unbalanced="0"/>
    <cacheHierarchy uniqueName="[Range 4].[Project Completion Time (Days)]" caption="Project Completion Time (Days)" attribute="1" defaultMemberUniqueName="[Range 4].[Project Completion Time (Days)].[All]" allUniqueName="[Range 4].[Project Completion Time (Days)].[All]" dimensionUniqueName="[Range 4]" displayFolder="" count="0" memberValueDatatype="130" unbalanced="0"/>
    <cacheHierarchy uniqueName="[Range 4].[Promoter (9-10)]" caption="Promoter (9-10)" attribute="1" defaultMemberUniqueName="[Range 4].[Promoter (9-10)].[All]" allUniqueName="[Range 4].[Promoter (9-10)].[All]" dimensionUniqueName="[Range 4]" displayFolder="" count="0" memberValueDatatype="20" unbalanced="0"/>
    <cacheHierarchy uniqueName="[Range 4].[Passive (7-8)]" caption="Passive (7-8)" attribute="1" defaultMemberUniqueName="[Range 4].[Passive (7-8)].[All]" allUniqueName="[Range 4].[Passive (7-8)].[All]" dimensionUniqueName="[Range 4]" displayFolder="" count="0" memberValueDatatype="20" unbalanced="0"/>
    <cacheHierarchy uniqueName="[Range 4].[Detractor (0-6)]" caption="Detractor (0-6)" attribute="1" defaultMemberUniqueName="[Range 4].[Detractor (0-6)].[All]" allUniqueName="[Range 4].[Detractor (0-6)].[All]" dimensionUniqueName="[Range 4]" displayFolder="" count="0" memberValueDatatype="20" unbalanced="0"/>
    <cacheHierarchy uniqueName="[Range 3].[Initial Contract Start YEAR (Month Index)]" caption="Initial Contract Start YEAR (Month Index)" attribute="1" defaultMemberUniqueName="[Range 3].[Initial Contract Start YEAR (Month Index)].[All]" allUniqueName="[Range 3].[Initial Contract Start YEAR (Month Index)].[All]" dimensionUniqueName="[Range 3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Count of Organization]" caption="Count of Organization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 Cost (USD)]" caption="Sum of Total Cost (USD)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Revenue (USD)]" caption="Sum of Revenue (USD)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ost Effectiveness (%)]" caption="Sum of Cost Effectiveness (%)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OFIT MARGIN KPI]" caption="Sum of PROFIT MARGIN KPI" measure="1" displayFolder="" measureGroup="Range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ganization 2]" caption="Count of Organization 2" measure="1" displayFolder="" measureGroup="Range 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moter (9-10)]" caption="Sum of Promoter (9-10)" measure="1" displayFolder="" measureGroup="Range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assive (7-8)]" caption="Sum of Passive (7-8)" measure="1" displayFolder="" measureGroup="Range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Detractor (0-6)]" caption="Sum of Detractor (0-6)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Incident ID]" caption="Count of Incident ID" measure="1" displayFolder="" measureGroup="Range 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ganization 3]" caption="Count of Organization 3" measure="1" displayFolder="" measureGroup="Range 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Service Request Date]" caption="Count of Service Request Date" measure="1" displayFolder="" measureGroup="Range 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ompletion Date]" caption="Count of Completion Date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esponse Time (Hours)]" caption="Sum of Response Time (Hours)" measure="1" displayFolder="" measureGroup="Range 2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Organization 4]" caption="Count of Organization 4" measure="1" displayFolder="" measureGroup="Range 3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Initial Contract Start Date]" caption="Count of Initial Contract Start Date" measure="1" displayFolder="" measureGroup="Range 3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Distinct Count of Initial Contract Start Date]" caption="Distinct Count of Initial Contract Start Date" measure="1" displayFolder="" measureGroup="Range 3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Initial Contract Start MONTH]" caption="Count of Initial Contract Start MONTH" measure="1" displayFolder="" measureGroup="Range 3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Initial Contract Start YEAR]" caption="Count of Initial Contract Start YEAR" measure="1" displayFolder="" measureGroup="Range 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otal Cost (USD) 2]" caption="Sum of Total Cost (USD) 2" measure="1" displayFolder="" measureGroup="Range 4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Revenue (USD) 2]" caption="Sum of Revenue (USD) 2" measure="1" displayFolder="" measureGroup="Range 4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PROFIT MARGIN KPI 2]" caption="Sum of PROFIT MARGIN KPI 2" measure="1" displayFolder="" measureGroup="Range 4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Cost Effectiveness (%) 2]" caption="Sum of Cost Effectiveness (%) 2" measure="1" displayFolder="" measureGroup="Range 4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Initial Contract Start Date 2]" caption="Count of Initial Contract Start Date 2" measure="1" displayFolder="" measureGroup="Range 4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Initial Contract Start MONTH 2]" caption="Count of Initial Contract Start MONTH 2" measure="1" displayFolder="" measureGroup="Range 4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Initial Contract Start YEAR 2]" caption="Count of Initial Contract Start YEAR 2" measure="1" displayFolder="" measureGroup="Range 4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Incident ID 2]" caption="Count of Incident ID 2" measure="1" displayFolder="" measureGroup="Range 4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Service Request Date 2]" caption="Count of Service Request Date 2" measure="1" displayFolder="" measureGroup="Range 4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Completion Date 2]" caption="Count of Completion Date 2" measure="1" displayFolder="" measureGroup="Range 4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Response Time (Hours) 2]" caption="Sum of Response Time (Hours) 2" measure="1" displayFolder="" measureGroup="Range 4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Project Summary]" caption="Count of Project Summary" measure="1" displayFolder="" measureGroup="Range 4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Project Completion Start Date]" caption="Count of Project Completion Start Date" measure="1" displayFolder="" measureGroup="Range 4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Project Completion Completion Date]" caption="Count of Project Completion Completion Date" measure="1" displayFolder="" measureGroup="Range 4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Project Completion Time (Days)]" caption="Count of Project Completion Time (Days)" measure="1" displayFolder="" measureGroup="Range 4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Promoter (9-10) 2]" caption="Sum of Promoter (9-10) 2" measure="1" displayFolder="" measureGroup="Range 4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Passive (7-8) 2]" caption="Sum of Passive (7-8) 2" measure="1" displayFolder="" measureGroup="Range 4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Detractor (0-6) 2]" caption="Sum of Detractor (0-6) 2" measure="1" displayFolder="" measureGroup="Range 4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Count of Organization 5]" caption="Count of Organization 5" measure="1" displayFolder="" measureGroup="Range 4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rdon Elliott Williams" refreshedDate="45872.87066296296" backgroundQuery="1" createdVersion="8" refreshedVersion="8" minRefreshableVersion="3" recordCount="0" supportSubquery="1" supportAdvancedDrill="1" xr:uid="{08471928-F885-4130-AF23-77BF4B4E9700}">
  <cacheSource type="external" connectionId="1"/>
  <cacheFields count="21">
    <cacheField name="[Range 4].[LOCATION].[LOCATION]" caption="LOCATION" numFmtId="0" hierarchy="25" level="1">
      <sharedItems count="3">
        <s v="SAO PAULO"/>
        <s v="SILICON VALLEY"/>
        <s v="TORONTO"/>
      </sharedItems>
    </cacheField>
    <cacheField name="[Measures].[Sum of Total Cost (USD) 2]" caption="Sum of Total Cost (USD) 2" numFmtId="0" hierarchy="71" level="32767"/>
    <cacheField name="[Measures].[Sum of Revenue (USD) 2]" caption="Sum of Revenue (USD) 2" numFmtId="0" hierarchy="72" level="32767"/>
    <cacheField name="[Measures].[Sum of PROFIT MARGIN KPI 2]" caption="Sum of PROFIT MARGIN KPI 2" numFmtId="0" hierarchy="73" level="32767"/>
    <cacheField name="[Range 4].[Organization].[Organization]" caption="Organization" numFmtId="0" hierarchy="26" level="1">
      <sharedItems containsSemiMixedTypes="0" containsNonDate="0" containsString="0"/>
    </cacheField>
    <cacheField name="[Measures].[Sum of Cost Effectiveness (%) 2]" caption="Sum of Cost Effectiveness (%) 2" numFmtId="0" hierarchy="74" level="32767"/>
    <cacheField name="[Measures].[Count of Initial Contract Start Date 2]" caption="Count of Initial Contract Start Date 2" numFmtId="0" hierarchy="75" level="32767"/>
    <cacheField name="[Measures].[Count of Initial Contract Start MONTH 2]" caption="Count of Initial Contract Start MONTH 2" numFmtId="0" hierarchy="76" level="32767"/>
    <cacheField name="[Measures].[Count of Initial Contract Start YEAR 2]" caption="Count of Initial Contract Start YEAR 2" numFmtId="0" hierarchy="77" level="32767"/>
    <cacheField name="[Measures].[Count of Incident ID 2]" caption="Count of Incident ID 2" numFmtId="0" hierarchy="78" level="32767"/>
    <cacheField name="[Measures].[Count of Service Request Date 2]" caption="Count of Service Request Date 2" numFmtId="0" hierarchy="79" level="32767"/>
    <cacheField name="[Measures].[Count of Completion Date 2]" caption="Count of Completion Date 2" numFmtId="0" hierarchy="80" level="32767"/>
    <cacheField name="[Measures].[Sum of Response Time (Hours) 2]" caption="Sum of Response Time (Hours) 2" numFmtId="0" hierarchy="81" level="32767"/>
    <cacheField name="[Measures].[Count of Project Summary]" caption="Count of Project Summary" numFmtId="0" hierarchy="82" level="32767"/>
    <cacheField name="[Measures].[Count of Project Completion Start Date]" caption="Count of Project Completion Start Date" numFmtId="0" hierarchy="83" level="32767"/>
    <cacheField name="[Measures].[Count of Project Completion Completion Date]" caption="Count of Project Completion Completion Date" numFmtId="0" hierarchy="84" level="32767"/>
    <cacheField name="[Measures].[Count of Project Completion Time (Days)]" caption="Count of Project Completion Time (Days)" numFmtId="0" hierarchy="85" level="32767"/>
    <cacheField name="[Measures].[Sum of Promoter (9-10) 2]" caption="Sum of Promoter (9-10) 2" numFmtId="0" hierarchy="86" level="32767"/>
    <cacheField name="[Measures].[Sum of Passive (7-8) 2]" caption="Sum of Passive (7-8) 2" numFmtId="0" hierarchy="87" level="32767"/>
    <cacheField name="[Measures].[Sum of Detractor (0-6) 2]" caption="Sum of Detractor (0-6) 2" numFmtId="0" hierarchy="88" level="32767"/>
    <cacheField name="[Measures].[Count of Organization 5]" caption="Count of Organization 5" numFmtId="0" hierarchy="89" level="32767"/>
  </cacheFields>
  <cacheHierarchies count="90"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Organization]" caption="Organization" attribute="1" defaultMemberUniqueName="[Range].[Organization].[All]" allUniqueName="[Range].[Organization].[All]" dimensionUniqueName="[Range]" displayFolder="" count="0" memberValueDatatype="130" unbalanced="0"/>
    <cacheHierarchy uniqueName="[Range].[Total Cost (USD)]" caption="Total Cost (USD)" attribute="1" defaultMemberUniqueName="[Range].[Total Cost (USD)].[All]" allUniqueName="[Range].[Total Cost (USD)].[All]" dimensionUniqueName="[Range]" displayFolder="" count="0" memberValueDatatype="20" unbalanced="0"/>
    <cacheHierarchy uniqueName="[Range].[Revenue (USD)]" caption="Revenue (USD)" attribute="1" defaultMemberUniqueName="[Range].[Revenue (USD)].[All]" allUniqueName="[Range].[Revenue (USD)].[All]" dimensionUniqueName="[Range]" displayFolder="" count="0" memberValueDatatype="20" unbalanced="0"/>
    <cacheHierarchy uniqueName="[Range].[PROFIT MARGIN KPI]" caption="PROFIT MARGIN KPI" attribute="1" defaultMemberUniqueName="[Range].[PROFIT MARGIN KPI].[All]" allUniqueName="[Range].[PROFIT MARGIN KPI].[All]" dimensionUniqueName="[Range]" displayFolder="" count="0" memberValueDatatype="5" unbalanced="0"/>
    <cacheHierarchy uniqueName="[Range].[Cost Effectiveness (%)]" caption="Cost Effectiveness (%)" attribute="1" defaultMemberUniqueName="[Range].[Cost Effectiveness (%)].[All]" allUniqueName="[Range].[Cost Effectiveness (%)].[All]" dimensionUniqueName="[Range]" displayFolder="" count="0" memberValueDatatype="5" unbalanced="0"/>
    <cacheHierarchy uniqueName="[Range 1].[LOCATION]" caption="LOCATION" attribute="1" defaultMemberUniqueName="[Range 1].[LOCATION].[All]" allUniqueName="[Range 1].[LOCATION].[All]" dimensionUniqueName="[Range 1]" displayFolder="" count="0" memberValueDatatype="130" unbalanced="0"/>
    <cacheHierarchy uniqueName="[Range 1].[Organization]" caption="Organization" attribute="1" defaultMemberUniqueName="[Range 1].[Organization].[All]" allUniqueName="[Range 1].[Organization].[All]" dimensionUniqueName="[Range 1]" displayFolder="" count="0" memberValueDatatype="130" unbalanced="0"/>
    <cacheHierarchy uniqueName="[Range 1].[Promoter (9-10)]" caption="Promoter (9-10)" attribute="1" defaultMemberUniqueName="[Range 1].[Promoter (9-10)].[All]" allUniqueName="[Range 1].[Promoter (9-10)].[All]" dimensionUniqueName="[Range 1]" displayFolder="" count="0" memberValueDatatype="20" unbalanced="0"/>
    <cacheHierarchy uniqueName="[Range 1].[Passive (7-8)]" caption="Passive (7-8)" attribute="1" defaultMemberUniqueName="[Range 1].[Passive (7-8)].[All]" allUniqueName="[Range 1].[Passive (7-8)].[All]" dimensionUniqueName="[Range 1]" displayFolder="" count="0" memberValueDatatype="20" unbalanced="0"/>
    <cacheHierarchy uniqueName="[Range 1].[Detractor (0-6)]" caption="Detractor (0-6)" attribute="1" defaultMemberUniqueName="[Range 1].[Detractor (0-6)].[All]" allUniqueName="[Range 1].[Detractor (0-6)].[All]" dimensionUniqueName="[Range 1]" displayFolder="" count="0" memberValueDatatype="20" unbalanced="0"/>
    <cacheHierarchy uniqueName="[Range 2].[LOCATION]" caption="LOCATION" attribute="1" defaultMemberUniqueName="[Range 2].[LOCATION].[All]" allUniqueName="[Range 2].[LOCATION].[All]" dimensionUniqueName="[Range 2]" displayFolder="" count="0" memberValueDatatype="130" unbalanced="0"/>
    <cacheHierarchy uniqueName="[Range 2].[Incident ID]" caption="Incident ID" attribute="1" defaultMemberUniqueName="[Range 2].[Incident ID].[All]" allUniqueName="[Range 2].[Incident ID].[All]" dimensionUniqueName="[Range 2]" displayFolder="" count="0" memberValueDatatype="130" unbalanced="0"/>
    <cacheHierarchy uniqueName="[Range 2].[Organization]" caption="Organization" attribute="1" defaultMemberUniqueName="[Range 2].[Organization].[All]" allUniqueName="[Range 2].[Organization].[All]" dimensionUniqueName="[Range 2]" displayFolder="" count="0" memberValueDatatype="130" unbalanced="0"/>
    <cacheHierarchy uniqueName="[Range 2].[Service Request Date]" caption="Service Request Date" attribute="1" defaultMemberUniqueName="[Range 2].[Service Request Date].[All]" allUniqueName="[Range 2].[Service Request Date].[All]" dimensionUniqueName="[Range 2]" displayFolder="" count="0" memberValueDatatype="130" unbalanced="0"/>
    <cacheHierarchy uniqueName="[Range 2].[Completion Date]" caption="Completion Date" attribute="1" defaultMemberUniqueName="[Range 2].[Completion Date].[All]" allUniqueName="[Range 2].[Completion Date].[All]" dimensionUniqueName="[Range 2]" displayFolder="" count="0" memberValueDatatype="130" unbalanced="0"/>
    <cacheHierarchy uniqueName="[Range 2].[Response Time (Hours)]" caption="Response Time (Hours)" attribute="1" defaultMemberUniqueName="[Range 2].[Response Time (Hours)].[All]" allUniqueName="[Range 2].[Response Time (Hours)].[All]" dimensionUniqueName="[Range 2]" displayFolder="" count="0" memberValueDatatype="20" unbalanced="0"/>
    <cacheHierarchy uniqueName="[Range 3].[LOCATION]" caption="LOCATION" attribute="1" defaultMemberUniqueName="[Range 3].[LOCATION].[All]" allUniqueName="[Range 3].[LOCATION].[All]" dimensionUniqueName="[Range 3]" displayFolder="" count="0" memberValueDatatype="130" unbalanced="0"/>
    <cacheHierarchy uniqueName="[Range 3].[Organization]" caption="Organization" attribute="1" defaultMemberUniqueName="[Range 3].[Organization].[All]" allUniqueName="[Range 3].[Organization].[All]" dimensionUniqueName="[Range 3]" displayFolder="" count="0" memberValueDatatype="130" unbalanced="0"/>
    <cacheHierarchy uniqueName="[Range 3].[Initial Contract Start Date]" caption="Initial Contract Start Date" attribute="1" time="1" defaultMemberUniqueName="[Range 3].[Initial Contract Start Date].[All]" allUniqueName="[Range 3].[Initial Contract Start Date].[All]" dimensionUniqueName="[Range 3]" displayFolder="" count="0" memberValueDatatype="7" unbalanced="0"/>
    <cacheHierarchy uniqueName="[Range 3].[Initial Contract Start MONTH]" caption="Initial Contract Start MONTH" attribute="1" defaultMemberUniqueName="[Range 3].[Initial Contract Start MONTH].[All]" allUniqueName="[Range 3].[Initial Contract Start MONTH].[All]" dimensionUniqueName="[Range 3]" displayFolder="" count="0" memberValueDatatype="130" unbalanced="0"/>
    <cacheHierarchy uniqueName="[Range 3].[Initial Contract Start YEAR]" caption="Initial Contract Start YEAR" attribute="1" time="1" defaultMemberUniqueName="[Range 3].[Initial Contract Start YEAR].[All]" allUniqueName="[Range 3].[Initial Contract Start YEAR].[All]" dimensionUniqueName="[Range 3]" displayFolder="" count="0" memberValueDatatype="7" unbalanced="0"/>
    <cacheHierarchy uniqueName="[Range 3].[Initial Contract Start YEAR (Year)]" caption="Initial Contract Start YEAR (Year)" attribute="1" defaultMemberUniqueName="[Range 3].[Initial Contract Start YEAR (Year)].[All]" allUniqueName="[Range 3].[Initial Contract Start YEAR (Year)].[All]" dimensionUniqueName="[Range 3]" displayFolder="" count="0" memberValueDatatype="130" unbalanced="0"/>
    <cacheHierarchy uniqueName="[Range 3].[Initial Contract Start YEAR (Quarter)]" caption="Initial Contract Start YEAR (Quarter)" attribute="1" defaultMemberUniqueName="[Range 3].[Initial Contract Start YEAR (Quarter)].[All]" allUniqueName="[Range 3].[Initial Contract Start YEAR (Quarter)].[All]" dimensionUniqueName="[Range 3]" displayFolder="" count="0" memberValueDatatype="130" unbalanced="0"/>
    <cacheHierarchy uniqueName="[Range 3].[Initial Contract Start YEAR (Month)]" caption="Initial Contract Start YEAR (Month)" attribute="1" defaultMemberUniqueName="[Range 3].[Initial Contract Start YEAR (Month)].[All]" allUniqueName="[Range 3].[Initial Contract Start YEAR (Month)].[All]" dimensionUniqueName="[Range 3]" displayFolder="" count="0" memberValueDatatype="130" unbalanced="0"/>
    <cacheHierarchy uniqueName="[Range 4].[LOCATION]" caption="LOCATION" attribute="1" defaultMemberUniqueName="[Range 4].[LOCATION].[All]" allUniqueName="[Range 4].[LOCATION].[All]" dimensionUniqueName="[Range 4]" displayFolder="" count="2" memberValueDatatype="130" unbalanced="0">
      <fieldsUsage count="2">
        <fieldUsage x="-1"/>
        <fieldUsage x="0"/>
      </fieldsUsage>
    </cacheHierarchy>
    <cacheHierarchy uniqueName="[Range 4].[Organization]" caption="Organization" attribute="1" defaultMemberUniqueName="[Range 4].[Organization].[All]" allUniqueName="[Range 4].[Organization].[All]" dimensionUniqueName="[Range 4]" displayFolder="" count="2" memberValueDatatype="130" unbalanced="0">
      <fieldsUsage count="2">
        <fieldUsage x="-1"/>
        <fieldUsage x="4"/>
      </fieldsUsage>
    </cacheHierarchy>
    <cacheHierarchy uniqueName="[Range 4].[Total Cost (USD)]" caption="Total Cost (USD)" attribute="1" defaultMemberUniqueName="[Range 4].[Total Cost (USD)].[All]" allUniqueName="[Range 4].[Total Cost (USD)].[All]" dimensionUniqueName="[Range 4]" displayFolder="" count="0" memberValueDatatype="20" unbalanced="0"/>
    <cacheHierarchy uniqueName="[Range 4].[Revenue (USD)]" caption="Revenue (USD)" attribute="1" defaultMemberUniqueName="[Range 4].[Revenue (USD)].[All]" allUniqueName="[Range 4].[Revenue (USD)].[All]" dimensionUniqueName="[Range 4]" displayFolder="" count="0" memberValueDatatype="20" unbalanced="0"/>
    <cacheHierarchy uniqueName="[Range 4].[PROFIT MARGIN KPI]" caption="PROFIT MARGIN KPI" attribute="1" defaultMemberUniqueName="[Range 4].[PROFIT MARGIN KPI].[All]" allUniqueName="[Range 4].[PROFIT MARGIN KPI].[All]" dimensionUniqueName="[Range 4]" displayFolder="" count="0" memberValueDatatype="5" unbalanced="0"/>
    <cacheHierarchy uniqueName="[Range 4].[Cost Effectiveness (%)]" caption="Cost Effectiveness (%)" attribute="1" defaultMemberUniqueName="[Range 4].[Cost Effectiveness (%)].[All]" allUniqueName="[Range 4].[Cost Effectiveness (%)].[All]" dimensionUniqueName="[Range 4]" displayFolder="" count="0" memberValueDatatype="5" unbalanced="0"/>
    <cacheHierarchy uniqueName="[Range 4].[Initial Contract Start Date]" caption="Initial Contract Start Date" attribute="1" time="1" defaultMemberUniqueName="[Range 4].[Initial Contract Start Date].[All]" allUniqueName="[Range 4].[Initial Contract Start Date].[All]" dimensionUniqueName="[Range 4]" displayFolder="" count="0" memberValueDatatype="7" unbalanced="0"/>
    <cacheHierarchy uniqueName="[Range 4].[Initial Contract Start MONTH]" caption="Initial Contract Start MONTH" attribute="1" defaultMemberUniqueName="[Range 4].[Initial Contract Start MONTH].[All]" allUniqueName="[Range 4].[Initial Contract Start MONTH].[All]" dimensionUniqueName="[Range 4]" displayFolder="" count="0" memberValueDatatype="130" unbalanced="0"/>
    <cacheHierarchy uniqueName="[Range 4].[Initial Contract Start YEAR]" caption="Initial Contract Start YEAR" attribute="1" time="1" defaultMemberUniqueName="[Range 4].[Initial Contract Start YEAR].[All]" allUniqueName="[Range 4].[Initial Contract Start YEAR].[All]" dimensionUniqueName="[Range 4]" displayFolder="" count="0" memberValueDatatype="7" unbalanced="0"/>
    <cacheHierarchy uniqueName="[Range 4].[Incident ID]" caption="Incident ID" attribute="1" defaultMemberUniqueName="[Range 4].[Incident ID].[All]" allUniqueName="[Range 4].[Incident ID].[All]" dimensionUniqueName="[Range 4]" displayFolder="" count="0" memberValueDatatype="130" unbalanced="0"/>
    <cacheHierarchy uniqueName="[Range 4].[Service Request Date]" caption="Service Request Date" attribute="1" defaultMemberUniqueName="[Range 4].[Service Request Date].[All]" allUniqueName="[Range 4].[Service Request Date].[All]" dimensionUniqueName="[Range 4]" displayFolder="" count="0" memberValueDatatype="130" unbalanced="0"/>
    <cacheHierarchy uniqueName="[Range 4].[Completion Date]" caption="Completion Date" attribute="1" defaultMemberUniqueName="[Range 4].[Completion Date].[All]" allUniqueName="[Range 4].[Completion Date].[All]" dimensionUniqueName="[Range 4]" displayFolder="" count="0" memberValueDatatype="130" unbalanced="0"/>
    <cacheHierarchy uniqueName="[Range 4].[Response Time (Hours)]" caption="Response Time (Hours)" attribute="1" defaultMemberUniqueName="[Range 4].[Response Time (Hours)].[All]" allUniqueName="[Range 4].[Response Time (Hours)].[All]" dimensionUniqueName="[Range 4]" displayFolder="" count="0" memberValueDatatype="20" unbalanced="0"/>
    <cacheHierarchy uniqueName="[Range 4].[Project Summary]" caption="Project Summary" attribute="1" defaultMemberUniqueName="[Range 4].[Project Summary].[All]" allUniqueName="[Range 4].[Project Summary].[All]" dimensionUniqueName="[Range 4]" displayFolder="" count="0" memberValueDatatype="130" unbalanced="0"/>
    <cacheHierarchy uniqueName="[Range 4].[Project Completion Start Date]" caption="Project Completion Start Date" attribute="1" defaultMemberUniqueName="[Range 4].[Project Completion Start Date].[All]" allUniqueName="[Range 4].[Project Completion Start Date].[All]" dimensionUniqueName="[Range 4]" displayFolder="" count="0" memberValueDatatype="130" unbalanced="0"/>
    <cacheHierarchy uniqueName="[Range 4].[Project Completion Completion Date]" caption="Project Completion Completion Date" attribute="1" defaultMemberUniqueName="[Range 4].[Project Completion Completion Date].[All]" allUniqueName="[Range 4].[Project Completion Completion Date].[All]" dimensionUniqueName="[Range 4]" displayFolder="" count="0" memberValueDatatype="130" unbalanced="0"/>
    <cacheHierarchy uniqueName="[Range 4].[Project Completion Time (Days)]" caption="Project Completion Time (Days)" attribute="1" defaultMemberUniqueName="[Range 4].[Project Completion Time (Days)].[All]" allUniqueName="[Range 4].[Project Completion Time (Days)].[All]" dimensionUniqueName="[Range 4]" displayFolder="" count="0" memberValueDatatype="130" unbalanced="0"/>
    <cacheHierarchy uniqueName="[Range 4].[Promoter (9-10)]" caption="Promoter (9-10)" attribute="1" defaultMemberUniqueName="[Range 4].[Promoter (9-10)].[All]" allUniqueName="[Range 4].[Promoter (9-10)].[All]" dimensionUniqueName="[Range 4]" displayFolder="" count="0" memberValueDatatype="20" unbalanced="0"/>
    <cacheHierarchy uniqueName="[Range 4].[Passive (7-8)]" caption="Passive (7-8)" attribute="1" defaultMemberUniqueName="[Range 4].[Passive (7-8)].[All]" allUniqueName="[Range 4].[Passive (7-8)].[All]" dimensionUniqueName="[Range 4]" displayFolder="" count="0" memberValueDatatype="20" unbalanced="0"/>
    <cacheHierarchy uniqueName="[Range 4].[Detractor (0-6)]" caption="Detractor (0-6)" attribute="1" defaultMemberUniqueName="[Range 4].[Detractor (0-6)].[All]" allUniqueName="[Range 4].[Detractor (0-6)].[All]" dimensionUniqueName="[Range 4]" displayFolder="" count="0" memberValueDatatype="20" unbalanced="0"/>
    <cacheHierarchy uniqueName="[Range 3].[Initial Contract Start YEAR (Month Index)]" caption="Initial Contract Start YEAR (Month Index)" attribute="1" defaultMemberUniqueName="[Range 3].[Initial Contract Start YEAR (Month Index)].[All]" allUniqueName="[Range 3].[Initial Contract Start YEAR (Month Index)].[All]" dimensionUniqueName="[Range 3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Count of Organization]" caption="Count of Organization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 Cost (USD)]" caption="Sum of Total Cost (USD)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Revenue (USD)]" caption="Sum of Revenue (USD)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ost Effectiveness (%)]" caption="Sum of Cost Effectiveness (%)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OFIT MARGIN KPI]" caption="Sum of PROFIT MARGIN KPI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ganization 2]" caption="Count of Organization 2" measure="1" displayFolder="" measureGroup="Range 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moter (9-10)]" caption="Sum of Promoter (9-10)" measure="1" displayFolder="" measureGroup="Range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assive (7-8)]" caption="Sum of Passive (7-8)" measure="1" displayFolder="" measureGroup="Range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Detractor (0-6)]" caption="Sum of Detractor (0-6)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Incident ID]" caption="Count of Incident ID" measure="1" displayFolder="" measureGroup="Range 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ganization 3]" caption="Count of Organization 3" measure="1" displayFolder="" measureGroup="Range 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Service Request Date]" caption="Count of Service Request Date" measure="1" displayFolder="" measureGroup="Range 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ompletion Date]" caption="Count of Completion Date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esponse Time (Hours)]" caption="Sum of Response Time (Hours)" measure="1" displayFolder="" measureGroup="Range 2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Organization 4]" caption="Count of Organization 4" measure="1" displayFolder="" measureGroup="Range 3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Initial Contract Start Date]" caption="Count of Initial Contract Start Date" measure="1" displayFolder="" measureGroup="Range 3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Distinct Count of Initial Contract Start Date]" caption="Distinct Count of Initial Contract Start Date" measure="1" displayFolder="" measureGroup="Range 3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Initial Contract Start MONTH]" caption="Count of Initial Contract Start MONTH" measure="1" displayFolder="" measureGroup="Range 3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Initial Contract Start YEAR]" caption="Count of Initial Contract Start YEAR" measure="1" displayFolder="" measureGroup="Range 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otal Cost (USD) 2]" caption="Sum of Total Cost (USD) 2" measure="1" displayFolder="" measureGroup="Range 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Revenue (USD) 2]" caption="Sum of Revenue (USD) 2" measure="1" displayFolder="" measureGroup="Range 4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PROFIT MARGIN KPI 2]" caption="Sum of PROFIT MARGIN KPI 2" measure="1" displayFolder="" measureGroup="Range 4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Cost Effectiveness (%) 2]" caption="Sum of Cost Effectiveness (%) 2" measure="1" displayFolder="" measureGroup="Range 4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Initial Contract Start Date 2]" caption="Count of Initial Contract Start Date 2" measure="1" displayFolder="" measureGroup="Range 4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Initial Contract Start MONTH 2]" caption="Count of Initial Contract Start MONTH 2" measure="1" displayFolder="" measureGroup="Range 4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Initial Contract Start YEAR 2]" caption="Count of Initial Contract Start YEAR 2" measure="1" displayFolder="" measureGroup="Range 4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Incident ID 2]" caption="Count of Incident ID 2" measure="1" displayFolder="" measureGroup="Range 4" count="0" oneField="1" hidden="1">
      <fieldsUsage count="1">
        <fieldUsage x="9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Service Request Date 2]" caption="Count of Service Request Date 2" measure="1" displayFolder="" measureGroup="Range 4" count="0" oneField="1" hidden="1">
      <fieldsUsage count="1">
        <fieldUsage x="10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Completion Date 2]" caption="Count of Completion Date 2" measure="1" displayFolder="" measureGroup="Range 4" count="0" oneField="1" hidden="1">
      <fieldsUsage count="1">
        <fieldUsage x="11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Response Time (Hours) 2]" caption="Sum of Response Time (Hours) 2" measure="1" displayFolder="" measureGroup="Range 4" count="0" oneField="1" hidden="1">
      <fieldsUsage count="1">
        <fieldUsage x="12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Project Summary]" caption="Count of Project Summary" measure="1" displayFolder="" measureGroup="Range 4" count="0" oneField="1" hidden="1">
      <fieldsUsage count="1">
        <fieldUsage x="13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Project Completion Start Date]" caption="Count of Project Completion Start Date" measure="1" displayFolder="" measureGroup="Range 4" count="0" oneField="1" hidden="1">
      <fieldsUsage count="1">
        <fieldUsage x="1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Project Completion Completion Date]" caption="Count of Project Completion Completion Date" measure="1" displayFolder="" measureGroup="Range 4" count="0" oneField="1" hidden="1">
      <fieldsUsage count="1">
        <fieldUsage x="15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Project Completion Time (Days)]" caption="Count of Project Completion Time (Days)" measure="1" displayFolder="" measureGroup="Range 4" count="0" oneField="1" hidden="1">
      <fieldsUsage count="1">
        <fieldUsage x="16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Promoter (9-10) 2]" caption="Sum of Promoter (9-10) 2" measure="1" displayFolder="" measureGroup="Range 4" count="0" oneField="1" hidden="1">
      <fieldsUsage count="1">
        <fieldUsage x="17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Passive (7-8) 2]" caption="Sum of Passive (7-8) 2" measure="1" displayFolder="" measureGroup="Range 4" count="0" oneField="1" hidden="1">
      <fieldsUsage count="1">
        <fieldUsage x="18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Detractor (0-6) 2]" caption="Sum of Detractor (0-6) 2" measure="1" displayFolder="" measureGroup="Range 4" count="0" oneField="1" hidden="1">
      <fieldsUsage count="1">
        <fieldUsage x="19"/>
      </fieldsUsage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Count of Organization 5]" caption="Count of Organization 5" measure="1" displayFolder="" measureGroup="Range 4" count="0" oneField="1" hidden="1">
      <fieldsUsage count="1">
        <fieldUsage x="20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Tech Innovations Inc"/>
    <s v="Upgrade CRM system to enhance customer service"/>
    <s v="2023-01-15"/>
    <s v="2023-02-15"/>
    <n v="30"/>
  </r>
  <r>
    <x v="0"/>
    <s v="Data Dynamics Corp"/>
    <s v="Implement data analytics platform"/>
    <s v="2023-03-20"/>
    <s v="2023-05-01"/>
    <n v="42"/>
  </r>
  <r>
    <x v="0"/>
    <s v="CyberTech Solutions"/>
    <s v="Develop mobile app for internal use"/>
    <s v="2023-05-10"/>
    <s v="-"/>
    <s v="-"/>
  </r>
  <r>
    <x v="0"/>
    <s v="CloudX Enterprises"/>
    <s v="Migrate to cloud infrastructure"/>
    <s v="2023-06-25"/>
    <s v="2023-07-25"/>
    <n v="30"/>
  </r>
  <r>
    <x v="0"/>
    <s v="Future Systems Inc"/>
    <s v="Website redesign and optimization"/>
    <s v="2023-08-15"/>
    <s v="-"/>
    <s v="-"/>
  </r>
  <r>
    <x v="0"/>
    <s v="NovaGlobe Solutions"/>
    <s v="Implement ERP system"/>
    <s v="2023-09-20"/>
    <s v="2023-10-20"/>
    <n v="30"/>
  </r>
  <r>
    <x v="0"/>
    <s v="Quantum Technologies"/>
    <s v="Develop AI-driven chatbot"/>
    <s v="2023-11-05"/>
    <s v="2024-01-05"/>
    <n v="61"/>
  </r>
  <r>
    <x v="0"/>
    <s v="Visionary Ventures"/>
    <s v="Upgrade network infrastructure"/>
    <s v="2024-02-10"/>
    <s v="-"/>
    <s v="-"/>
  </r>
  <r>
    <x v="0"/>
    <s v="Digital Frontier Inc"/>
    <s v="Deploy cybersecurity solution"/>
    <s v="2024-03-15"/>
    <s v="2024-04-15"/>
    <n v="31"/>
  </r>
  <r>
    <x v="0"/>
    <s v="AlphaWave Technologies"/>
    <s v="Develop custom software solution"/>
    <s v="2024-05-20"/>
    <s v="2024-07-10"/>
    <n v="51"/>
  </r>
  <r>
    <x v="0"/>
    <s v="NexGen Innovations"/>
    <s v="Implement HR management system"/>
    <s v="2024-07-25"/>
    <s v="-"/>
    <s v="-"/>
  </r>
  <r>
    <x v="0"/>
    <s v="Infinity Solutions"/>
    <s v="Upgrade database infrastructure"/>
    <s v="2024-09-10"/>
    <s v="2024-10-10"/>
    <n v="30"/>
  </r>
  <r>
    <x v="0"/>
    <s v="TechSavvy Solutions"/>
    <s v="Develop e-commerce platform"/>
    <s v="2024-11-15"/>
    <s v="-"/>
    <s v="-"/>
  </r>
  <r>
    <x v="0"/>
    <s v="DataBridge Systems"/>
    <s v="Deploy business intelligence solution"/>
    <s v="2025-01-20"/>
    <s v="2025-03-01"/>
    <n v="40"/>
  </r>
  <r>
    <x v="0"/>
    <s v="CloudCom Services"/>
    <s v="Upgrade telecommunication system"/>
    <s v="2025-03-25"/>
    <s v="2025-05-05"/>
    <n v="41"/>
  </r>
  <r>
    <x v="0"/>
    <s v="Innovatech Inc"/>
    <s v="Implement supply chain management system"/>
    <s v="2025-06-01"/>
    <s v="2025-07-10"/>
    <n v="39"/>
  </r>
  <r>
    <x v="0"/>
    <s v="Binary Solutions"/>
    <s v="Develop customer portal"/>
    <s v="2025-08-15"/>
    <s v="-"/>
    <s v="-"/>
  </r>
  <r>
    <x v="0"/>
    <s v="NetGain Enterprises"/>
    <s v="Upgrade data storage infrastructure"/>
    <s v="2025-09-20"/>
    <s v="2025-11-01"/>
    <n v="42"/>
  </r>
  <r>
    <x v="0"/>
    <s v="CodeCrafters Inc"/>
    <s v="Develop mobile payment application"/>
    <s v="2025-11-25"/>
    <s v="2026-01-25"/>
    <n v="61"/>
  </r>
  <r>
    <x v="0"/>
    <s v="Quantum Leap Corp"/>
    <s v="Implement machine learning solution"/>
    <s v="2026-02-10"/>
    <s v="-"/>
    <s v="-"/>
  </r>
  <r>
    <x v="1"/>
    <s v="Maple Leaf Solutions"/>
    <s v="Upgrade ERP system"/>
    <s v="2023-01-15"/>
    <s v="2023-02-28"/>
    <n v="44"/>
  </r>
  <r>
    <x v="1"/>
    <s v="Toronto Tech Group"/>
    <s v="Develop project management software"/>
    <s v="2023-03-20"/>
    <s v="2023-05-15"/>
    <n v="56"/>
  </r>
  <r>
    <x v="1"/>
    <s v="CanTech Innovations"/>
    <s v="Implement CRM solution"/>
    <s v="2023-05-10"/>
    <s v="-"/>
    <s v="-"/>
  </r>
  <r>
    <x v="1"/>
    <s v="Ontario Systems Inc"/>
    <s v="Upgrade network infrastructure"/>
    <s v="2023-06-25"/>
    <s v="2023-08-10"/>
    <n v="46"/>
  </r>
  <r>
    <x v="1"/>
    <s v="Northern Lights Corp"/>
    <s v="Develop custom software solution"/>
    <s v="2023-08-15"/>
    <s v="-"/>
    <s v="-"/>
  </r>
  <r>
    <x v="1"/>
    <s v="TrueNorth Technologies"/>
    <s v="Deploy cybersecurity solution"/>
    <s v="2023-09-20"/>
    <s v="2023-11-10"/>
    <n v="51"/>
  </r>
  <r>
    <x v="1"/>
    <s v="CanadaNet Solutions"/>
    <s v="Upgrade telecommunication system"/>
    <s v="2023-11-05"/>
    <s v="2024-01-05"/>
    <n v="61"/>
  </r>
  <r>
    <x v="1"/>
    <s v="MapleSoft Solutions"/>
    <s v="Implement data analytics platform"/>
    <s v="2024-02-10"/>
    <s v="-"/>
    <s v="-"/>
  </r>
  <r>
    <x v="1"/>
    <s v="Great Lakes IT"/>
    <s v="Develop mobile app for customer engagement"/>
    <s v="2024-03-15"/>
    <s v="2024-04-30"/>
    <n v="46"/>
  </r>
  <r>
    <x v="1"/>
    <s v="Ontario Innovations"/>
    <s v="Upgrade website infrastructure"/>
    <s v="2024-05-20"/>
    <s v="2024-07-20"/>
    <n v="61"/>
  </r>
  <r>
    <x v="1"/>
    <s v="Toronto Data Systems"/>
    <s v="Deploy business intelligence solution"/>
    <s v="2024-07-25"/>
    <s v="-"/>
    <s v="-"/>
  </r>
  <r>
    <x v="1"/>
    <s v="NorthStar Solutions"/>
    <s v="Develop e-commerce platform"/>
    <s v="2024-09-10"/>
    <s v="2024-11-05"/>
    <n v="56"/>
  </r>
  <r>
    <x v="1"/>
    <s v="OntarioTech Inc"/>
    <s v="Upgrade CRM system"/>
    <s v="2024-11-15"/>
    <s v="-"/>
    <s v="-"/>
  </r>
  <r>
    <x v="1"/>
    <s v="TorontoTech Solutions"/>
    <s v="Implement supply chain management system"/>
    <s v="2025-01-20"/>
    <s v="2025-03-15"/>
    <n v="54"/>
  </r>
  <r>
    <x v="1"/>
    <s v="MapleTech Group"/>
    <s v="Develop mobile payment application"/>
    <s v="2025-03-25"/>
    <s v="2025-05-25"/>
    <n v="61"/>
  </r>
  <r>
    <x v="1"/>
    <s v="Ontario Networks Inc"/>
    <s v="Upgrade database infrastructure"/>
    <s v="2025-06-01"/>
    <s v="-"/>
    <s v="-"/>
  </r>
  <r>
    <x v="1"/>
    <s v="Toronto Innovators"/>
    <s v="Develop customer portal"/>
    <s v="2025-08-15"/>
    <s v="2025-10-05"/>
    <n v="51"/>
  </r>
  <r>
    <x v="1"/>
    <s v="Maple Systems Inc"/>
    <s v="Implement machine learning solution"/>
    <s v="2025-09-20"/>
    <s v="-"/>
    <s v="-"/>
  </r>
  <r>
    <x v="1"/>
    <s v="Ontario Solutions"/>
    <s v="Upgrade ERP system"/>
    <s v="2025-11-25"/>
    <s v="2026-01-25"/>
    <n v="61"/>
  </r>
  <r>
    <x v="1"/>
    <s v="CanConnect Solutions"/>
    <s v="Develop project management software"/>
    <s v="2026-02-10"/>
    <s v="-"/>
    <s v="-"/>
  </r>
  <r>
    <x v="2"/>
    <s v="BrazilSoft Solutions"/>
    <s v="Implement CRM solution"/>
    <s v="2023-01-15"/>
    <s v="2023-02-15"/>
    <n v="30"/>
  </r>
  <r>
    <x v="2"/>
    <s v="São Paulo Tech Group"/>
    <s v="Upgrade ERP system"/>
    <s v="2023-03-20"/>
    <s v="2023-05-01"/>
    <n v="42"/>
  </r>
  <r>
    <x v="2"/>
    <s v="LatinTech Innovations"/>
    <s v="Develop mobile app for customer engagement"/>
    <s v="2023-05-10"/>
    <s v="-"/>
    <s v="-"/>
  </r>
  <r>
    <x v="2"/>
    <s v="BrazilNet Solutions"/>
    <s v="Upgrade network infrastructure"/>
    <s v="2023-06-25"/>
    <s v="2023-07-25"/>
    <n v="30"/>
  </r>
  <r>
    <x v="2"/>
    <s v="SouthStar Tech"/>
    <s v="Implement data analytics platform"/>
    <s v="2023-08-15"/>
    <s v="-"/>
    <s v="-"/>
  </r>
  <r>
    <x v="2"/>
    <s v="RioTech Innovations"/>
    <s v="Deploy business intelligence solution"/>
    <s v="2023-09-20"/>
    <s v="2023-10-20"/>
    <n v="30"/>
  </r>
  <r>
    <x v="2"/>
    <s v="São Paulo Dynamics"/>
    <s v="Develop e-commerce platform"/>
    <s v="2023-11-05"/>
    <s v="2024-01-05"/>
    <n v="61"/>
  </r>
  <r>
    <x v="2"/>
    <s v="BrazilData Systems"/>
    <s v="Upgrade website infrastructure"/>
    <s v="2024-02-10"/>
    <s v="-"/>
    <s v="-"/>
  </r>
  <r>
    <x v="2"/>
    <s v="MegaSoft Brazil"/>
    <s v="Develop mobile payment application"/>
    <s v="2024-03-15"/>
    <s v="2024-04-15"/>
    <n v="31"/>
  </r>
  <r>
    <x v="2"/>
    <s v="São Paulo Solutions"/>
    <s v="Deploy cybersecurity solution"/>
    <s v="2024-05-20"/>
    <s v="2024-07-10"/>
    <n v="51"/>
  </r>
  <r>
    <x v="2"/>
    <s v="LatinNet Tech"/>
    <s v="Upgrade database infrastructure"/>
    <s v="2024-07-25"/>
    <s v="-"/>
    <s v="-"/>
  </r>
  <r>
    <x v="2"/>
    <s v="Brazil Innovations"/>
    <s v="Develop project management software"/>
    <s v="2024-09-10"/>
    <s v="2024-10-10"/>
    <n v="30"/>
  </r>
  <r>
    <x v="2"/>
    <s v="São Paulo Networks"/>
    <s v="Implement supply chain management system"/>
    <s v="2024-11-15"/>
    <s v="-"/>
    <s v="-"/>
  </r>
  <r>
    <x v="2"/>
    <s v="BrazilTech Group"/>
    <s v="Upgrade telecommunication system"/>
    <s v="2025-01-20"/>
    <s v="2025-03-01"/>
    <n v="40"/>
  </r>
  <r>
    <x v="2"/>
    <s v="São Paulo Innovators"/>
    <s v="Develop AI-driven chatbot"/>
    <s v="2025-03-25"/>
    <s v="2025-05-05"/>
    <n v="41"/>
  </r>
  <r>
    <x v="2"/>
    <s v="Latin Dynamics"/>
    <s v="Develop customer portal"/>
    <s v="2025-06-01"/>
    <s v="2025-07-10"/>
    <n v="39"/>
  </r>
  <r>
    <x v="2"/>
    <s v="RioNet Solutions"/>
    <s v="Implement machine learning solution"/>
    <s v="2025-08-15"/>
    <s v="-"/>
    <s v="-"/>
  </r>
  <r>
    <x v="2"/>
    <s v="BrazilTech Inc"/>
    <s v="Upgrade network infrastructure"/>
    <s v="2025-09-20"/>
    <s v="2025-11-01"/>
    <n v="42"/>
  </r>
  <r>
    <x v="2"/>
    <s v="São Paulo Data Systems"/>
    <s v="Develop custom software solution"/>
    <s v="2025-11-25"/>
    <s v="2026-01-25"/>
    <n v="61"/>
  </r>
  <r>
    <x v="2"/>
    <s v="LatinNet Solutions"/>
    <s v="Upgrade CRM system"/>
    <s v="2026-02-10"/>
    <s v="-"/>
    <s v="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D8760B-6A11-4AFF-ACD8-57C4A41D431F}" name="PivotTable7" cacheId="4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LOCATION">
  <location ref="A5:E9" firstHeaderRow="0" firstDataRow="1" firstDataCol="1" rowPageCount="2" colPageCount="1"/>
  <pivotFields count="7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5" hier="20" name="[Range 3].[Initial Contract Start MONTH].[All]" cap="All"/>
    <pageField fld="6" hier="21" name="[Range 3].[Initial Contract Start YEAR].[All]" cap="All"/>
  </pageFields>
  <dataFields count="4">
    <dataField name="Count of Organization" fld="1" subtotal="count" baseField="0" baseItem="0"/>
    <dataField name="Count of Initial Contract Start Date" fld="2" subtotal="count" baseField="0" baseItem="0"/>
    <dataField name="Count of Initial Contract Start YEAR" fld="3" subtotal="count" baseField="0" baseItem="0"/>
    <dataField name="Count of Initial Contract Start MONTH" fld="4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Initial Contract Start Date"/>
    <pivotHierarchy dragToData="1" caption="Distinct Count of Initial Contract Start Dat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aster Data!$AC$2:$AE$74">
        <x15:activeTabTopLevelEntity name="[Range 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06B050-0A18-43CD-B35E-782B2F7B9D9E}" name="PivotTable5" cacheId="4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LOCATION">
  <location ref="A2:F6" firstHeaderRow="0" firstDataRow="1" firstDataCol="1"/>
  <pivotFields count="6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Incident ID" fld="1" subtotal="count" baseField="0" baseItem="0"/>
    <dataField name="Count of Organization" fld="2" subtotal="count" baseField="0" baseItem="0"/>
    <dataField name="Count of Service Request Date" fld="3" subtotal="count" baseField="0" baseItem="0"/>
    <dataField name="Count of Completion Date" fld="4" subtotal="count" baseField="0" baseItem="0"/>
    <dataField name="Sum of Response Time (Hours)" fld="5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aster Data!$V$2:$AA$62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97B4AE-F499-450F-9FC1-8F9DC26AE20D}" name="PivotTable4" cacheId="4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LOCATION">
  <location ref="A2:E6" firstHeaderRow="0" firstDataRow="1" firstDataCol="1"/>
  <pivotFields count="5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Organization" fld="1" subtotal="count" baseField="0" baseItem="0"/>
    <dataField name="Sum of Promoter (9-10)" fld="2" baseField="0" baseItem="0"/>
    <dataField name="Sum of Passive (7-8)" fld="3" baseField="0" baseItem="0"/>
    <dataField name="Sum of Detractor (0-6)" fld="4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aster Data!$P$2:$T$77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00E8EA-3D23-4926-939A-55535BE11C02}" name="PivotTable3" cacheId="1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LOCATION">
  <location ref="A2:F6" firstHeaderRow="0" firstDataRow="1" firstDataCol="1"/>
  <pivotFields count="6">
    <pivotField axis="axisRow" showAll="0">
      <items count="4">
        <item x="2"/>
        <item x="0"/>
        <item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Project Summary" fld="2" subtotal="count" baseField="0" baseItem="0"/>
    <dataField name="Count of Organization" fld="1" subtotal="count" baseField="0" baseItem="0"/>
    <dataField name="Count of Start Date" fld="3" subtotal="count" baseField="0" baseItem="0"/>
    <dataField name="Count of Completion Date" fld="4" subtotal="count" baseField="0" baseItem="0"/>
    <dataField name="Count of Completion Time (Days)" fld="5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061E19-2B1A-4346-9366-A8A8E525423B}" name="PivotTable2" cacheId="4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LOCATION">
  <location ref="A2:F6" firstHeaderRow="0" firstDataRow="1" firstDataCol="1"/>
  <pivotFields count="6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Organization" fld="1" subtotal="count" baseField="0" baseItem="0"/>
    <dataField name="Sum of Total Cost (USD)" fld="2" baseField="0" baseItem="0" numFmtId="44"/>
    <dataField name="Sum of Revenue (USD)" fld="3" baseField="0" baseItem="0" numFmtId="44"/>
    <dataField name="Sum of Cost Effectiveness (%)" fld="4" baseField="0" baseItem="0" numFmtId="2"/>
    <dataField name="Sum of PROFIT MARGIN KPI" fld="5" baseField="0" baseItem="0" numFmtId="44"/>
  </dataFields>
  <formats count="10">
    <format dxfId="209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20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07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06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205">
      <pivotArea type="all" dataOnly="0" outline="0" fieldPosition="0"/>
    </format>
    <format dxfId="204">
      <pivotArea outline="0" collapsedLevelsAreSubtotals="1" fieldPosition="0"/>
    </format>
    <format dxfId="203">
      <pivotArea field="0" type="button" dataOnly="0" labelOnly="1" outline="0" axis="axisRow" fieldPosition="0"/>
    </format>
    <format dxfId="202">
      <pivotArea dataOnly="0" labelOnly="1" fieldPosition="0">
        <references count="1">
          <reference field="0" count="0"/>
        </references>
      </pivotArea>
    </format>
    <format dxfId="201">
      <pivotArea dataOnly="0" labelOnly="1" grandRow="1" outline="0" fieldPosition="0"/>
    </format>
    <format dxfId="20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aster Data!$A$2:$E$6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DBFD96-D8E6-4DD0-9ACF-6355EB6FC9E0}" name="PivotTable8" cacheId="4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LOCATIONS">
  <location ref="A3:T7" firstHeaderRow="0" firstDataRow="1" firstDataCol="1" rowPageCount="1" colPageCount="1"/>
  <pivotFields count="21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1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</colItems>
  <pageFields count="1">
    <pageField fld="4" hier="26" name="[Range 4].[Organization].[All]" cap="All"/>
  </pageFields>
  <dataFields count="19">
    <dataField name="Count of Organization" fld="20" subtotal="count" baseField="0" baseItem="0"/>
    <dataField name="Sum of Total Cost (USD)" fld="1" baseField="0" baseItem="0"/>
    <dataField name="Sum of Revenue (USD)" fld="2" baseField="0" baseItem="0"/>
    <dataField name="Sum of PROFIT MARGIN KPI" fld="3" baseField="0" baseItem="0"/>
    <dataField name="Count of Initial Contract Start YEAR" fld="8" subtotal="count" baseField="0" baseItem="0"/>
    <dataField name="Sum of Cost Effectiveness (%)" fld="5" baseField="0" baseItem="0"/>
    <dataField name="Count of Initial Contract Start Date" fld="6" subtotal="count" baseField="0" baseItem="0"/>
    <dataField name="Count of Incident ID" fld="9" subtotal="count" baseField="0" baseItem="0"/>
    <dataField name="Count of Initial Contract Start MONTH" fld="7" subtotal="count" baseField="0" baseItem="0"/>
    <dataField name="Count of Completion Date" fld="11" subtotal="count" baseField="0" baseItem="0"/>
    <dataField name="Count of Service Request Date" fld="10" subtotal="count" baseField="0" baseItem="0"/>
    <dataField name="Sum of Response Time (Hours)" fld="12" baseField="0" baseItem="0"/>
    <dataField name="Count of Project Completion Start Date" fld="14" subtotal="count" baseField="0" baseItem="0"/>
    <dataField name="Count of Project Summary" fld="13" subtotal="count" baseField="0" baseItem="0"/>
    <dataField name="Count of Project Completion Completion Date" fld="15" subtotal="count" baseField="0" baseItem="0"/>
    <dataField name="Count of Project Completion Time (Days)" fld="16" subtotal="count" baseField="0" baseItem="0"/>
    <dataField name="Sum of Promoter (9-10)" fld="17" baseField="0" baseItem="0"/>
    <dataField name="Sum of Passive (7-8)" fld="18" baseField="0" baseItem="0"/>
    <dataField name="Sum of Detractor (0-6)" fld="19" baseField="0" baseItem="0"/>
  </dataFields>
  <chartFormats count="19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12"/>
          </reference>
        </references>
      </pivotArea>
    </chartFormat>
    <chartFormat chart="0" format="12" series="1">
      <pivotArea type="data" outline="0" fieldPosition="0">
        <references count="1">
          <reference field="4294967294" count="1" selected="0">
            <x v="13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14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15"/>
          </reference>
        </references>
      </pivotArea>
    </chartFormat>
    <chartFormat chart="0" format="15" series="1">
      <pivotArea type="data" outline="0" fieldPosition="0">
        <references count="1">
          <reference field="4294967294" count="1" selected="0">
            <x v="16"/>
          </reference>
        </references>
      </pivotArea>
    </chartFormat>
    <chartFormat chart="0" format="16" series="1">
      <pivotArea type="data" outline="0" fieldPosition="0">
        <references count="1">
          <reference field="4294967294" count="1" selected="0">
            <x v="17"/>
          </reference>
        </references>
      </pivotArea>
    </chartFormat>
    <chartFormat chart="0" format="17" series="1">
      <pivotArea type="data" outline="0" fieldPosition="0">
        <references count="1">
          <reference field="4294967294" count="1" selected="0">
            <x v="18"/>
          </reference>
        </references>
      </pivotArea>
    </chartFormat>
    <chartFormat chart="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aster Data!$AK$2:$BD$329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"/>
  <sheetViews>
    <sheetView tabSelected="1" zoomScaleNormal="100" workbookViewId="0">
      <selection sqref="A1:B1"/>
    </sheetView>
  </sheetViews>
  <sheetFormatPr defaultColWidth="11.5703125" defaultRowHeight="12.75" x14ac:dyDescent="0.2"/>
  <cols>
    <col min="2" max="2" width="22.85546875" customWidth="1"/>
  </cols>
  <sheetData>
    <row r="1" spans="1:2" ht="22.5" x14ac:dyDescent="0.3">
      <c r="A1" s="5" t="s">
        <v>0</v>
      </c>
      <c r="B1" s="5"/>
    </row>
    <row r="2" spans="1:2" x14ac:dyDescent="0.2">
      <c r="A2" s="6" t="s">
        <v>1</v>
      </c>
      <c r="B2" s="6" t="s">
        <v>2</v>
      </c>
    </row>
    <row r="3" spans="1:2" ht="38.25" x14ac:dyDescent="0.2">
      <c r="A3" s="7" t="s">
        <v>3</v>
      </c>
      <c r="B3" s="8" t="s">
        <v>4</v>
      </c>
    </row>
    <row r="4" spans="1:2" ht="38.25" x14ac:dyDescent="0.2">
      <c r="A4" s="7" t="s">
        <v>5</v>
      </c>
      <c r="B4" s="8" t="s">
        <v>6</v>
      </c>
    </row>
    <row r="5" spans="1:2" ht="25.5" x14ac:dyDescent="0.2">
      <c r="A5" s="7" t="s">
        <v>7</v>
      </c>
      <c r="B5" s="8" t="s">
        <v>8</v>
      </c>
    </row>
    <row r="6" spans="1:2" ht="25.5" x14ac:dyDescent="0.2">
      <c r="A6" s="7" t="s">
        <v>9</v>
      </c>
      <c r="B6" s="8" t="s">
        <v>10</v>
      </c>
    </row>
    <row r="7" spans="1:2" ht="25.5" x14ac:dyDescent="0.2">
      <c r="A7" s="7" t="s">
        <v>11</v>
      </c>
      <c r="B7" s="8" t="s">
        <v>12</v>
      </c>
    </row>
    <row r="8" spans="1:2" ht="25.5" x14ac:dyDescent="0.2">
      <c r="A8" s="7" t="s">
        <v>13</v>
      </c>
      <c r="B8" s="8" t="s">
        <v>14</v>
      </c>
    </row>
    <row r="9" spans="1:2" ht="25.5" x14ac:dyDescent="0.2">
      <c r="A9" s="7" t="s">
        <v>15</v>
      </c>
      <c r="B9" s="8" t="s">
        <v>16</v>
      </c>
    </row>
    <row r="10" spans="1:2" ht="25.5" x14ac:dyDescent="0.2">
      <c r="A10" s="7" t="s">
        <v>17</v>
      </c>
      <c r="B10" s="8" t="s">
        <v>18</v>
      </c>
    </row>
    <row r="11" spans="1:2" ht="25.5" x14ac:dyDescent="0.2">
      <c r="A11" s="7" t="s">
        <v>19</v>
      </c>
      <c r="B11" s="8" t="s">
        <v>20</v>
      </c>
    </row>
    <row r="12" spans="1:2" ht="25.5" x14ac:dyDescent="0.2">
      <c r="A12" s="7" t="s">
        <v>21</v>
      </c>
      <c r="B12" s="8" t="s">
        <v>22</v>
      </c>
    </row>
    <row r="13" spans="1:2" ht="25.5" x14ac:dyDescent="0.2">
      <c r="A13" s="7" t="s">
        <v>23</v>
      </c>
      <c r="B13" s="8" t="s">
        <v>24</v>
      </c>
    </row>
    <row r="14" spans="1:2" ht="25.5" x14ac:dyDescent="0.2">
      <c r="A14" s="7" t="s">
        <v>25</v>
      </c>
      <c r="B14" s="8" t="s">
        <v>26</v>
      </c>
    </row>
    <row r="15" spans="1:2" ht="25.5" x14ac:dyDescent="0.2">
      <c r="A15" s="7" t="s">
        <v>27</v>
      </c>
      <c r="B15" s="8" t="s">
        <v>28</v>
      </c>
    </row>
    <row r="16" spans="1:2" ht="25.5" x14ac:dyDescent="0.2">
      <c r="A16" s="7" t="s">
        <v>29</v>
      </c>
      <c r="B16" s="8" t="s">
        <v>30</v>
      </c>
    </row>
    <row r="17" spans="1:2" ht="25.5" x14ac:dyDescent="0.2">
      <c r="A17" s="7" t="s">
        <v>31</v>
      </c>
      <c r="B17" s="8" t="s">
        <v>32</v>
      </c>
    </row>
    <row r="18" spans="1:2" ht="25.5" x14ac:dyDescent="0.2">
      <c r="A18" s="7" t="s">
        <v>33</v>
      </c>
      <c r="B18" s="8" t="s">
        <v>34</v>
      </c>
    </row>
    <row r="19" spans="1:2" ht="25.5" x14ac:dyDescent="0.2">
      <c r="A19" s="7" t="s">
        <v>35</v>
      </c>
      <c r="B19" s="8" t="s">
        <v>36</v>
      </c>
    </row>
    <row r="20" spans="1:2" ht="25.5" x14ac:dyDescent="0.2">
      <c r="A20" s="7" t="s">
        <v>37</v>
      </c>
      <c r="B20" s="8" t="s">
        <v>38</v>
      </c>
    </row>
    <row r="21" spans="1:2" ht="25.5" x14ac:dyDescent="0.2">
      <c r="A21" s="7" t="s">
        <v>39</v>
      </c>
      <c r="B21" s="8" t="s">
        <v>40</v>
      </c>
    </row>
    <row r="22" spans="1:2" ht="25.5" x14ac:dyDescent="0.2">
      <c r="A22" s="7" t="s">
        <v>41</v>
      </c>
      <c r="B22" s="8" t="s">
        <v>42</v>
      </c>
    </row>
    <row r="23" spans="1:2" ht="25.5" x14ac:dyDescent="0.2">
      <c r="A23" s="7" t="s">
        <v>43</v>
      </c>
      <c r="B23" s="8" t="s">
        <v>44</v>
      </c>
    </row>
    <row r="24" spans="1:2" ht="25.5" x14ac:dyDescent="0.2">
      <c r="A24" s="7" t="s">
        <v>45</v>
      </c>
      <c r="B24" s="8" t="s">
        <v>46</v>
      </c>
    </row>
    <row r="25" spans="1:2" ht="25.5" x14ac:dyDescent="0.2">
      <c r="A25" s="7" t="s">
        <v>47</v>
      </c>
      <c r="B25" s="8" t="s">
        <v>48</v>
      </c>
    </row>
    <row r="26" spans="1:2" ht="25.5" x14ac:dyDescent="0.2">
      <c r="A26" s="7" t="s">
        <v>49</v>
      </c>
      <c r="B26" s="8" t="s">
        <v>50</v>
      </c>
    </row>
    <row r="27" spans="1:2" ht="25.5" x14ac:dyDescent="0.2">
      <c r="A27" s="7" t="s">
        <v>51</v>
      </c>
      <c r="B27" s="8" t="s">
        <v>52</v>
      </c>
    </row>
    <row r="28" spans="1:2" x14ac:dyDescent="0.2">
      <c r="A28" s="9"/>
      <c r="B28" s="9"/>
    </row>
    <row r="29" spans="1:2" ht="23.25" x14ac:dyDescent="0.35">
      <c r="A29" s="4" t="s">
        <v>53</v>
      </c>
      <c r="B29" s="4"/>
    </row>
    <row r="30" spans="1:2" x14ac:dyDescent="0.2">
      <c r="A30" s="6" t="s">
        <v>1</v>
      </c>
      <c r="B30" s="6" t="s">
        <v>2</v>
      </c>
    </row>
    <row r="31" spans="1:2" ht="25.5" x14ac:dyDescent="0.2">
      <c r="A31" s="7" t="s">
        <v>54</v>
      </c>
      <c r="B31" s="8" t="s">
        <v>55</v>
      </c>
    </row>
    <row r="32" spans="1:2" ht="25.5" x14ac:dyDescent="0.2">
      <c r="A32" s="7" t="s">
        <v>56</v>
      </c>
      <c r="B32" s="8" t="s">
        <v>57</v>
      </c>
    </row>
    <row r="33" spans="1:2" ht="25.5" x14ac:dyDescent="0.2">
      <c r="A33" s="7" t="s">
        <v>58</v>
      </c>
      <c r="B33" s="8" t="s">
        <v>59</v>
      </c>
    </row>
    <row r="34" spans="1:2" ht="25.5" x14ac:dyDescent="0.2">
      <c r="A34" s="7" t="s">
        <v>60</v>
      </c>
      <c r="B34" s="8" t="s">
        <v>61</v>
      </c>
    </row>
    <row r="35" spans="1:2" ht="25.5" x14ac:dyDescent="0.2">
      <c r="A35" s="7" t="s">
        <v>62</v>
      </c>
      <c r="B35" s="8" t="s">
        <v>63</v>
      </c>
    </row>
    <row r="36" spans="1:2" ht="25.5" x14ac:dyDescent="0.2">
      <c r="A36" s="7" t="s">
        <v>64</v>
      </c>
      <c r="B36" s="8" t="s">
        <v>65</v>
      </c>
    </row>
    <row r="37" spans="1:2" ht="25.5" x14ac:dyDescent="0.2">
      <c r="A37" s="7" t="s">
        <v>66</v>
      </c>
      <c r="B37" s="8" t="s">
        <v>67</v>
      </c>
    </row>
    <row r="38" spans="1:2" ht="25.5" x14ac:dyDescent="0.2">
      <c r="A38" s="7" t="s">
        <v>68</v>
      </c>
      <c r="B38" s="8" t="s">
        <v>69</v>
      </c>
    </row>
    <row r="39" spans="1:2" ht="25.5" x14ac:dyDescent="0.2">
      <c r="A39" s="7" t="s">
        <v>70</v>
      </c>
      <c r="B39" s="8" t="s">
        <v>71</v>
      </c>
    </row>
    <row r="40" spans="1:2" ht="25.5" x14ac:dyDescent="0.2">
      <c r="A40" s="7" t="s">
        <v>72</v>
      </c>
      <c r="B40" s="8" t="s">
        <v>73</v>
      </c>
    </row>
    <row r="41" spans="1:2" ht="25.5" x14ac:dyDescent="0.2">
      <c r="A41" s="7" t="s">
        <v>74</v>
      </c>
      <c r="B41" s="8" t="s">
        <v>75</v>
      </c>
    </row>
    <row r="42" spans="1:2" ht="25.5" x14ac:dyDescent="0.2">
      <c r="A42" s="7" t="s">
        <v>76</v>
      </c>
      <c r="B42" s="8" t="s">
        <v>77</v>
      </c>
    </row>
    <row r="43" spans="1:2" ht="25.5" x14ac:dyDescent="0.2">
      <c r="A43" s="7" t="s">
        <v>78</v>
      </c>
      <c r="B43" s="8" t="s">
        <v>34</v>
      </c>
    </row>
    <row r="44" spans="1:2" ht="25.5" x14ac:dyDescent="0.2">
      <c r="A44" s="7" t="s">
        <v>79</v>
      </c>
      <c r="B44" s="8" t="s">
        <v>80</v>
      </c>
    </row>
    <row r="45" spans="1:2" ht="25.5" x14ac:dyDescent="0.2">
      <c r="A45" s="7" t="s">
        <v>81</v>
      </c>
      <c r="B45" s="8" t="s">
        <v>82</v>
      </c>
    </row>
    <row r="46" spans="1:2" ht="25.5" x14ac:dyDescent="0.2">
      <c r="A46" s="7" t="s">
        <v>83</v>
      </c>
      <c r="B46" s="8" t="s">
        <v>84</v>
      </c>
    </row>
    <row r="47" spans="1:2" ht="25.5" x14ac:dyDescent="0.2">
      <c r="A47" s="7" t="s">
        <v>85</v>
      </c>
      <c r="B47" s="8" t="s">
        <v>86</v>
      </c>
    </row>
    <row r="48" spans="1:2" ht="25.5" x14ac:dyDescent="0.2">
      <c r="A48" s="7" t="s">
        <v>87</v>
      </c>
      <c r="B48" s="8" t="s">
        <v>88</v>
      </c>
    </row>
    <row r="49" spans="1:2" ht="25.5" x14ac:dyDescent="0.2">
      <c r="A49" s="7" t="s">
        <v>89</v>
      </c>
      <c r="B49" s="8" t="s">
        <v>90</v>
      </c>
    </row>
    <row r="50" spans="1:2" ht="25.5" x14ac:dyDescent="0.2">
      <c r="A50" s="7" t="s">
        <v>91</v>
      </c>
      <c r="B50" s="8" t="s">
        <v>92</v>
      </c>
    </row>
    <row r="51" spans="1:2" ht="25.5" x14ac:dyDescent="0.2">
      <c r="A51" s="7" t="s">
        <v>93</v>
      </c>
      <c r="B51" s="8" t="s">
        <v>44</v>
      </c>
    </row>
    <row r="52" spans="1:2" ht="25.5" x14ac:dyDescent="0.2">
      <c r="A52" s="7" t="s">
        <v>94</v>
      </c>
      <c r="B52" s="8" t="s">
        <v>95</v>
      </c>
    </row>
    <row r="53" spans="1:2" ht="25.5" x14ac:dyDescent="0.2">
      <c r="A53" s="7" t="s">
        <v>96</v>
      </c>
      <c r="B53" s="8" t="s">
        <v>97</v>
      </c>
    </row>
    <row r="54" spans="1:2" ht="25.5" x14ac:dyDescent="0.2">
      <c r="A54" s="7" t="s">
        <v>98</v>
      </c>
      <c r="B54" s="8" t="s">
        <v>42</v>
      </c>
    </row>
    <row r="55" spans="1:2" x14ac:dyDescent="0.2">
      <c r="A55" s="9"/>
      <c r="B55" s="9"/>
    </row>
    <row r="56" spans="1:2" ht="23.25" x14ac:dyDescent="0.35">
      <c r="A56" s="4" t="s">
        <v>99</v>
      </c>
      <c r="B56" s="4"/>
    </row>
    <row r="57" spans="1:2" x14ac:dyDescent="0.2">
      <c r="A57" s="6" t="s">
        <v>1</v>
      </c>
      <c r="B57" s="6" t="s">
        <v>2</v>
      </c>
    </row>
    <row r="58" spans="1:2" ht="25.5" x14ac:dyDescent="0.2">
      <c r="A58" s="7" t="s">
        <v>100</v>
      </c>
      <c r="B58" s="8" t="s">
        <v>101</v>
      </c>
    </row>
    <row r="59" spans="1:2" ht="25.5" x14ac:dyDescent="0.2">
      <c r="A59" s="7" t="s">
        <v>102</v>
      </c>
      <c r="B59" s="8" t="s">
        <v>82</v>
      </c>
    </row>
    <row r="60" spans="1:2" ht="25.5" x14ac:dyDescent="0.2">
      <c r="A60" s="7" t="s">
        <v>103</v>
      </c>
      <c r="B60" s="8" t="s">
        <v>104</v>
      </c>
    </row>
    <row r="61" spans="1:2" ht="25.5" x14ac:dyDescent="0.2">
      <c r="A61" s="7" t="s">
        <v>105</v>
      </c>
      <c r="B61" s="8" t="s">
        <v>106</v>
      </c>
    </row>
    <row r="62" spans="1:2" ht="25.5" x14ac:dyDescent="0.2">
      <c r="A62" s="7" t="s">
        <v>107</v>
      </c>
      <c r="B62" s="8" t="s">
        <v>108</v>
      </c>
    </row>
    <row r="63" spans="1:2" ht="25.5" x14ac:dyDescent="0.2">
      <c r="A63" s="7" t="s">
        <v>109</v>
      </c>
      <c r="B63" s="8" t="s">
        <v>110</v>
      </c>
    </row>
    <row r="64" spans="1:2" ht="25.5" x14ac:dyDescent="0.2">
      <c r="A64" s="7" t="s">
        <v>111</v>
      </c>
      <c r="B64" s="8" t="s">
        <v>112</v>
      </c>
    </row>
    <row r="65" spans="1:2" ht="25.5" x14ac:dyDescent="0.2">
      <c r="A65" s="7" t="s">
        <v>113</v>
      </c>
      <c r="B65" s="8" t="s">
        <v>114</v>
      </c>
    </row>
    <row r="66" spans="1:2" ht="25.5" x14ac:dyDescent="0.2">
      <c r="A66" s="7" t="s">
        <v>115</v>
      </c>
      <c r="B66" s="8" t="s">
        <v>28</v>
      </c>
    </row>
    <row r="67" spans="1:2" ht="25.5" x14ac:dyDescent="0.2">
      <c r="A67" s="7" t="s">
        <v>116</v>
      </c>
      <c r="B67" s="8" t="s">
        <v>117</v>
      </c>
    </row>
    <row r="68" spans="1:2" ht="25.5" x14ac:dyDescent="0.2">
      <c r="A68" s="7" t="s">
        <v>118</v>
      </c>
      <c r="B68" s="8" t="s">
        <v>36</v>
      </c>
    </row>
    <row r="69" spans="1:2" ht="25.5" x14ac:dyDescent="0.2">
      <c r="A69" s="7" t="s">
        <v>119</v>
      </c>
      <c r="B69" s="8" t="s">
        <v>46</v>
      </c>
    </row>
    <row r="70" spans="1:2" ht="25.5" x14ac:dyDescent="0.2">
      <c r="A70" s="7" t="s">
        <v>120</v>
      </c>
      <c r="B70" s="8" t="s">
        <v>121</v>
      </c>
    </row>
    <row r="71" spans="1:2" ht="25.5" x14ac:dyDescent="0.2">
      <c r="A71" s="7" t="s">
        <v>122</v>
      </c>
      <c r="B71" s="8" t="s">
        <v>44</v>
      </c>
    </row>
    <row r="72" spans="1:2" ht="25.5" x14ac:dyDescent="0.2">
      <c r="A72" s="7" t="s">
        <v>123</v>
      </c>
      <c r="B72" s="8" t="s">
        <v>124</v>
      </c>
    </row>
    <row r="73" spans="1:2" ht="25.5" x14ac:dyDescent="0.2">
      <c r="A73" s="7" t="s">
        <v>125</v>
      </c>
      <c r="B73" s="8" t="s">
        <v>126</v>
      </c>
    </row>
    <row r="74" spans="1:2" ht="25.5" x14ac:dyDescent="0.2">
      <c r="A74" s="7" t="s">
        <v>127</v>
      </c>
      <c r="B74" s="8" t="s">
        <v>128</v>
      </c>
    </row>
    <row r="75" spans="1:2" ht="25.5" x14ac:dyDescent="0.2">
      <c r="A75" s="7" t="s">
        <v>129</v>
      </c>
      <c r="B75" s="8" t="s">
        <v>130</v>
      </c>
    </row>
    <row r="76" spans="1:2" ht="25.5" x14ac:dyDescent="0.2">
      <c r="A76" s="7" t="s">
        <v>131</v>
      </c>
      <c r="B76" s="8" t="s">
        <v>30</v>
      </c>
    </row>
    <row r="77" spans="1:2" ht="25.5" x14ac:dyDescent="0.2">
      <c r="A77" s="7" t="s">
        <v>132</v>
      </c>
      <c r="B77" s="8" t="s">
        <v>6</v>
      </c>
    </row>
    <row r="78" spans="1:2" ht="25.5" x14ac:dyDescent="0.2">
      <c r="A78" s="7" t="s">
        <v>133</v>
      </c>
      <c r="B78" s="8" t="s">
        <v>134</v>
      </c>
    </row>
    <row r="79" spans="1:2" ht="25.5" x14ac:dyDescent="0.2">
      <c r="A79" s="7" t="s">
        <v>135</v>
      </c>
      <c r="B79" s="8" t="s">
        <v>136</v>
      </c>
    </row>
    <row r="80" spans="1:2" ht="25.5" x14ac:dyDescent="0.2">
      <c r="A80" s="7" t="s">
        <v>137</v>
      </c>
      <c r="B80" s="8" t="s">
        <v>138</v>
      </c>
    </row>
  </sheetData>
  <mergeCells count="3">
    <mergeCell ref="A1:B1"/>
    <mergeCell ref="A29:B29"/>
    <mergeCell ref="A56:B56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5D85D-C909-418B-B8BE-C681650F0714}">
  <sheetPr>
    <tabColor rgb="FFFF0000"/>
  </sheetPr>
  <dimension ref="A1:E9"/>
  <sheetViews>
    <sheetView workbookViewId="0">
      <selection activeCell="K27" sqref="K27"/>
    </sheetView>
  </sheetViews>
  <sheetFormatPr defaultRowHeight="12.75" x14ac:dyDescent="0.2"/>
  <cols>
    <col min="1" max="1" width="25" bestFit="1" customWidth="1"/>
    <col min="2" max="2" width="21.140625" bestFit="1" customWidth="1"/>
    <col min="3" max="3" width="32.7109375" bestFit="1" customWidth="1"/>
    <col min="4" max="4" width="33.42578125" bestFit="1" customWidth="1"/>
    <col min="5" max="5" width="35.42578125" bestFit="1" customWidth="1"/>
    <col min="6" max="6" width="21.140625" bestFit="1" customWidth="1"/>
    <col min="7" max="7" width="32.7109375" bestFit="1" customWidth="1"/>
    <col min="8" max="8" width="21.140625" bestFit="1" customWidth="1"/>
    <col min="9" max="9" width="32.7109375" bestFit="1" customWidth="1"/>
    <col min="10" max="10" width="21.140625" bestFit="1" customWidth="1"/>
    <col min="11" max="11" width="32.7109375" bestFit="1" customWidth="1"/>
    <col min="12" max="12" width="21.140625" bestFit="1" customWidth="1"/>
    <col min="13" max="13" width="32.7109375" bestFit="1" customWidth="1"/>
    <col min="14" max="14" width="21.140625" bestFit="1" customWidth="1"/>
    <col min="15" max="15" width="32.7109375" bestFit="1" customWidth="1"/>
    <col min="16" max="16" width="21.140625" bestFit="1" customWidth="1"/>
    <col min="17" max="17" width="32.7109375" bestFit="1" customWidth="1"/>
    <col min="18" max="18" width="21.140625" bestFit="1" customWidth="1"/>
    <col min="19" max="19" width="32.7109375" bestFit="1" customWidth="1"/>
    <col min="20" max="20" width="21.140625" bestFit="1" customWidth="1"/>
    <col min="21" max="21" width="32.7109375" bestFit="1" customWidth="1"/>
    <col min="22" max="22" width="21.140625" bestFit="1" customWidth="1"/>
    <col min="23" max="23" width="32.7109375" bestFit="1" customWidth="1"/>
    <col min="24" max="24" width="21.140625" bestFit="1" customWidth="1"/>
    <col min="25" max="25" width="32.7109375" bestFit="1" customWidth="1"/>
    <col min="26" max="26" width="26.5703125" bestFit="1" customWidth="1"/>
    <col min="27" max="27" width="38.140625" bestFit="1" customWidth="1"/>
    <col min="28" max="28" width="21.140625" bestFit="1" customWidth="1"/>
    <col min="29" max="29" width="32.7109375" bestFit="1" customWidth="1"/>
    <col min="30" max="30" width="21.140625" bestFit="1" customWidth="1"/>
    <col min="31" max="31" width="32.7109375" bestFit="1" customWidth="1"/>
    <col min="32" max="32" width="21.140625" bestFit="1" customWidth="1"/>
    <col min="33" max="33" width="32.7109375" bestFit="1" customWidth="1"/>
    <col min="34" max="34" width="21.140625" bestFit="1" customWidth="1"/>
    <col min="35" max="35" width="32.7109375" bestFit="1" customWidth="1"/>
    <col min="36" max="36" width="21.140625" bestFit="1" customWidth="1"/>
    <col min="37" max="37" width="32.7109375" bestFit="1" customWidth="1"/>
    <col min="38" max="38" width="21.140625" bestFit="1" customWidth="1"/>
    <col min="39" max="39" width="32.7109375" bestFit="1" customWidth="1"/>
    <col min="40" max="40" width="21.140625" bestFit="1" customWidth="1"/>
    <col min="41" max="41" width="32.7109375" bestFit="1" customWidth="1"/>
    <col min="42" max="42" width="21.140625" bestFit="1" customWidth="1"/>
    <col min="43" max="43" width="32.7109375" bestFit="1" customWidth="1"/>
    <col min="44" max="44" width="21.140625" bestFit="1" customWidth="1"/>
    <col min="45" max="45" width="32.7109375" bestFit="1" customWidth="1"/>
    <col min="46" max="46" width="21.140625" bestFit="1" customWidth="1"/>
    <col min="47" max="47" width="32.7109375" bestFit="1" customWidth="1"/>
    <col min="48" max="48" width="21.140625" bestFit="1" customWidth="1"/>
    <col min="49" max="49" width="32.7109375" bestFit="1" customWidth="1"/>
    <col min="50" max="50" width="21.140625" bestFit="1" customWidth="1"/>
    <col min="51" max="51" width="32.7109375" bestFit="1" customWidth="1"/>
    <col min="52" max="52" width="21.140625" bestFit="1" customWidth="1"/>
    <col min="53" max="53" width="32.7109375" bestFit="1" customWidth="1"/>
    <col min="54" max="54" width="21.140625" bestFit="1" customWidth="1"/>
    <col min="55" max="55" width="32.7109375" bestFit="1" customWidth="1"/>
    <col min="56" max="56" width="21.140625" bestFit="1" customWidth="1"/>
    <col min="57" max="57" width="32.7109375" bestFit="1" customWidth="1"/>
    <col min="58" max="58" width="21.140625" bestFit="1" customWidth="1"/>
    <col min="59" max="59" width="32.7109375" bestFit="1" customWidth="1"/>
    <col min="60" max="60" width="26.5703125" bestFit="1" customWidth="1"/>
    <col min="61" max="61" width="38.140625" bestFit="1" customWidth="1"/>
    <col min="62" max="62" width="21.140625" bestFit="1" customWidth="1"/>
    <col min="63" max="63" width="32.7109375" bestFit="1" customWidth="1"/>
    <col min="64" max="64" width="21.140625" bestFit="1" customWidth="1"/>
    <col min="65" max="65" width="32.7109375" bestFit="1" customWidth="1"/>
    <col min="66" max="66" width="21.140625" bestFit="1" customWidth="1"/>
    <col min="67" max="67" width="32.7109375" bestFit="1" customWidth="1"/>
    <col min="68" max="68" width="21.140625" bestFit="1" customWidth="1"/>
    <col min="69" max="69" width="32.7109375" bestFit="1" customWidth="1"/>
    <col min="70" max="70" width="21.140625" bestFit="1" customWidth="1"/>
    <col min="71" max="71" width="32.7109375" bestFit="1" customWidth="1"/>
    <col min="72" max="72" width="21.140625" bestFit="1" customWidth="1"/>
    <col min="73" max="73" width="32.7109375" bestFit="1" customWidth="1"/>
    <col min="74" max="74" width="21.140625" bestFit="1" customWidth="1"/>
    <col min="75" max="75" width="32.7109375" bestFit="1" customWidth="1"/>
    <col min="76" max="76" width="21.140625" bestFit="1" customWidth="1"/>
    <col min="77" max="77" width="32.7109375" bestFit="1" customWidth="1"/>
    <col min="78" max="78" width="21.140625" bestFit="1" customWidth="1"/>
    <col min="79" max="79" width="32.7109375" bestFit="1" customWidth="1"/>
    <col min="80" max="80" width="21.140625" bestFit="1" customWidth="1"/>
    <col min="81" max="81" width="32.7109375" bestFit="1" customWidth="1"/>
    <col min="82" max="82" width="21.140625" bestFit="1" customWidth="1"/>
    <col min="83" max="83" width="32.7109375" bestFit="1" customWidth="1"/>
    <col min="84" max="84" width="21.140625" bestFit="1" customWidth="1"/>
    <col min="85" max="85" width="32.7109375" bestFit="1" customWidth="1"/>
    <col min="86" max="86" width="21.140625" bestFit="1" customWidth="1"/>
    <col min="87" max="87" width="32.7109375" bestFit="1" customWidth="1"/>
    <col min="88" max="88" width="21.140625" bestFit="1" customWidth="1"/>
    <col min="89" max="89" width="32.7109375" bestFit="1" customWidth="1"/>
    <col min="90" max="90" width="21.140625" bestFit="1" customWidth="1"/>
    <col min="91" max="91" width="32.7109375" bestFit="1" customWidth="1"/>
    <col min="92" max="92" width="21.140625" bestFit="1" customWidth="1"/>
    <col min="93" max="93" width="32.7109375" bestFit="1" customWidth="1"/>
    <col min="94" max="94" width="21.140625" bestFit="1" customWidth="1"/>
    <col min="95" max="95" width="32.7109375" bestFit="1" customWidth="1"/>
    <col min="96" max="96" width="21.140625" bestFit="1" customWidth="1"/>
    <col min="97" max="97" width="32.7109375" bestFit="1" customWidth="1"/>
    <col min="98" max="98" width="21.140625" bestFit="1" customWidth="1"/>
    <col min="99" max="99" width="32.7109375" bestFit="1" customWidth="1"/>
    <col min="100" max="100" width="21.140625" bestFit="1" customWidth="1"/>
    <col min="101" max="101" width="32.7109375" bestFit="1" customWidth="1"/>
    <col min="102" max="102" width="21.140625" bestFit="1" customWidth="1"/>
    <col min="103" max="103" width="32.7109375" bestFit="1" customWidth="1"/>
    <col min="104" max="104" width="21.140625" bestFit="1" customWidth="1"/>
    <col min="105" max="105" width="32.7109375" bestFit="1" customWidth="1"/>
    <col min="106" max="106" width="21.140625" bestFit="1" customWidth="1"/>
    <col min="107" max="107" width="32.7109375" bestFit="1" customWidth="1"/>
    <col min="108" max="108" width="21.140625" bestFit="1" customWidth="1"/>
    <col min="109" max="109" width="32.7109375" bestFit="1" customWidth="1"/>
    <col min="110" max="110" width="21.140625" bestFit="1" customWidth="1"/>
    <col min="111" max="111" width="32.7109375" bestFit="1" customWidth="1"/>
    <col min="112" max="112" width="21.140625" bestFit="1" customWidth="1"/>
    <col min="113" max="113" width="32.7109375" bestFit="1" customWidth="1"/>
    <col min="114" max="114" width="21.140625" bestFit="1" customWidth="1"/>
    <col min="115" max="115" width="32.7109375" bestFit="1" customWidth="1"/>
    <col min="116" max="116" width="21.140625" bestFit="1" customWidth="1"/>
    <col min="117" max="117" width="32.7109375" bestFit="1" customWidth="1"/>
    <col min="118" max="118" width="21.140625" bestFit="1" customWidth="1"/>
    <col min="119" max="119" width="32.7109375" bestFit="1" customWidth="1"/>
    <col min="120" max="120" width="21.140625" bestFit="1" customWidth="1"/>
    <col min="121" max="121" width="32.7109375" bestFit="1" customWidth="1"/>
    <col min="122" max="122" width="21.140625" bestFit="1" customWidth="1"/>
    <col min="123" max="123" width="32.7109375" bestFit="1" customWidth="1"/>
    <col min="124" max="124" width="21.140625" bestFit="1" customWidth="1"/>
    <col min="125" max="125" width="32.7109375" bestFit="1" customWidth="1"/>
    <col min="126" max="126" width="26.5703125" bestFit="1" customWidth="1"/>
    <col min="127" max="127" width="38.140625" bestFit="1" customWidth="1"/>
  </cols>
  <sheetData>
    <row r="1" spans="1:5" ht="13.5" thickBot="1" x14ac:dyDescent="0.25">
      <c r="A1" s="69" t="s">
        <v>367</v>
      </c>
      <c r="B1" s="70"/>
      <c r="C1" s="70"/>
      <c r="D1" s="70"/>
      <c r="E1" s="71"/>
    </row>
    <row r="2" spans="1:5" x14ac:dyDescent="0.2">
      <c r="A2" s="32" t="s">
        <v>351</v>
      </c>
      <c r="B2" t="s" vm="1">
        <v>366</v>
      </c>
    </row>
    <row r="3" spans="1:5" x14ac:dyDescent="0.2">
      <c r="A3" s="32" t="s">
        <v>363</v>
      </c>
      <c r="B3" t="s" vm="2">
        <v>366</v>
      </c>
    </row>
    <row r="5" spans="1:5" x14ac:dyDescent="0.2">
      <c r="A5" s="32" t="s">
        <v>324</v>
      </c>
      <c r="B5" t="s">
        <v>329</v>
      </c>
      <c r="C5" t="s">
        <v>350</v>
      </c>
      <c r="D5" t="s">
        <v>365</v>
      </c>
      <c r="E5" t="s">
        <v>364</v>
      </c>
    </row>
    <row r="6" spans="1:5" x14ac:dyDescent="0.2">
      <c r="A6" s="33" t="s">
        <v>327</v>
      </c>
      <c r="B6" s="31">
        <v>23</v>
      </c>
      <c r="C6" s="31">
        <v>23</v>
      </c>
      <c r="D6" s="31">
        <v>23</v>
      </c>
      <c r="E6" s="31">
        <v>23</v>
      </c>
    </row>
    <row r="7" spans="1:5" x14ac:dyDescent="0.2">
      <c r="A7" s="33" t="s">
        <v>325</v>
      </c>
      <c r="B7" s="31">
        <v>25</v>
      </c>
      <c r="C7" s="31">
        <v>25</v>
      </c>
      <c r="D7" s="31">
        <v>25</v>
      </c>
      <c r="E7" s="31">
        <v>25</v>
      </c>
    </row>
    <row r="8" spans="1:5" x14ac:dyDescent="0.2">
      <c r="A8" s="33" t="s">
        <v>326</v>
      </c>
      <c r="B8" s="31">
        <v>24</v>
      </c>
      <c r="C8" s="31">
        <v>24</v>
      </c>
      <c r="D8" s="31">
        <v>24</v>
      </c>
      <c r="E8" s="31">
        <v>24</v>
      </c>
    </row>
    <row r="9" spans="1:5" x14ac:dyDescent="0.2">
      <c r="A9" s="33" t="s">
        <v>320</v>
      </c>
      <c r="B9" s="31">
        <v>72</v>
      </c>
      <c r="C9" s="31">
        <v>72</v>
      </c>
      <c r="D9" s="31">
        <v>72</v>
      </c>
      <c r="E9" s="31">
        <v>72</v>
      </c>
    </row>
  </sheetData>
  <mergeCells count="1">
    <mergeCell ref="A1:E1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8"/>
  <sheetViews>
    <sheetView zoomScaleNormal="100" workbookViewId="0">
      <selection activeCell="A2" sqref="A1:E1048576"/>
    </sheetView>
  </sheetViews>
  <sheetFormatPr defaultColWidth="11.5703125" defaultRowHeight="12.75" x14ac:dyDescent="0.2"/>
  <sheetData>
    <row r="1" spans="1:5" ht="40.35" customHeight="1" x14ac:dyDescent="0.3">
      <c r="A1" s="3" t="s">
        <v>0</v>
      </c>
      <c r="B1" s="3"/>
      <c r="C1" s="3"/>
      <c r="D1" s="3"/>
      <c r="E1" s="3"/>
    </row>
    <row r="2" spans="1:5" ht="25.5" x14ac:dyDescent="0.2">
      <c r="A2" s="6" t="s">
        <v>139</v>
      </c>
      <c r="B2" s="6" t="s">
        <v>1</v>
      </c>
      <c r="C2" s="6" t="s">
        <v>140</v>
      </c>
      <c r="D2" s="6" t="s">
        <v>141</v>
      </c>
      <c r="E2" s="6" t="s">
        <v>142</v>
      </c>
    </row>
    <row r="3" spans="1:5" ht="38.25" x14ac:dyDescent="0.2">
      <c r="A3" s="7" t="s">
        <v>143</v>
      </c>
      <c r="B3" s="7" t="s">
        <v>3</v>
      </c>
      <c r="C3" s="8" t="s">
        <v>144</v>
      </c>
      <c r="D3" s="8" t="s">
        <v>145</v>
      </c>
      <c r="E3" s="7">
        <v>2</v>
      </c>
    </row>
    <row r="4" spans="1:5" ht="38.25" x14ac:dyDescent="0.2">
      <c r="A4" s="7" t="s">
        <v>146</v>
      </c>
      <c r="B4" s="7" t="s">
        <v>5</v>
      </c>
      <c r="C4" s="8" t="s">
        <v>147</v>
      </c>
      <c r="D4" s="8" t="s">
        <v>148</v>
      </c>
      <c r="E4" s="7">
        <v>3</v>
      </c>
    </row>
    <row r="5" spans="1:5" ht="25.5" x14ac:dyDescent="0.2">
      <c r="A5" s="7" t="s">
        <v>149</v>
      </c>
      <c r="B5" s="7" t="s">
        <v>7</v>
      </c>
      <c r="C5" s="8" t="s">
        <v>150</v>
      </c>
      <c r="D5" s="8" t="s">
        <v>151</v>
      </c>
      <c r="E5" s="7">
        <v>4</v>
      </c>
    </row>
    <row r="6" spans="1:5" ht="25.5" x14ac:dyDescent="0.2">
      <c r="A6" s="7" t="s">
        <v>152</v>
      </c>
      <c r="B6" s="7" t="s">
        <v>9</v>
      </c>
      <c r="C6" s="8" t="s">
        <v>153</v>
      </c>
      <c r="D6" s="8" t="s">
        <v>154</v>
      </c>
      <c r="E6" s="7">
        <v>2</v>
      </c>
    </row>
    <row r="7" spans="1:5" ht="25.5" x14ac:dyDescent="0.2">
      <c r="A7" s="7" t="s">
        <v>155</v>
      </c>
      <c r="B7" s="7" t="s">
        <v>11</v>
      </c>
      <c r="C7" s="8" t="s">
        <v>156</v>
      </c>
      <c r="D7" s="8" t="s">
        <v>157</v>
      </c>
      <c r="E7" s="7">
        <v>3</v>
      </c>
    </row>
    <row r="8" spans="1:5" ht="25.5" x14ac:dyDescent="0.2">
      <c r="A8" s="7" t="s">
        <v>158</v>
      </c>
      <c r="B8" s="7" t="s">
        <v>13</v>
      </c>
      <c r="C8" s="8" t="s">
        <v>159</v>
      </c>
      <c r="D8" s="8" t="s">
        <v>160</v>
      </c>
      <c r="E8" s="7">
        <v>3</v>
      </c>
    </row>
    <row r="9" spans="1:5" ht="25.5" x14ac:dyDescent="0.2">
      <c r="A9" s="7" t="s">
        <v>161</v>
      </c>
      <c r="B9" s="7" t="s">
        <v>15</v>
      </c>
      <c r="C9" s="8" t="s">
        <v>162</v>
      </c>
      <c r="D9" s="8" t="s">
        <v>163</v>
      </c>
      <c r="E9" s="7">
        <v>4</v>
      </c>
    </row>
    <row r="10" spans="1:5" ht="25.5" x14ac:dyDescent="0.2">
      <c r="A10" s="7" t="s">
        <v>164</v>
      </c>
      <c r="B10" s="7" t="s">
        <v>17</v>
      </c>
      <c r="C10" s="8" t="s">
        <v>165</v>
      </c>
      <c r="D10" s="8" t="s">
        <v>166</v>
      </c>
      <c r="E10" s="7">
        <v>2</v>
      </c>
    </row>
    <row r="11" spans="1:5" ht="25.5" x14ac:dyDescent="0.2">
      <c r="A11" s="7" t="s">
        <v>167</v>
      </c>
      <c r="B11" s="7" t="s">
        <v>19</v>
      </c>
      <c r="C11" s="8" t="s">
        <v>168</v>
      </c>
      <c r="D11" s="8" t="s">
        <v>169</v>
      </c>
      <c r="E11" s="7">
        <v>4</v>
      </c>
    </row>
    <row r="12" spans="1:5" ht="25.5" x14ac:dyDescent="0.2">
      <c r="A12" s="7" t="s">
        <v>170</v>
      </c>
      <c r="B12" s="7" t="s">
        <v>21</v>
      </c>
      <c r="C12" s="8" t="s">
        <v>171</v>
      </c>
      <c r="D12" s="8" t="s">
        <v>172</v>
      </c>
      <c r="E12" s="7">
        <v>3</v>
      </c>
    </row>
    <row r="13" spans="1:5" ht="25.5" x14ac:dyDescent="0.2">
      <c r="A13" s="7" t="s">
        <v>173</v>
      </c>
      <c r="B13" s="7" t="s">
        <v>23</v>
      </c>
      <c r="C13" s="8" t="s">
        <v>174</v>
      </c>
      <c r="D13" s="8" t="s">
        <v>175</v>
      </c>
      <c r="E13" s="7">
        <v>2</v>
      </c>
    </row>
    <row r="14" spans="1:5" ht="25.5" x14ac:dyDescent="0.2">
      <c r="A14" s="7" t="s">
        <v>176</v>
      </c>
      <c r="B14" s="7" t="s">
        <v>25</v>
      </c>
      <c r="C14" s="8" t="s">
        <v>177</v>
      </c>
      <c r="D14" s="8" t="s">
        <v>178</v>
      </c>
      <c r="E14" s="7">
        <v>3</v>
      </c>
    </row>
    <row r="15" spans="1:5" ht="25.5" x14ac:dyDescent="0.2">
      <c r="A15" s="7" t="s">
        <v>179</v>
      </c>
      <c r="B15" s="7" t="s">
        <v>27</v>
      </c>
      <c r="C15" s="8" t="s">
        <v>180</v>
      </c>
      <c r="D15" s="8" t="s">
        <v>181</v>
      </c>
      <c r="E15" s="7">
        <v>4</v>
      </c>
    </row>
    <row r="16" spans="1:5" ht="25.5" x14ac:dyDescent="0.2">
      <c r="A16" s="7" t="s">
        <v>182</v>
      </c>
      <c r="B16" s="7" t="s">
        <v>29</v>
      </c>
      <c r="C16" s="8" t="s">
        <v>183</v>
      </c>
      <c r="D16" s="8" t="s">
        <v>184</v>
      </c>
      <c r="E16" s="7">
        <v>2</v>
      </c>
    </row>
    <row r="17" spans="1:6" ht="25.5" x14ac:dyDescent="0.2">
      <c r="A17" s="7" t="s">
        <v>185</v>
      </c>
      <c r="B17" s="7" t="s">
        <v>31</v>
      </c>
      <c r="C17" s="8" t="s">
        <v>186</v>
      </c>
      <c r="D17" s="8" t="s">
        <v>187</v>
      </c>
      <c r="E17" s="7">
        <v>3</v>
      </c>
    </row>
    <row r="18" spans="1:6" ht="25.5" x14ac:dyDescent="0.2">
      <c r="A18" s="7" t="s">
        <v>188</v>
      </c>
      <c r="B18" s="7" t="s">
        <v>33</v>
      </c>
      <c r="C18" s="8" t="s">
        <v>189</v>
      </c>
      <c r="D18" s="8" t="s">
        <v>190</v>
      </c>
      <c r="E18" s="7">
        <v>4</v>
      </c>
    </row>
    <row r="19" spans="1:6" ht="25.5" x14ac:dyDescent="0.2">
      <c r="A19" s="7" t="s">
        <v>191</v>
      </c>
      <c r="B19" s="7" t="s">
        <v>35</v>
      </c>
      <c r="C19" s="8" t="s">
        <v>192</v>
      </c>
      <c r="D19" s="8" t="s">
        <v>193</v>
      </c>
      <c r="E19" s="7">
        <v>2</v>
      </c>
    </row>
    <row r="20" spans="1:6" ht="25.5" x14ac:dyDescent="0.2">
      <c r="A20" s="7" t="s">
        <v>194</v>
      </c>
      <c r="B20" s="7" t="s">
        <v>37</v>
      </c>
      <c r="C20" s="8" t="s">
        <v>195</v>
      </c>
      <c r="D20" s="8" t="s">
        <v>196</v>
      </c>
      <c r="E20" s="7">
        <v>3</v>
      </c>
    </row>
    <row r="21" spans="1:6" ht="25.5" x14ac:dyDescent="0.2">
      <c r="A21" s="7" t="s">
        <v>197</v>
      </c>
      <c r="B21" s="7" t="s">
        <v>39</v>
      </c>
      <c r="C21" s="8" t="s">
        <v>198</v>
      </c>
      <c r="D21" s="8" t="s">
        <v>199</v>
      </c>
      <c r="E21" s="7">
        <v>4</v>
      </c>
    </row>
    <row r="22" spans="1:6" ht="25.5" x14ac:dyDescent="0.2">
      <c r="A22" s="7" t="s">
        <v>200</v>
      </c>
      <c r="B22" s="7" t="s">
        <v>41</v>
      </c>
      <c r="C22" s="8" t="s">
        <v>201</v>
      </c>
      <c r="D22" s="8" t="s">
        <v>202</v>
      </c>
      <c r="E22" s="7">
        <v>2</v>
      </c>
    </row>
    <row r="23" spans="1:6" x14ac:dyDescent="0.2">
      <c r="A23" s="9"/>
      <c r="B23" s="9"/>
      <c r="C23" s="9"/>
      <c r="D23" s="9"/>
      <c r="E23" s="9"/>
      <c r="F23" s="9"/>
    </row>
    <row r="24" spans="1:6" ht="23.25" x14ac:dyDescent="0.35">
      <c r="A24" s="2" t="s">
        <v>53</v>
      </c>
      <c r="B24" s="2"/>
      <c r="C24" s="2"/>
      <c r="D24" s="2"/>
      <c r="E24" s="2"/>
    </row>
    <row r="25" spans="1:6" ht="25.5" x14ac:dyDescent="0.2">
      <c r="A25" s="6" t="s">
        <v>139</v>
      </c>
      <c r="B25" s="6" t="s">
        <v>1</v>
      </c>
      <c r="C25" s="6" t="s">
        <v>140</v>
      </c>
      <c r="D25" s="6" t="s">
        <v>141</v>
      </c>
      <c r="E25" s="6" t="s">
        <v>142</v>
      </c>
    </row>
    <row r="26" spans="1:6" ht="25.5" x14ac:dyDescent="0.2">
      <c r="A26" s="7" t="s">
        <v>203</v>
      </c>
      <c r="B26" s="7" t="s">
        <v>54</v>
      </c>
      <c r="C26" s="8" t="s">
        <v>144</v>
      </c>
      <c r="D26" s="8" t="s">
        <v>145</v>
      </c>
      <c r="E26" s="7">
        <v>3</v>
      </c>
    </row>
    <row r="27" spans="1:6" ht="25.5" x14ac:dyDescent="0.2">
      <c r="A27" s="7" t="s">
        <v>204</v>
      </c>
      <c r="B27" s="7" t="s">
        <v>56</v>
      </c>
      <c r="C27" s="8" t="s">
        <v>147</v>
      </c>
      <c r="D27" s="8" t="s">
        <v>148</v>
      </c>
      <c r="E27" s="7">
        <v>4</v>
      </c>
    </row>
    <row r="28" spans="1:6" ht="25.5" x14ac:dyDescent="0.2">
      <c r="A28" s="7" t="s">
        <v>205</v>
      </c>
      <c r="B28" s="7" t="s">
        <v>58</v>
      </c>
      <c r="C28" s="8" t="s">
        <v>150</v>
      </c>
      <c r="D28" s="8" t="s">
        <v>151</v>
      </c>
      <c r="E28" s="7">
        <v>3</v>
      </c>
    </row>
    <row r="29" spans="1:6" ht="25.5" x14ac:dyDescent="0.2">
      <c r="A29" s="7" t="s">
        <v>206</v>
      </c>
      <c r="B29" s="7" t="s">
        <v>60</v>
      </c>
      <c r="C29" s="8" t="s">
        <v>153</v>
      </c>
      <c r="D29" s="8" t="s">
        <v>154</v>
      </c>
      <c r="E29" s="7">
        <v>2</v>
      </c>
    </row>
    <row r="30" spans="1:6" ht="25.5" x14ac:dyDescent="0.2">
      <c r="A30" s="7" t="s">
        <v>207</v>
      </c>
      <c r="B30" s="7" t="s">
        <v>62</v>
      </c>
      <c r="C30" s="8" t="s">
        <v>156</v>
      </c>
      <c r="D30" s="8" t="s">
        <v>157</v>
      </c>
      <c r="E30" s="7">
        <v>4</v>
      </c>
    </row>
    <row r="31" spans="1:6" ht="25.5" x14ac:dyDescent="0.2">
      <c r="A31" s="7" t="s">
        <v>208</v>
      </c>
      <c r="B31" s="7" t="s">
        <v>64</v>
      </c>
      <c r="C31" s="8" t="s">
        <v>159</v>
      </c>
      <c r="D31" s="8" t="s">
        <v>160</v>
      </c>
      <c r="E31" s="7">
        <v>3</v>
      </c>
    </row>
    <row r="32" spans="1:6" ht="25.5" x14ac:dyDescent="0.2">
      <c r="A32" s="7" t="s">
        <v>209</v>
      </c>
      <c r="B32" s="7" t="s">
        <v>66</v>
      </c>
      <c r="C32" s="8" t="s">
        <v>162</v>
      </c>
      <c r="D32" s="8" t="s">
        <v>163</v>
      </c>
      <c r="E32" s="7">
        <v>2</v>
      </c>
    </row>
    <row r="33" spans="1:5" ht="25.5" x14ac:dyDescent="0.2">
      <c r="A33" s="7" t="s">
        <v>210</v>
      </c>
      <c r="B33" s="7" t="s">
        <v>68</v>
      </c>
      <c r="C33" s="8" t="s">
        <v>165</v>
      </c>
      <c r="D33" s="8" t="s">
        <v>166</v>
      </c>
      <c r="E33" s="7">
        <v>4</v>
      </c>
    </row>
    <row r="34" spans="1:5" ht="25.5" x14ac:dyDescent="0.2">
      <c r="A34" s="7" t="s">
        <v>211</v>
      </c>
      <c r="B34" s="7" t="s">
        <v>70</v>
      </c>
      <c r="C34" s="8" t="s">
        <v>168</v>
      </c>
      <c r="D34" s="8" t="s">
        <v>169</v>
      </c>
      <c r="E34" s="7">
        <v>3</v>
      </c>
    </row>
    <row r="35" spans="1:5" ht="25.5" x14ac:dyDescent="0.2">
      <c r="A35" s="7" t="s">
        <v>212</v>
      </c>
      <c r="B35" s="7" t="s">
        <v>72</v>
      </c>
      <c r="C35" s="8" t="s">
        <v>171</v>
      </c>
      <c r="D35" s="8" t="s">
        <v>172</v>
      </c>
      <c r="E35" s="7">
        <v>2</v>
      </c>
    </row>
    <row r="36" spans="1:5" ht="25.5" x14ac:dyDescent="0.2">
      <c r="A36" s="7" t="s">
        <v>213</v>
      </c>
      <c r="B36" s="7" t="s">
        <v>74</v>
      </c>
      <c r="C36" s="8" t="s">
        <v>174</v>
      </c>
      <c r="D36" s="8" t="s">
        <v>175</v>
      </c>
      <c r="E36" s="7">
        <v>4</v>
      </c>
    </row>
    <row r="37" spans="1:5" ht="25.5" x14ac:dyDescent="0.2">
      <c r="A37" s="7" t="s">
        <v>214</v>
      </c>
      <c r="B37" s="7" t="s">
        <v>76</v>
      </c>
      <c r="C37" s="8" t="s">
        <v>177</v>
      </c>
      <c r="D37" s="8" t="s">
        <v>178</v>
      </c>
      <c r="E37" s="7">
        <v>3</v>
      </c>
    </row>
    <row r="38" spans="1:5" ht="25.5" x14ac:dyDescent="0.2">
      <c r="A38" s="7" t="s">
        <v>215</v>
      </c>
      <c r="B38" s="7" t="s">
        <v>78</v>
      </c>
      <c r="C38" s="8" t="s">
        <v>180</v>
      </c>
      <c r="D38" s="8" t="s">
        <v>181</v>
      </c>
      <c r="E38" s="7">
        <v>2</v>
      </c>
    </row>
    <row r="39" spans="1:5" ht="25.5" x14ac:dyDescent="0.2">
      <c r="A39" s="7" t="s">
        <v>216</v>
      </c>
      <c r="B39" s="7" t="s">
        <v>79</v>
      </c>
      <c r="C39" s="8" t="s">
        <v>183</v>
      </c>
      <c r="D39" s="8" t="s">
        <v>184</v>
      </c>
      <c r="E39" s="7">
        <v>4</v>
      </c>
    </row>
    <row r="40" spans="1:5" ht="25.5" x14ac:dyDescent="0.2">
      <c r="A40" s="7" t="s">
        <v>217</v>
      </c>
      <c r="B40" s="7" t="s">
        <v>81</v>
      </c>
      <c r="C40" s="8" t="s">
        <v>186</v>
      </c>
      <c r="D40" s="8" t="s">
        <v>187</v>
      </c>
      <c r="E40" s="7">
        <v>3</v>
      </c>
    </row>
    <row r="41" spans="1:5" ht="25.5" x14ac:dyDescent="0.2">
      <c r="A41" s="7" t="s">
        <v>218</v>
      </c>
      <c r="B41" s="7" t="s">
        <v>83</v>
      </c>
      <c r="C41" s="8" t="s">
        <v>189</v>
      </c>
      <c r="D41" s="8" t="s">
        <v>190</v>
      </c>
      <c r="E41" s="7">
        <v>2</v>
      </c>
    </row>
    <row r="42" spans="1:5" ht="25.5" x14ac:dyDescent="0.2">
      <c r="A42" s="7" t="s">
        <v>219</v>
      </c>
      <c r="B42" s="7" t="s">
        <v>85</v>
      </c>
      <c r="C42" s="8" t="s">
        <v>192</v>
      </c>
      <c r="D42" s="8" t="s">
        <v>193</v>
      </c>
      <c r="E42" s="7">
        <v>4</v>
      </c>
    </row>
    <row r="43" spans="1:5" ht="25.5" x14ac:dyDescent="0.2">
      <c r="A43" s="7" t="s">
        <v>220</v>
      </c>
      <c r="B43" s="7" t="s">
        <v>87</v>
      </c>
      <c r="C43" s="8" t="s">
        <v>195</v>
      </c>
      <c r="D43" s="8" t="s">
        <v>196</v>
      </c>
      <c r="E43" s="7">
        <v>3</v>
      </c>
    </row>
    <row r="44" spans="1:5" ht="25.5" x14ac:dyDescent="0.2">
      <c r="A44" s="7" t="s">
        <v>221</v>
      </c>
      <c r="B44" s="7" t="s">
        <v>89</v>
      </c>
      <c r="C44" s="8" t="s">
        <v>198</v>
      </c>
      <c r="D44" s="8" t="s">
        <v>199</v>
      </c>
      <c r="E44" s="7">
        <v>2</v>
      </c>
    </row>
    <row r="45" spans="1:5" ht="25.5" x14ac:dyDescent="0.2">
      <c r="A45" s="7" t="s">
        <v>222</v>
      </c>
      <c r="B45" s="7" t="s">
        <v>91</v>
      </c>
      <c r="C45" s="8" t="s">
        <v>201</v>
      </c>
      <c r="D45" s="8" t="s">
        <v>202</v>
      </c>
      <c r="E45" s="7">
        <v>4</v>
      </c>
    </row>
    <row r="46" spans="1:5" x14ac:dyDescent="0.2">
      <c r="A46" s="9"/>
      <c r="B46" s="9"/>
      <c r="C46" s="9"/>
      <c r="D46" s="9"/>
      <c r="E46" s="9"/>
    </row>
    <row r="47" spans="1:5" ht="22.15" customHeight="1" x14ac:dyDescent="0.3">
      <c r="A47" s="1" t="s">
        <v>99</v>
      </c>
      <c r="B47" s="1"/>
      <c r="C47" s="1"/>
      <c r="D47" s="1"/>
      <c r="E47" s="1"/>
    </row>
    <row r="48" spans="1:5" ht="25.5" x14ac:dyDescent="0.2">
      <c r="A48" s="6" t="s">
        <v>139</v>
      </c>
      <c r="B48" s="6" t="s">
        <v>1</v>
      </c>
      <c r="C48" s="6" t="s">
        <v>140</v>
      </c>
      <c r="D48" s="6" t="s">
        <v>141</v>
      </c>
      <c r="E48" s="6" t="s">
        <v>142</v>
      </c>
    </row>
    <row r="49" spans="1:5" ht="25.5" x14ac:dyDescent="0.2">
      <c r="A49" s="7" t="s">
        <v>223</v>
      </c>
      <c r="B49" s="7" t="s">
        <v>100</v>
      </c>
      <c r="C49" s="8" t="s">
        <v>144</v>
      </c>
      <c r="D49" s="8" t="s">
        <v>145</v>
      </c>
      <c r="E49" s="7">
        <v>4</v>
      </c>
    </row>
    <row r="50" spans="1:5" ht="25.5" x14ac:dyDescent="0.2">
      <c r="A50" s="7" t="s">
        <v>224</v>
      </c>
      <c r="B50" s="7" t="s">
        <v>102</v>
      </c>
      <c r="C50" s="8" t="s">
        <v>147</v>
      </c>
      <c r="D50" s="8" t="s">
        <v>148</v>
      </c>
      <c r="E50" s="7">
        <v>3</v>
      </c>
    </row>
    <row r="51" spans="1:5" ht="25.5" x14ac:dyDescent="0.2">
      <c r="A51" s="7" t="s">
        <v>225</v>
      </c>
      <c r="B51" s="7" t="s">
        <v>103</v>
      </c>
      <c r="C51" s="8" t="s">
        <v>150</v>
      </c>
      <c r="D51" s="8" t="s">
        <v>151</v>
      </c>
      <c r="E51" s="7">
        <v>2</v>
      </c>
    </row>
    <row r="52" spans="1:5" ht="25.5" x14ac:dyDescent="0.2">
      <c r="A52" s="7" t="s">
        <v>226</v>
      </c>
      <c r="B52" s="7" t="s">
        <v>105</v>
      </c>
      <c r="C52" s="8" t="s">
        <v>153</v>
      </c>
      <c r="D52" s="8" t="s">
        <v>154</v>
      </c>
      <c r="E52" s="7">
        <v>3</v>
      </c>
    </row>
    <row r="53" spans="1:5" ht="25.5" x14ac:dyDescent="0.2">
      <c r="A53" s="7" t="s">
        <v>227</v>
      </c>
      <c r="B53" s="7" t="s">
        <v>107</v>
      </c>
      <c r="C53" s="8" t="s">
        <v>156</v>
      </c>
      <c r="D53" s="8" t="s">
        <v>157</v>
      </c>
      <c r="E53" s="7">
        <v>4</v>
      </c>
    </row>
    <row r="54" spans="1:5" ht="25.5" x14ac:dyDescent="0.2">
      <c r="A54" s="7" t="s">
        <v>228</v>
      </c>
      <c r="B54" s="7" t="s">
        <v>109</v>
      </c>
      <c r="C54" s="8" t="s">
        <v>159</v>
      </c>
      <c r="D54" s="8" t="s">
        <v>160</v>
      </c>
      <c r="E54" s="7">
        <v>2</v>
      </c>
    </row>
    <row r="55" spans="1:5" ht="25.5" x14ac:dyDescent="0.2">
      <c r="A55" s="7" t="s">
        <v>229</v>
      </c>
      <c r="B55" s="7" t="s">
        <v>111</v>
      </c>
      <c r="C55" s="8" t="s">
        <v>162</v>
      </c>
      <c r="D55" s="8" t="s">
        <v>163</v>
      </c>
      <c r="E55" s="7">
        <v>3</v>
      </c>
    </row>
    <row r="56" spans="1:5" ht="25.5" x14ac:dyDescent="0.2">
      <c r="A56" s="7" t="s">
        <v>230</v>
      </c>
      <c r="B56" s="7" t="s">
        <v>113</v>
      </c>
      <c r="C56" s="8" t="s">
        <v>165</v>
      </c>
      <c r="D56" s="8" t="s">
        <v>166</v>
      </c>
      <c r="E56" s="7">
        <v>4</v>
      </c>
    </row>
    <row r="57" spans="1:5" ht="25.5" x14ac:dyDescent="0.2">
      <c r="A57" s="7" t="s">
        <v>231</v>
      </c>
      <c r="B57" s="7" t="s">
        <v>115</v>
      </c>
      <c r="C57" s="8" t="s">
        <v>168</v>
      </c>
      <c r="D57" s="8" t="s">
        <v>169</v>
      </c>
      <c r="E57" s="7">
        <v>2</v>
      </c>
    </row>
    <row r="58" spans="1:5" ht="25.5" x14ac:dyDescent="0.2">
      <c r="A58" s="7" t="s">
        <v>232</v>
      </c>
      <c r="B58" s="7" t="s">
        <v>116</v>
      </c>
      <c r="C58" s="8" t="s">
        <v>171</v>
      </c>
      <c r="D58" s="8" t="s">
        <v>172</v>
      </c>
      <c r="E58" s="7">
        <v>3</v>
      </c>
    </row>
    <row r="59" spans="1:5" ht="25.5" x14ac:dyDescent="0.2">
      <c r="A59" s="7" t="s">
        <v>233</v>
      </c>
      <c r="B59" s="7" t="s">
        <v>118</v>
      </c>
      <c r="C59" s="8" t="s">
        <v>174</v>
      </c>
      <c r="D59" s="8" t="s">
        <v>175</v>
      </c>
      <c r="E59" s="7">
        <v>4</v>
      </c>
    </row>
    <row r="60" spans="1:5" ht="25.5" x14ac:dyDescent="0.2">
      <c r="A60" s="7" t="s">
        <v>234</v>
      </c>
      <c r="B60" s="7" t="s">
        <v>119</v>
      </c>
      <c r="C60" s="8" t="s">
        <v>177</v>
      </c>
      <c r="D60" s="8" t="s">
        <v>178</v>
      </c>
      <c r="E60" s="7">
        <v>2</v>
      </c>
    </row>
    <row r="61" spans="1:5" ht="25.5" x14ac:dyDescent="0.2">
      <c r="A61" s="7" t="s">
        <v>235</v>
      </c>
      <c r="B61" s="7" t="s">
        <v>120</v>
      </c>
      <c r="C61" s="8" t="s">
        <v>180</v>
      </c>
      <c r="D61" s="8" t="s">
        <v>181</v>
      </c>
      <c r="E61" s="7">
        <v>3</v>
      </c>
    </row>
    <row r="62" spans="1:5" ht="25.5" x14ac:dyDescent="0.2">
      <c r="A62" s="7" t="s">
        <v>236</v>
      </c>
      <c r="B62" s="7" t="s">
        <v>122</v>
      </c>
      <c r="C62" s="8" t="s">
        <v>183</v>
      </c>
      <c r="D62" s="8" t="s">
        <v>184</v>
      </c>
      <c r="E62" s="7">
        <v>4</v>
      </c>
    </row>
    <row r="63" spans="1:5" ht="25.5" x14ac:dyDescent="0.2">
      <c r="A63" s="7" t="s">
        <v>237</v>
      </c>
      <c r="B63" s="7" t="s">
        <v>123</v>
      </c>
      <c r="C63" s="8" t="s">
        <v>186</v>
      </c>
      <c r="D63" s="8" t="s">
        <v>187</v>
      </c>
      <c r="E63" s="7">
        <v>2</v>
      </c>
    </row>
    <row r="64" spans="1:5" ht="25.5" x14ac:dyDescent="0.2">
      <c r="A64" s="7" t="s">
        <v>238</v>
      </c>
      <c r="B64" s="7" t="s">
        <v>125</v>
      </c>
      <c r="C64" s="8" t="s">
        <v>189</v>
      </c>
      <c r="D64" s="8" t="s">
        <v>190</v>
      </c>
      <c r="E64" s="7">
        <v>3</v>
      </c>
    </row>
    <row r="65" spans="1:5" ht="25.5" x14ac:dyDescent="0.2">
      <c r="A65" s="7" t="s">
        <v>239</v>
      </c>
      <c r="B65" s="7" t="s">
        <v>127</v>
      </c>
      <c r="C65" s="8" t="s">
        <v>192</v>
      </c>
      <c r="D65" s="8" t="s">
        <v>193</v>
      </c>
      <c r="E65" s="7">
        <v>4</v>
      </c>
    </row>
    <row r="66" spans="1:5" ht="25.5" x14ac:dyDescent="0.2">
      <c r="A66" s="7" t="s">
        <v>240</v>
      </c>
      <c r="B66" s="7" t="s">
        <v>129</v>
      </c>
      <c r="C66" s="8" t="s">
        <v>195</v>
      </c>
      <c r="D66" s="8" t="s">
        <v>196</v>
      </c>
      <c r="E66" s="7">
        <v>2</v>
      </c>
    </row>
    <row r="67" spans="1:5" ht="25.5" x14ac:dyDescent="0.2">
      <c r="A67" s="7" t="s">
        <v>241</v>
      </c>
      <c r="B67" s="7" t="s">
        <v>131</v>
      </c>
      <c r="C67" s="8" t="s">
        <v>198</v>
      </c>
      <c r="D67" s="8" t="s">
        <v>199</v>
      </c>
      <c r="E67" s="7">
        <v>3</v>
      </c>
    </row>
    <row r="68" spans="1:5" ht="25.5" x14ac:dyDescent="0.2">
      <c r="A68" s="7" t="s">
        <v>242</v>
      </c>
      <c r="B68" s="7" t="s">
        <v>132</v>
      </c>
      <c r="C68" s="8" t="s">
        <v>201</v>
      </c>
      <c r="D68" s="8" t="s">
        <v>202</v>
      </c>
      <c r="E68" s="7">
        <v>4</v>
      </c>
    </row>
  </sheetData>
  <mergeCells count="3">
    <mergeCell ref="A1:E1"/>
    <mergeCell ref="A24:E24"/>
    <mergeCell ref="A47:E47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2E9BD-D798-4BA3-B678-CBFF00DA2F09}">
  <sheetPr>
    <tabColor rgb="FFFF0000"/>
  </sheetPr>
  <dimension ref="A1:F6"/>
  <sheetViews>
    <sheetView workbookViewId="0">
      <selection activeCell="E8" sqref="E8"/>
    </sheetView>
  </sheetViews>
  <sheetFormatPr defaultRowHeight="12.75" x14ac:dyDescent="0.2"/>
  <cols>
    <col min="1" max="1" width="16" bestFit="1" customWidth="1"/>
    <col min="2" max="2" width="19.140625" bestFit="1" customWidth="1"/>
    <col min="3" max="3" width="21.140625" bestFit="1" customWidth="1"/>
    <col min="4" max="4" width="29.140625" bestFit="1" customWidth="1"/>
    <col min="5" max="5" width="24.7109375" bestFit="1" customWidth="1"/>
    <col min="6" max="6" width="29.28515625" bestFit="1" customWidth="1"/>
  </cols>
  <sheetData>
    <row r="1" spans="1:6" ht="13.5" thickBot="1" x14ac:dyDescent="0.25">
      <c r="A1" s="72" t="s">
        <v>348</v>
      </c>
      <c r="B1" s="73"/>
      <c r="C1" s="73"/>
      <c r="D1" s="73"/>
      <c r="E1" s="73"/>
      <c r="F1" s="74"/>
    </row>
    <row r="2" spans="1:6" x14ac:dyDescent="0.2">
      <c r="A2" s="32" t="s">
        <v>324</v>
      </c>
      <c r="B2" t="s">
        <v>345</v>
      </c>
      <c r="C2" t="s">
        <v>329</v>
      </c>
      <c r="D2" t="s">
        <v>346</v>
      </c>
      <c r="E2" t="s">
        <v>337</v>
      </c>
      <c r="F2" t="s">
        <v>347</v>
      </c>
    </row>
    <row r="3" spans="1:6" x14ac:dyDescent="0.2">
      <c r="A3" s="33" t="s">
        <v>327</v>
      </c>
      <c r="B3" s="31">
        <v>20</v>
      </c>
      <c r="C3" s="31">
        <v>20</v>
      </c>
      <c r="D3" s="31">
        <v>20</v>
      </c>
      <c r="E3" s="31">
        <v>20</v>
      </c>
      <c r="F3" s="31">
        <v>61</v>
      </c>
    </row>
    <row r="4" spans="1:6" x14ac:dyDescent="0.2">
      <c r="A4" s="33" t="s">
        <v>325</v>
      </c>
      <c r="B4" s="31">
        <v>20</v>
      </c>
      <c r="C4" s="31">
        <v>20</v>
      </c>
      <c r="D4" s="31">
        <v>20</v>
      </c>
      <c r="E4" s="31">
        <v>20</v>
      </c>
      <c r="F4" s="31">
        <v>59</v>
      </c>
    </row>
    <row r="5" spans="1:6" x14ac:dyDescent="0.2">
      <c r="A5" s="33" t="s">
        <v>326</v>
      </c>
      <c r="B5" s="31">
        <v>20</v>
      </c>
      <c r="C5" s="31">
        <v>20</v>
      </c>
      <c r="D5" s="31">
        <v>20</v>
      </c>
      <c r="E5" s="31">
        <v>20</v>
      </c>
      <c r="F5" s="31">
        <v>61</v>
      </c>
    </row>
    <row r="6" spans="1:6" x14ac:dyDescent="0.2">
      <c r="A6" s="33" t="s">
        <v>320</v>
      </c>
      <c r="B6" s="31">
        <v>60</v>
      </c>
      <c r="C6" s="31">
        <v>60</v>
      </c>
      <c r="D6" s="31">
        <v>60</v>
      </c>
      <c r="E6" s="31">
        <v>60</v>
      </c>
      <c r="F6" s="31">
        <v>181</v>
      </c>
    </row>
  </sheetData>
  <mergeCells count="1">
    <mergeCell ref="A1:F1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3"/>
  <sheetViews>
    <sheetView topLeftCell="A71" zoomScaleNormal="100" workbookViewId="0">
      <selection sqref="A1:E83"/>
    </sheetView>
  </sheetViews>
  <sheetFormatPr defaultColWidth="11.5703125" defaultRowHeight="12.75" x14ac:dyDescent="0.2"/>
  <sheetData>
    <row r="1" spans="1:5" ht="22.15" customHeight="1" x14ac:dyDescent="0.3">
      <c r="A1" s="3" t="s">
        <v>0</v>
      </c>
      <c r="B1" s="3"/>
      <c r="C1" s="3"/>
      <c r="D1" s="3"/>
      <c r="E1" s="3"/>
    </row>
    <row r="2" spans="1:5" ht="25.5" x14ac:dyDescent="0.2">
      <c r="A2" s="6" t="s">
        <v>243</v>
      </c>
      <c r="B2" s="6" t="s">
        <v>1</v>
      </c>
      <c r="C2" s="6" t="s">
        <v>244</v>
      </c>
      <c r="D2" s="6" t="s">
        <v>245</v>
      </c>
      <c r="E2" s="6" t="s">
        <v>246</v>
      </c>
    </row>
    <row r="3" spans="1:5" ht="38.25" x14ac:dyDescent="0.2">
      <c r="A3" s="7">
        <v>1</v>
      </c>
      <c r="B3" s="7" t="s">
        <v>3</v>
      </c>
      <c r="C3" s="7">
        <v>9</v>
      </c>
      <c r="D3" s="7">
        <v>2</v>
      </c>
      <c r="E3" s="7">
        <v>0</v>
      </c>
    </row>
    <row r="4" spans="1:5" ht="38.25" x14ac:dyDescent="0.2">
      <c r="A4" s="7">
        <v>2</v>
      </c>
      <c r="B4" s="7" t="s">
        <v>5</v>
      </c>
      <c r="C4" s="7">
        <v>8</v>
      </c>
      <c r="D4" s="7">
        <v>3</v>
      </c>
      <c r="E4" s="7">
        <v>1</v>
      </c>
    </row>
    <row r="5" spans="1:5" ht="25.5" x14ac:dyDescent="0.2">
      <c r="A5" s="7">
        <v>3</v>
      </c>
      <c r="B5" s="7" t="s">
        <v>7</v>
      </c>
      <c r="C5" s="7">
        <v>10</v>
      </c>
      <c r="D5" s="7">
        <v>1</v>
      </c>
      <c r="E5" s="7">
        <v>1</v>
      </c>
    </row>
    <row r="6" spans="1:5" ht="25.5" x14ac:dyDescent="0.2">
      <c r="A6" s="7">
        <v>4</v>
      </c>
      <c r="B6" s="7" t="s">
        <v>9</v>
      </c>
      <c r="C6" s="7">
        <v>9</v>
      </c>
      <c r="D6" s="7">
        <v>4</v>
      </c>
      <c r="E6" s="7">
        <v>0</v>
      </c>
    </row>
    <row r="7" spans="1:5" ht="25.5" x14ac:dyDescent="0.2">
      <c r="A7" s="7">
        <v>5</v>
      </c>
      <c r="B7" s="7" t="s">
        <v>11</v>
      </c>
      <c r="C7" s="7">
        <v>10</v>
      </c>
      <c r="D7" s="7">
        <v>2</v>
      </c>
      <c r="E7" s="7">
        <v>0</v>
      </c>
    </row>
    <row r="8" spans="1:5" ht="25.5" x14ac:dyDescent="0.2">
      <c r="A8" s="7">
        <v>6</v>
      </c>
      <c r="B8" s="7" t="s">
        <v>13</v>
      </c>
      <c r="C8" s="7">
        <v>8</v>
      </c>
      <c r="D8" s="7">
        <v>5</v>
      </c>
      <c r="E8" s="7">
        <v>0</v>
      </c>
    </row>
    <row r="9" spans="1:5" ht="25.5" x14ac:dyDescent="0.2">
      <c r="A9" s="7">
        <v>7</v>
      </c>
      <c r="B9" s="7" t="s">
        <v>15</v>
      </c>
      <c r="C9" s="7">
        <v>9</v>
      </c>
      <c r="D9" s="7">
        <v>3</v>
      </c>
      <c r="E9" s="7">
        <v>0</v>
      </c>
    </row>
    <row r="10" spans="1:5" ht="25.5" x14ac:dyDescent="0.2">
      <c r="A10" s="7">
        <v>8</v>
      </c>
      <c r="B10" s="7" t="s">
        <v>17</v>
      </c>
      <c r="C10" s="7">
        <v>7</v>
      </c>
      <c r="D10" s="7">
        <v>3</v>
      </c>
      <c r="E10" s="7">
        <v>2</v>
      </c>
    </row>
    <row r="11" spans="1:5" ht="25.5" x14ac:dyDescent="0.2">
      <c r="A11" s="7">
        <v>9</v>
      </c>
      <c r="B11" s="7" t="s">
        <v>19</v>
      </c>
      <c r="C11" s="7">
        <v>10</v>
      </c>
      <c r="D11" s="7">
        <v>2</v>
      </c>
      <c r="E11" s="7">
        <v>1</v>
      </c>
    </row>
    <row r="12" spans="1:5" ht="25.5" x14ac:dyDescent="0.2">
      <c r="A12" s="7">
        <v>10</v>
      </c>
      <c r="B12" s="7" t="s">
        <v>21</v>
      </c>
      <c r="C12" s="7">
        <v>9</v>
      </c>
      <c r="D12" s="7">
        <v>4</v>
      </c>
      <c r="E12" s="7">
        <v>0</v>
      </c>
    </row>
    <row r="13" spans="1:5" ht="25.5" x14ac:dyDescent="0.2">
      <c r="A13" s="7">
        <v>11</v>
      </c>
      <c r="B13" s="7" t="s">
        <v>23</v>
      </c>
      <c r="C13" s="7">
        <v>8</v>
      </c>
      <c r="D13" s="7">
        <v>3</v>
      </c>
      <c r="E13" s="7">
        <v>1</v>
      </c>
    </row>
    <row r="14" spans="1:5" ht="25.5" x14ac:dyDescent="0.2">
      <c r="A14" s="7">
        <v>12</v>
      </c>
      <c r="B14" s="7" t="s">
        <v>25</v>
      </c>
      <c r="C14" s="7">
        <v>10</v>
      </c>
      <c r="D14" s="7">
        <v>1</v>
      </c>
      <c r="E14" s="7">
        <v>1</v>
      </c>
    </row>
    <row r="15" spans="1:5" ht="25.5" x14ac:dyDescent="0.2">
      <c r="A15" s="7">
        <v>13</v>
      </c>
      <c r="B15" s="7" t="s">
        <v>27</v>
      </c>
      <c r="C15" s="7">
        <v>7</v>
      </c>
      <c r="D15" s="7">
        <v>3</v>
      </c>
      <c r="E15" s="7">
        <v>2</v>
      </c>
    </row>
    <row r="16" spans="1:5" ht="25.5" x14ac:dyDescent="0.2">
      <c r="A16" s="7">
        <v>14</v>
      </c>
      <c r="B16" s="7" t="s">
        <v>29</v>
      </c>
      <c r="C16" s="7">
        <v>9</v>
      </c>
      <c r="D16" s="7">
        <v>3</v>
      </c>
      <c r="E16" s="7">
        <v>0</v>
      </c>
    </row>
    <row r="17" spans="1:5" ht="25.5" x14ac:dyDescent="0.2">
      <c r="A17" s="7">
        <v>15</v>
      </c>
      <c r="B17" s="7" t="s">
        <v>31</v>
      </c>
      <c r="C17" s="7">
        <v>10</v>
      </c>
      <c r="D17" s="7">
        <v>2</v>
      </c>
      <c r="E17" s="7">
        <v>1</v>
      </c>
    </row>
    <row r="18" spans="1:5" ht="25.5" x14ac:dyDescent="0.2">
      <c r="A18" s="7">
        <v>16</v>
      </c>
      <c r="B18" s="7" t="s">
        <v>33</v>
      </c>
      <c r="C18" s="7">
        <v>8</v>
      </c>
      <c r="D18" s="7">
        <v>4</v>
      </c>
      <c r="E18" s="7">
        <v>1</v>
      </c>
    </row>
    <row r="19" spans="1:5" ht="25.5" x14ac:dyDescent="0.2">
      <c r="A19" s="7">
        <v>17</v>
      </c>
      <c r="B19" s="7" t="s">
        <v>35</v>
      </c>
      <c r="C19" s="7">
        <v>10</v>
      </c>
      <c r="D19" s="7">
        <v>2</v>
      </c>
      <c r="E19" s="7">
        <v>0</v>
      </c>
    </row>
    <row r="20" spans="1:5" ht="25.5" x14ac:dyDescent="0.2">
      <c r="A20" s="7">
        <v>18</v>
      </c>
      <c r="B20" s="7" t="s">
        <v>37</v>
      </c>
      <c r="C20" s="7">
        <v>9</v>
      </c>
      <c r="D20" s="7">
        <v>3</v>
      </c>
      <c r="E20" s="7">
        <v>0</v>
      </c>
    </row>
    <row r="21" spans="1:5" ht="25.5" x14ac:dyDescent="0.2">
      <c r="A21" s="7">
        <v>19</v>
      </c>
      <c r="B21" s="7" t="s">
        <v>39</v>
      </c>
      <c r="C21" s="7">
        <v>8</v>
      </c>
      <c r="D21" s="7">
        <v>5</v>
      </c>
      <c r="E21" s="7">
        <v>0</v>
      </c>
    </row>
    <row r="22" spans="1:5" ht="25.5" x14ac:dyDescent="0.2">
      <c r="A22" s="7">
        <v>20</v>
      </c>
      <c r="B22" s="7" t="s">
        <v>41</v>
      </c>
      <c r="C22" s="7">
        <v>10</v>
      </c>
      <c r="D22" s="7">
        <v>1</v>
      </c>
      <c r="E22" s="7">
        <v>1</v>
      </c>
    </row>
    <row r="23" spans="1:5" ht="25.5" x14ac:dyDescent="0.2">
      <c r="A23" s="7">
        <v>21</v>
      </c>
      <c r="B23" s="7" t="s">
        <v>43</v>
      </c>
      <c r="C23" s="7">
        <v>9</v>
      </c>
      <c r="D23" s="7">
        <v>3</v>
      </c>
      <c r="E23" s="7">
        <v>1</v>
      </c>
    </row>
    <row r="24" spans="1:5" ht="25.5" x14ac:dyDescent="0.2">
      <c r="A24" s="7">
        <v>22</v>
      </c>
      <c r="B24" s="7" t="s">
        <v>45</v>
      </c>
      <c r="C24" s="7">
        <v>8</v>
      </c>
      <c r="D24" s="7">
        <v>4</v>
      </c>
      <c r="E24" s="7">
        <v>0</v>
      </c>
    </row>
    <row r="25" spans="1:5" ht="25.5" x14ac:dyDescent="0.2">
      <c r="A25" s="7">
        <v>23</v>
      </c>
      <c r="B25" s="7" t="s">
        <v>47</v>
      </c>
      <c r="C25" s="7">
        <v>10</v>
      </c>
      <c r="D25" s="7">
        <v>2</v>
      </c>
      <c r="E25" s="7">
        <v>0</v>
      </c>
    </row>
    <row r="26" spans="1:5" ht="25.5" x14ac:dyDescent="0.2">
      <c r="A26" s="7">
        <v>24</v>
      </c>
      <c r="B26" s="7" t="s">
        <v>49</v>
      </c>
      <c r="C26" s="7">
        <v>7</v>
      </c>
      <c r="D26" s="7">
        <v>4</v>
      </c>
      <c r="E26" s="7">
        <v>1</v>
      </c>
    </row>
    <row r="27" spans="1:5" ht="25.5" x14ac:dyDescent="0.2">
      <c r="A27" s="7">
        <v>25</v>
      </c>
      <c r="B27" s="7" t="s">
        <v>51</v>
      </c>
      <c r="C27" s="7">
        <v>9</v>
      </c>
      <c r="D27" s="7">
        <v>2</v>
      </c>
      <c r="E27" s="7">
        <v>2</v>
      </c>
    </row>
    <row r="28" spans="1:5" x14ac:dyDescent="0.2">
      <c r="A28" s="9"/>
      <c r="B28" s="9"/>
      <c r="C28" s="9"/>
      <c r="D28" s="9"/>
      <c r="E28" s="9"/>
    </row>
    <row r="29" spans="1:5" ht="23.25" x14ac:dyDescent="0.35">
      <c r="A29" s="2" t="s">
        <v>53</v>
      </c>
      <c r="B29" s="2"/>
      <c r="C29" s="2"/>
      <c r="D29" s="2"/>
      <c r="E29" s="2"/>
    </row>
    <row r="30" spans="1:5" ht="25.5" x14ac:dyDescent="0.2">
      <c r="A30" s="6" t="s">
        <v>243</v>
      </c>
      <c r="B30" s="6" t="s">
        <v>1</v>
      </c>
      <c r="C30" s="6" t="s">
        <v>244</v>
      </c>
      <c r="D30" s="6" t="s">
        <v>245</v>
      </c>
      <c r="E30" s="6" t="s">
        <v>246</v>
      </c>
    </row>
    <row r="31" spans="1:5" ht="25.5" x14ac:dyDescent="0.2">
      <c r="A31" s="7">
        <v>1</v>
      </c>
      <c r="B31" s="7" t="s">
        <v>54</v>
      </c>
      <c r="C31" s="7">
        <v>9</v>
      </c>
      <c r="D31" s="7">
        <v>3</v>
      </c>
      <c r="E31" s="7">
        <v>1</v>
      </c>
    </row>
    <row r="32" spans="1:5" ht="25.5" x14ac:dyDescent="0.2">
      <c r="A32" s="7">
        <v>2</v>
      </c>
      <c r="B32" s="7" t="s">
        <v>56</v>
      </c>
      <c r="C32" s="7">
        <v>8</v>
      </c>
      <c r="D32" s="7">
        <v>4</v>
      </c>
      <c r="E32" s="7">
        <v>0</v>
      </c>
    </row>
    <row r="33" spans="1:5" ht="25.5" x14ac:dyDescent="0.2">
      <c r="A33" s="7">
        <v>3</v>
      </c>
      <c r="B33" s="7" t="s">
        <v>58</v>
      </c>
      <c r="C33" s="7">
        <v>10</v>
      </c>
      <c r="D33" s="7">
        <v>2</v>
      </c>
      <c r="E33" s="7">
        <v>1</v>
      </c>
    </row>
    <row r="34" spans="1:5" ht="25.5" x14ac:dyDescent="0.2">
      <c r="A34" s="7">
        <v>4</v>
      </c>
      <c r="B34" s="7" t="s">
        <v>60</v>
      </c>
      <c r="C34" s="7">
        <v>9</v>
      </c>
      <c r="D34" s="7">
        <v>3</v>
      </c>
      <c r="E34" s="7">
        <v>0</v>
      </c>
    </row>
    <row r="35" spans="1:5" ht="25.5" x14ac:dyDescent="0.2">
      <c r="A35" s="7">
        <v>5</v>
      </c>
      <c r="B35" s="7" t="s">
        <v>62</v>
      </c>
      <c r="C35" s="7">
        <v>8</v>
      </c>
      <c r="D35" s="7">
        <v>5</v>
      </c>
      <c r="E35" s="7">
        <v>0</v>
      </c>
    </row>
    <row r="36" spans="1:5" ht="25.5" x14ac:dyDescent="0.2">
      <c r="A36" s="7">
        <v>6</v>
      </c>
      <c r="B36" s="7" t="s">
        <v>64</v>
      </c>
      <c r="C36" s="7">
        <v>10</v>
      </c>
      <c r="D36" s="7">
        <v>2</v>
      </c>
      <c r="E36" s="7">
        <v>0</v>
      </c>
    </row>
    <row r="37" spans="1:5" ht="25.5" x14ac:dyDescent="0.2">
      <c r="A37" s="7">
        <v>7</v>
      </c>
      <c r="B37" s="7" t="s">
        <v>66</v>
      </c>
      <c r="C37" s="7">
        <v>9</v>
      </c>
      <c r="D37" s="7">
        <v>3</v>
      </c>
      <c r="E37" s="7">
        <v>1</v>
      </c>
    </row>
    <row r="38" spans="1:5" ht="25.5" x14ac:dyDescent="0.2">
      <c r="A38" s="7">
        <v>8</v>
      </c>
      <c r="B38" s="7" t="s">
        <v>68</v>
      </c>
      <c r="C38" s="7">
        <v>8</v>
      </c>
      <c r="D38" s="7">
        <v>4</v>
      </c>
      <c r="E38" s="7">
        <v>0</v>
      </c>
    </row>
    <row r="39" spans="1:5" ht="25.5" x14ac:dyDescent="0.2">
      <c r="A39" s="7">
        <v>9</v>
      </c>
      <c r="B39" s="7" t="s">
        <v>70</v>
      </c>
      <c r="C39" s="7">
        <v>10</v>
      </c>
      <c r="D39" s="7">
        <v>1</v>
      </c>
      <c r="E39" s="7">
        <v>1</v>
      </c>
    </row>
    <row r="40" spans="1:5" ht="25.5" x14ac:dyDescent="0.2">
      <c r="A40" s="7">
        <v>10</v>
      </c>
      <c r="B40" s="7" t="s">
        <v>72</v>
      </c>
      <c r="C40" s="7">
        <v>7</v>
      </c>
      <c r="D40" s="7">
        <v>5</v>
      </c>
      <c r="E40" s="7">
        <v>1</v>
      </c>
    </row>
    <row r="41" spans="1:5" ht="25.5" x14ac:dyDescent="0.2">
      <c r="A41" s="7">
        <v>11</v>
      </c>
      <c r="B41" s="7" t="s">
        <v>74</v>
      </c>
      <c r="C41" s="7">
        <v>9</v>
      </c>
      <c r="D41" s="7">
        <v>3</v>
      </c>
      <c r="E41" s="7">
        <v>0</v>
      </c>
    </row>
    <row r="42" spans="1:5" ht="25.5" x14ac:dyDescent="0.2">
      <c r="A42" s="7">
        <v>12</v>
      </c>
      <c r="B42" s="7" t="s">
        <v>76</v>
      </c>
      <c r="C42" s="7">
        <v>8</v>
      </c>
      <c r="D42" s="7">
        <v>4</v>
      </c>
      <c r="E42" s="7">
        <v>0</v>
      </c>
    </row>
    <row r="43" spans="1:5" ht="25.5" x14ac:dyDescent="0.2">
      <c r="A43" s="7">
        <v>13</v>
      </c>
      <c r="B43" s="7" t="s">
        <v>78</v>
      </c>
      <c r="C43" s="7">
        <v>10</v>
      </c>
      <c r="D43" s="7">
        <v>2</v>
      </c>
      <c r="E43" s="7">
        <v>1</v>
      </c>
    </row>
    <row r="44" spans="1:5" ht="25.5" x14ac:dyDescent="0.2">
      <c r="A44" s="7">
        <v>14</v>
      </c>
      <c r="B44" s="7" t="s">
        <v>79</v>
      </c>
      <c r="C44" s="7">
        <v>9</v>
      </c>
      <c r="D44" s="7">
        <v>3</v>
      </c>
      <c r="E44" s="7">
        <v>0</v>
      </c>
    </row>
    <row r="45" spans="1:5" ht="25.5" x14ac:dyDescent="0.2">
      <c r="A45" s="7">
        <v>15</v>
      </c>
      <c r="B45" s="7" t="s">
        <v>81</v>
      </c>
      <c r="C45" s="7">
        <v>8</v>
      </c>
      <c r="D45" s="7">
        <v>5</v>
      </c>
      <c r="E45" s="7">
        <v>0</v>
      </c>
    </row>
    <row r="46" spans="1:5" ht="25.5" x14ac:dyDescent="0.2">
      <c r="A46" s="7">
        <v>16</v>
      </c>
      <c r="B46" s="7" t="s">
        <v>83</v>
      </c>
      <c r="C46" s="7">
        <v>10</v>
      </c>
      <c r="D46" s="7">
        <v>1</v>
      </c>
      <c r="E46" s="7">
        <v>1</v>
      </c>
    </row>
    <row r="47" spans="1:5" ht="25.5" x14ac:dyDescent="0.2">
      <c r="A47" s="7">
        <v>17</v>
      </c>
      <c r="B47" s="7" t="s">
        <v>85</v>
      </c>
      <c r="C47" s="7">
        <v>9</v>
      </c>
      <c r="D47" s="7">
        <v>3</v>
      </c>
      <c r="E47" s="7">
        <v>0</v>
      </c>
    </row>
    <row r="48" spans="1:5" ht="25.5" x14ac:dyDescent="0.2">
      <c r="A48" s="7">
        <v>18</v>
      </c>
      <c r="B48" s="7" t="s">
        <v>87</v>
      </c>
      <c r="C48" s="7">
        <v>8</v>
      </c>
      <c r="D48" s="7">
        <v>4</v>
      </c>
      <c r="E48" s="7">
        <v>1</v>
      </c>
    </row>
    <row r="49" spans="1:5" ht="25.5" x14ac:dyDescent="0.2">
      <c r="A49" s="7">
        <v>19</v>
      </c>
      <c r="B49" s="7" t="s">
        <v>89</v>
      </c>
      <c r="C49" s="7">
        <v>10</v>
      </c>
      <c r="D49" s="7">
        <v>2</v>
      </c>
      <c r="E49" s="7">
        <v>0</v>
      </c>
    </row>
    <row r="50" spans="1:5" ht="25.5" x14ac:dyDescent="0.2">
      <c r="A50" s="7">
        <v>20</v>
      </c>
      <c r="B50" s="7" t="s">
        <v>91</v>
      </c>
      <c r="C50" s="7">
        <v>7</v>
      </c>
      <c r="D50" s="7">
        <v>4</v>
      </c>
      <c r="E50" s="7">
        <v>2</v>
      </c>
    </row>
    <row r="51" spans="1:5" ht="25.5" x14ac:dyDescent="0.2">
      <c r="A51" s="7">
        <v>21</v>
      </c>
      <c r="B51" s="7" t="s">
        <v>93</v>
      </c>
      <c r="C51" s="7">
        <v>9</v>
      </c>
      <c r="D51" s="7">
        <v>3</v>
      </c>
      <c r="E51" s="7">
        <v>1</v>
      </c>
    </row>
    <row r="52" spans="1:5" ht="25.5" x14ac:dyDescent="0.2">
      <c r="A52" s="7">
        <v>22</v>
      </c>
      <c r="B52" s="7" t="s">
        <v>94</v>
      </c>
      <c r="C52" s="7">
        <v>8</v>
      </c>
      <c r="D52" s="7">
        <v>4</v>
      </c>
      <c r="E52" s="7">
        <v>1</v>
      </c>
    </row>
    <row r="53" spans="1:5" ht="25.5" x14ac:dyDescent="0.2">
      <c r="A53" s="7">
        <v>23</v>
      </c>
      <c r="B53" s="7" t="s">
        <v>96</v>
      </c>
      <c r="C53" s="7">
        <v>10</v>
      </c>
      <c r="D53" s="7">
        <v>1</v>
      </c>
      <c r="E53" s="7">
        <v>0</v>
      </c>
    </row>
    <row r="54" spans="1:5" ht="25.5" x14ac:dyDescent="0.2">
      <c r="A54" s="7">
        <v>24</v>
      </c>
      <c r="B54" s="7" t="s">
        <v>98</v>
      </c>
      <c r="C54" s="7">
        <v>8</v>
      </c>
      <c r="D54" s="7">
        <v>5</v>
      </c>
      <c r="E54" s="7">
        <v>1</v>
      </c>
    </row>
    <row r="55" spans="1:5" ht="25.5" x14ac:dyDescent="0.2">
      <c r="A55" s="7">
        <v>25</v>
      </c>
      <c r="B55" s="7" t="s">
        <v>247</v>
      </c>
      <c r="C55" s="7">
        <v>9</v>
      </c>
      <c r="D55" s="7">
        <v>3</v>
      </c>
      <c r="E55" s="7">
        <v>0</v>
      </c>
    </row>
    <row r="56" spans="1:5" x14ac:dyDescent="0.2">
      <c r="A56" s="9"/>
      <c r="B56" s="9"/>
      <c r="C56" s="9"/>
      <c r="D56" s="9"/>
      <c r="E56" s="9"/>
    </row>
    <row r="57" spans="1:5" ht="22.15" customHeight="1" x14ac:dyDescent="0.3">
      <c r="A57" s="1" t="s">
        <v>99</v>
      </c>
      <c r="B57" s="1"/>
      <c r="C57" s="1"/>
      <c r="D57" s="1"/>
      <c r="E57" s="1"/>
    </row>
    <row r="58" spans="1:5" ht="25.5" x14ac:dyDescent="0.2">
      <c r="A58" s="6" t="s">
        <v>243</v>
      </c>
      <c r="B58" s="6" t="s">
        <v>1</v>
      </c>
      <c r="C58" s="6" t="s">
        <v>244</v>
      </c>
      <c r="D58" s="6" t="s">
        <v>245</v>
      </c>
      <c r="E58" s="6" t="s">
        <v>246</v>
      </c>
    </row>
    <row r="59" spans="1:5" ht="25.5" x14ac:dyDescent="0.2">
      <c r="A59" s="7">
        <v>1</v>
      </c>
      <c r="B59" s="7" t="s">
        <v>100</v>
      </c>
      <c r="C59" s="7">
        <v>10</v>
      </c>
      <c r="D59" s="7">
        <v>1</v>
      </c>
      <c r="E59" s="7">
        <v>1</v>
      </c>
    </row>
    <row r="60" spans="1:5" ht="25.5" x14ac:dyDescent="0.2">
      <c r="A60" s="7">
        <v>2</v>
      </c>
      <c r="B60" s="7" t="s">
        <v>102</v>
      </c>
      <c r="C60" s="7">
        <v>9</v>
      </c>
      <c r="D60" s="7">
        <v>3</v>
      </c>
      <c r="E60" s="7">
        <v>0</v>
      </c>
    </row>
    <row r="61" spans="1:5" ht="25.5" x14ac:dyDescent="0.2">
      <c r="A61" s="7">
        <v>3</v>
      </c>
      <c r="B61" s="7" t="s">
        <v>103</v>
      </c>
      <c r="C61" s="7">
        <v>8</v>
      </c>
      <c r="D61" s="7">
        <v>4</v>
      </c>
      <c r="E61" s="7">
        <v>1</v>
      </c>
    </row>
    <row r="62" spans="1:5" ht="25.5" x14ac:dyDescent="0.2">
      <c r="A62" s="7">
        <v>4</v>
      </c>
      <c r="B62" s="7" t="s">
        <v>105</v>
      </c>
      <c r="C62" s="7">
        <v>10</v>
      </c>
      <c r="D62" s="7">
        <v>1</v>
      </c>
      <c r="E62" s="7">
        <v>0</v>
      </c>
    </row>
    <row r="63" spans="1:5" ht="25.5" x14ac:dyDescent="0.2">
      <c r="A63" s="7">
        <v>5</v>
      </c>
      <c r="B63" s="7" t="s">
        <v>107</v>
      </c>
      <c r="C63" s="7">
        <v>9</v>
      </c>
      <c r="D63" s="7">
        <v>3</v>
      </c>
      <c r="E63" s="7">
        <v>1</v>
      </c>
    </row>
    <row r="64" spans="1:5" ht="25.5" x14ac:dyDescent="0.2">
      <c r="A64" s="7">
        <v>6</v>
      </c>
      <c r="B64" s="7" t="s">
        <v>109</v>
      </c>
      <c r="C64" s="7">
        <v>8</v>
      </c>
      <c r="D64" s="7">
        <v>4</v>
      </c>
      <c r="E64" s="7">
        <v>0</v>
      </c>
    </row>
    <row r="65" spans="1:5" ht="25.5" x14ac:dyDescent="0.2">
      <c r="A65" s="7">
        <v>7</v>
      </c>
      <c r="B65" s="7" t="s">
        <v>111</v>
      </c>
      <c r="C65" s="7">
        <v>10</v>
      </c>
      <c r="D65" s="7">
        <v>2</v>
      </c>
      <c r="E65" s="7">
        <v>1</v>
      </c>
    </row>
    <row r="66" spans="1:5" ht="25.5" x14ac:dyDescent="0.2">
      <c r="A66" s="7">
        <v>8</v>
      </c>
      <c r="B66" s="7" t="s">
        <v>113</v>
      </c>
      <c r="C66" s="7">
        <v>9</v>
      </c>
      <c r="D66" s="7">
        <v>3</v>
      </c>
      <c r="E66" s="7">
        <v>1</v>
      </c>
    </row>
    <row r="67" spans="1:5" ht="25.5" x14ac:dyDescent="0.2">
      <c r="A67" s="7">
        <v>9</v>
      </c>
      <c r="B67" s="7" t="s">
        <v>115</v>
      </c>
      <c r="C67" s="7">
        <v>8</v>
      </c>
      <c r="D67" s="7">
        <v>4</v>
      </c>
      <c r="E67" s="7">
        <v>0</v>
      </c>
    </row>
    <row r="68" spans="1:5" ht="25.5" x14ac:dyDescent="0.2">
      <c r="A68" s="7">
        <v>10</v>
      </c>
      <c r="B68" s="7" t="s">
        <v>116</v>
      </c>
      <c r="C68" s="7">
        <v>10</v>
      </c>
      <c r="D68" s="7">
        <v>2</v>
      </c>
      <c r="E68" s="7">
        <v>0</v>
      </c>
    </row>
    <row r="69" spans="1:5" ht="25.5" x14ac:dyDescent="0.2">
      <c r="A69" s="7">
        <v>11</v>
      </c>
      <c r="B69" s="7" t="s">
        <v>118</v>
      </c>
      <c r="C69" s="7">
        <v>9</v>
      </c>
      <c r="D69" s="7">
        <v>3</v>
      </c>
      <c r="E69" s="7">
        <v>1</v>
      </c>
    </row>
    <row r="70" spans="1:5" ht="25.5" x14ac:dyDescent="0.2">
      <c r="A70" s="7">
        <v>12</v>
      </c>
      <c r="B70" s="7" t="s">
        <v>119</v>
      </c>
      <c r="C70" s="7">
        <v>8</v>
      </c>
      <c r="D70" s="7">
        <v>5</v>
      </c>
      <c r="E70" s="7">
        <v>0</v>
      </c>
    </row>
    <row r="71" spans="1:5" ht="25.5" x14ac:dyDescent="0.2">
      <c r="A71" s="7">
        <v>13</v>
      </c>
      <c r="B71" s="7" t="s">
        <v>120</v>
      </c>
      <c r="C71" s="7">
        <v>10</v>
      </c>
      <c r="D71" s="7">
        <v>1</v>
      </c>
      <c r="E71" s="7">
        <v>1</v>
      </c>
    </row>
    <row r="72" spans="1:5" ht="25.5" x14ac:dyDescent="0.2">
      <c r="A72" s="7">
        <v>14</v>
      </c>
      <c r="B72" s="7" t="s">
        <v>122</v>
      </c>
      <c r="C72" s="7">
        <v>9</v>
      </c>
      <c r="D72" s="7">
        <v>3</v>
      </c>
      <c r="E72" s="7">
        <v>0</v>
      </c>
    </row>
    <row r="73" spans="1:5" ht="25.5" x14ac:dyDescent="0.2">
      <c r="A73" s="7">
        <v>15</v>
      </c>
      <c r="B73" s="7" t="s">
        <v>123</v>
      </c>
      <c r="C73" s="7">
        <v>8</v>
      </c>
      <c r="D73" s="7">
        <v>4</v>
      </c>
      <c r="E73" s="7">
        <v>1</v>
      </c>
    </row>
    <row r="74" spans="1:5" ht="25.5" x14ac:dyDescent="0.2">
      <c r="A74" s="7">
        <v>16</v>
      </c>
      <c r="B74" s="7" t="s">
        <v>125</v>
      </c>
      <c r="C74" s="7">
        <v>10</v>
      </c>
      <c r="D74" s="7">
        <v>2</v>
      </c>
      <c r="E74" s="7">
        <v>0</v>
      </c>
    </row>
    <row r="75" spans="1:5" ht="25.5" x14ac:dyDescent="0.2">
      <c r="A75" s="7">
        <v>17</v>
      </c>
      <c r="B75" s="7" t="s">
        <v>127</v>
      </c>
      <c r="C75" s="7">
        <v>9</v>
      </c>
      <c r="D75" s="7">
        <v>3</v>
      </c>
      <c r="E75" s="7">
        <v>1</v>
      </c>
    </row>
    <row r="76" spans="1:5" ht="25.5" x14ac:dyDescent="0.2">
      <c r="A76" s="7">
        <v>18</v>
      </c>
      <c r="B76" s="7" t="s">
        <v>129</v>
      </c>
      <c r="C76" s="7">
        <v>8</v>
      </c>
      <c r="D76" s="7">
        <v>4</v>
      </c>
      <c r="E76" s="7">
        <v>0</v>
      </c>
    </row>
    <row r="77" spans="1:5" ht="25.5" x14ac:dyDescent="0.2">
      <c r="A77" s="7">
        <v>19</v>
      </c>
      <c r="B77" s="7" t="s">
        <v>131</v>
      </c>
      <c r="C77" s="7">
        <v>10</v>
      </c>
      <c r="D77" s="7">
        <v>1</v>
      </c>
      <c r="E77" s="7">
        <v>0</v>
      </c>
    </row>
    <row r="78" spans="1:5" ht="25.5" x14ac:dyDescent="0.2">
      <c r="A78" s="7">
        <v>20</v>
      </c>
      <c r="B78" s="7" t="s">
        <v>132</v>
      </c>
      <c r="C78" s="7">
        <v>9</v>
      </c>
      <c r="D78" s="7">
        <v>3</v>
      </c>
      <c r="E78" s="7">
        <v>1</v>
      </c>
    </row>
    <row r="79" spans="1:5" ht="25.5" x14ac:dyDescent="0.2">
      <c r="A79" s="7">
        <v>21</v>
      </c>
      <c r="B79" s="7" t="s">
        <v>133</v>
      </c>
      <c r="C79" s="7">
        <v>8</v>
      </c>
      <c r="D79" s="7">
        <v>4</v>
      </c>
      <c r="E79" s="7">
        <v>0</v>
      </c>
    </row>
    <row r="80" spans="1:5" ht="25.5" x14ac:dyDescent="0.2">
      <c r="A80" s="7">
        <v>22</v>
      </c>
      <c r="B80" s="7" t="s">
        <v>135</v>
      </c>
      <c r="C80" s="7">
        <v>10</v>
      </c>
      <c r="D80" s="7">
        <v>2</v>
      </c>
      <c r="E80" s="7">
        <v>1</v>
      </c>
    </row>
    <row r="81" spans="1:5" ht="25.5" x14ac:dyDescent="0.2">
      <c r="A81" s="7">
        <v>23</v>
      </c>
      <c r="B81" s="7" t="s">
        <v>137</v>
      </c>
      <c r="C81" s="7">
        <v>9</v>
      </c>
      <c r="D81" s="7">
        <v>3</v>
      </c>
      <c r="E81" s="7">
        <v>0</v>
      </c>
    </row>
    <row r="82" spans="1:5" ht="25.5" x14ac:dyDescent="0.2">
      <c r="A82" s="7">
        <v>24</v>
      </c>
      <c r="B82" s="7" t="s">
        <v>248</v>
      </c>
      <c r="C82" s="7">
        <v>8</v>
      </c>
      <c r="D82" s="7">
        <v>5</v>
      </c>
      <c r="E82" s="7">
        <v>1</v>
      </c>
    </row>
    <row r="83" spans="1:5" ht="25.5" x14ac:dyDescent="0.2">
      <c r="A83" s="7">
        <v>25</v>
      </c>
      <c r="B83" s="7" t="s">
        <v>125</v>
      </c>
      <c r="C83" s="7">
        <v>10</v>
      </c>
      <c r="D83" s="7">
        <v>2</v>
      </c>
      <c r="E83" s="7">
        <v>0</v>
      </c>
    </row>
  </sheetData>
  <mergeCells count="3">
    <mergeCell ref="A1:E1"/>
    <mergeCell ref="A29:E29"/>
    <mergeCell ref="A57:E57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26533-EF1B-44CC-9BEB-1A08CA6354D0}">
  <sheetPr>
    <tabColor rgb="FFFF0000"/>
  </sheetPr>
  <dimension ref="A1:E6"/>
  <sheetViews>
    <sheetView workbookViewId="0">
      <selection activeCell="C38" sqref="C38"/>
    </sheetView>
  </sheetViews>
  <sheetFormatPr defaultRowHeight="12.75" x14ac:dyDescent="0.2"/>
  <cols>
    <col min="1" max="1" width="16" bestFit="1" customWidth="1"/>
    <col min="2" max="2" width="21.140625" bestFit="1" customWidth="1"/>
    <col min="3" max="3" width="22.140625" bestFit="1" customWidth="1"/>
    <col min="4" max="4" width="19.42578125" bestFit="1" customWidth="1"/>
    <col min="5" max="5" width="20.85546875" bestFit="1" customWidth="1"/>
  </cols>
  <sheetData>
    <row r="1" spans="1:5" ht="13.5" thickBot="1" x14ac:dyDescent="0.25">
      <c r="A1" s="69" t="s">
        <v>340</v>
      </c>
      <c r="B1" s="70"/>
      <c r="C1" s="70"/>
      <c r="D1" s="70"/>
      <c r="E1" s="71"/>
    </row>
    <row r="2" spans="1:5" x14ac:dyDescent="0.2">
      <c r="A2" s="32" t="s">
        <v>324</v>
      </c>
      <c r="B2" t="s">
        <v>329</v>
      </c>
      <c r="C2" t="s">
        <v>341</v>
      </c>
      <c r="D2" t="s">
        <v>342</v>
      </c>
      <c r="E2" t="s">
        <v>343</v>
      </c>
    </row>
    <row r="3" spans="1:5" x14ac:dyDescent="0.2">
      <c r="A3" s="33" t="s">
        <v>327</v>
      </c>
      <c r="B3" s="31">
        <v>25</v>
      </c>
      <c r="C3" s="31">
        <v>226</v>
      </c>
      <c r="D3" s="31">
        <v>72</v>
      </c>
      <c r="E3" s="31">
        <v>12</v>
      </c>
    </row>
    <row r="4" spans="1:5" x14ac:dyDescent="0.2">
      <c r="A4" s="33" t="s">
        <v>325</v>
      </c>
      <c r="B4" s="31">
        <v>25</v>
      </c>
      <c r="C4" s="31">
        <v>221</v>
      </c>
      <c r="D4" s="31">
        <v>71</v>
      </c>
      <c r="E4" s="31">
        <v>16</v>
      </c>
    </row>
    <row r="5" spans="1:5" x14ac:dyDescent="0.2">
      <c r="A5" s="33" t="s">
        <v>326</v>
      </c>
      <c r="B5" s="31">
        <v>25</v>
      </c>
      <c r="C5" s="31">
        <v>220</v>
      </c>
      <c r="D5" s="31">
        <v>79</v>
      </c>
      <c r="E5" s="31">
        <v>13</v>
      </c>
    </row>
    <row r="6" spans="1:5" x14ac:dyDescent="0.2">
      <c r="A6" s="33" t="s">
        <v>320</v>
      </c>
      <c r="B6" s="31">
        <v>75</v>
      </c>
      <c r="C6" s="31">
        <v>667</v>
      </c>
      <c r="D6" s="31">
        <v>222</v>
      </c>
      <c r="E6" s="31">
        <v>41</v>
      </c>
    </row>
  </sheetData>
  <mergeCells count="1">
    <mergeCell ref="A1:E1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8"/>
  <sheetViews>
    <sheetView topLeftCell="A68" zoomScaleNormal="100" workbookViewId="0">
      <selection sqref="A1:F68"/>
    </sheetView>
  </sheetViews>
  <sheetFormatPr defaultColWidth="11.5703125" defaultRowHeight="12.75" x14ac:dyDescent="0.2"/>
  <sheetData>
    <row r="1" spans="1:6" ht="22.15" customHeight="1" x14ac:dyDescent="0.3">
      <c r="A1" s="3" t="s">
        <v>0</v>
      </c>
      <c r="B1" s="3"/>
      <c r="C1" s="3"/>
      <c r="D1" s="3"/>
      <c r="E1" s="3"/>
    </row>
    <row r="2" spans="1:6" ht="25.5" x14ac:dyDescent="0.2">
      <c r="A2" s="6" t="s">
        <v>243</v>
      </c>
      <c r="B2" s="6" t="s">
        <v>1</v>
      </c>
      <c r="C2" s="6" t="s">
        <v>249</v>
      </c>
      <c r="D2" s="6" t="s">
        <v>250</v>
      </c>
      <c r="E2" s="6" t="s">
        <v>141</v>
      </c>
      <c r="F2" s="6" t="s">
        <v>251</v>
      </c>
    </row>
    <row r="3" spans="1:6" ht="63.75" x14ac:dyDescent="0.2">
      <c r="A3" s="7">
        <v>1</v>
      </c>
      <c r="B3" s="7" t="s">
        <v>3</v>
      </c>
      <c r="C3" s="7" t="s">
        <v>252</v>
      </c>
      <c r="D3" s="8" t="s">
        <v>253</v>
      </c>
      <c r="E3" s="8" t="s">
        <v>254</v>
      </c>
      <c r="F3" s="7">
        <v>30</v>
      </c>
    </row>
    <row r="4" spans="1:6" ht="38.25" x14ac:dyDescent="0.2">
      <c r="A4" s="7">
        <v>2</v>
      </c>
      <c r="B4" s="7" t="s">
        <v>5</v>
      </c>
      <c r="C4" s="7" t="s">
        <v>255</v>
      </c>
      <c r="D4" s="8" t="s">
        <v>256</v>
      </c>
      <c r="E4" s="8" t="s">
        <v>257</v>
      </c>
      <c r="F4" s="7">
        <v>42</v>
      </c>
    </row>
    <row r="5" spans="1:6" ht="51" x14ac:dyDescent="0.2">
      <c r="A5" s="7">
        <v>3</v>
      </c>
      <c r="B5" s="7" t="s">
        <v>7</v>
      </c>
      <c r="C5" s="7" t="s">
        <v>258</v>
      </c>
      <c r="D5" s="8" t="s">
        <v>259</v>
      </c>
      <c r="E5" s="7" t="s">
        <v>260</v>
      </c>
      <c r="F5" s="7" t="s">
        <v>260</v>
      </c>
    </row>
    <row r="6" spans="1:6" ht="38.25" x14ac:dyDescent="0.2">
      <c r="A6" s="7">
        <v>4</v>
      </c>
      <c r="B6" s="7" t="s">
        <v>9</v>
      </c>
      <c r="C6" s="7" t="s">
        <v>261</v>
      </c>
      <c r="D6" s="8" t="s">
        <v>262</v>
      </c>
      <c r="E6" s="8" t="s">
        <v>263</v>
      </c>
      <c r="F6" s="7">
        <v>30</v>
      </c>
    </row>
    <row r="7" spans="1:6" ht="38.25" x14ac:dyDescent="0.2">
      <c r="A7" s="7">
        <v>5</v>
      </c>
      <c r="B7" s="7" t="s">
        <v>11</v>
      </c>
      <c r="C7" s="7" t="s">
        <v>264</v>
      </c>
      <c r="D7" s="8" t="s">
        <v>265</v>
      </c>
      <c r="E7" s="7" t="s">
        <v>260</v>
      </c>
      <c r="F7" s="7" t="s">
        <v>260</v>
      </c>
    </row>
    <row r="8" spans="1:6" ht="25.5" x14ac:dyDescent="0.2">
      <c r="A8" s="7">
        <v>6</v>
      </c>
      <c r="B8" s="7" t="s">
        <v>13</v>
      </c>
      <c r="C8" s="7" t="s">
        <v>266</v>
      </c>
      <c r="D8" s="8" t="s">
        <v>267</v>
      </c>
      <c r="E8" s="8" t="s">
        <v>268</v>
      </c>
      <c r="F8" s="7">
        <v>30</v>
      </c>
    </row>
    <row r="9" spans="1:6" ht="38.25" x14ac:dyDescent="0.2">
      <c r="A9" s="7">
        <v>7</v>
      </c>
      <c r="B9" s="7" t="s">
        <v>15</v>
      </c>
      <c r="C9" s="7" t="s">
        <v>269</v>
      </c>
      <c r="D9" s="8" t="s">
        <v>270</v>
      </c>
      <c r="E9" s="8" t="s">
        <v>144</v>
      </c>
      <c r="F9" s="7">
        <v>61</v>
      </c>
    </row>
    <row r="10" spans="1:6" ht="38.25" x14ac:dyDescent="0.2">
      <c r="A10" s="7">
        <v>8</v>
      </c>
      <c r="B10" s="7" t="s">
        <v>17</v>
      </c>
      <c r="C10" s="7" t="s">
        <v>271</v>
      </c>
      <c r="D10" s="8" t="s">
        <v>147</v>
      </c>
      <c r="E10" s="7" t="s">
        <v>260</v>
      </c>
      <c r="F10" s="7" t="s">
        <v>260</v>
      </c>
    </row>
    <row r="11" spans="1:6" ht="38.25" x14ac:dyDescent="0.2">
      <c r="A11" s="7">
        <v>9</v>
      </c>
      <c r="B11" s="7" t="s">
        <v>19</v>
      </c>
      <c r="C11" s="7" t="s">
        <v>272</v>
      </c>
      <c r="D11" s="8" t="s">
        <v>150</v>
      </c>
      <c r="E11" s="8" t="s">
        <v>273</v>
      </c>
      <c r="F11" s="7">
        <v>31</v>
      </c>
    </row>
    <row r="12" spans="1:6" ht="51" x14ac:dyDescent="0.2">
      <c r="A12" s="7">
        <v>10</v>
      </c>
      <c r="B12" s="7" t="s">
        <v>21</v>
      </c>
      <c r="C12" s="7" t="s">
        <v>274</v>
      </c>
      <c r="D12" s="8" t="s">
        <v>275</v>
      </c>
      <c r="E12" s="8" t="s">
        <v>276</v>
      </c>
      <c r="F12" s="7">
        <v>51</v>
      </c>
    </row>
    <row r="13" spans="1:6" ht="51" x14ac:dyDescent="0.2">
      <c r="A13" s="7">
        <v>11</v>
      </c>
      <c r="B13" s="7" t="s">
        <v>23</v>
      </c>
      <c r="C13" s="7" t="s">
        <v>277</v>
      </c>
      <c r="D13" s="8" t="s">
        <v>278</v>
      </c>
      <c r="E13" s="7" t="s">
        <v>260</v>
      </c>
      <c r="F13" s="7" t="s">
        <v>260</v>
      </c>
    </row>
    <row r="14" spans="1:6" ht="38.25" x14ac:dyDescent="0.2">
      <c r="A14" s="7">
        <v>12</v>
      </c>
      <c r="B14" s="7" t="s">
        <v>25</v>
      </c>
      <c r="C14" s="7" t="s">
        <v>279</v>
      </c>
      <c r="D14" s="8" t="s">
        <v>165</v>
      </c>
      <c r="E14" s="8" t="s">
        <v>280</v>
      </c>
      <c r="F14" s="7">
        <v>30</v>
      </c>
    </row>
    <row r="15" spans="1:6" ht="38.25" x14ac:dyDescent="0.2">
      <c r="A15" s="7">
        <v>13</v>
      </c>
      <c r="B15" s="7" t="s">
        <v>27</v>
      </c>
      <c r="C15" s="7" t="s">
        <v>281</v>
      </c>
      <c r="D15" s="8" t="s">
        <v>282</v>
      </c>
      <c r="E15" s="7" t="s">
        <v>260</v>
      </c>
      <c r="F15" s="7" t="s">
        <v>260</v>
      </c>
    </row>
    <row r="16" spans="1:6" ht="51" x14ac:dyDescent="0.2">
      <c r="A16" s="7">
        <v>14</v>
      </c>
      <c r="B16" s="7" t="s">
        <v>29</v>
      </c>
      <c r="C16" s="7" t="s">
        <v>283</v>
      </c>
      <c r="D16" s="8" t="s">
        <v>284</v>
      </c>
      <c r="E16" s="8" t="s">
        <v>285</v>
      </c>
      <c r="F16" s="7">
        <v>40</v>
      </c>
    </row>
    <row r="17" spans="1:6" ht="38.25" x14ac:dyDescent="0.2">
      <c r="A17" s="7">
        <v>15</v>
      </c>
      <c r="B17" s="7" t="s">
        <v>31</v>
      </c>
      <c r="C17" s="7" t="s">
        <v>286</v>
      </c>
      <c r="D17" s="8" t="s">
        <v>287</v>
      </c>
      <c r="E17" s="8" t="s">
        <v>288</v>
      </c>
      <c r="F17" s="7">
        <v>41</v>
      </c>
    </row>
    <row r="18" spans="1:6" ht="51" x14ac:dyDescent="0.2">
      <c r="A18" s="7">
        <v>16</v>
      </c>
      <c r="B18" s="7" t="s">
        <v>33</v>
      </c>
      <c r="C18" s="7" t="s">
        <v>289</v>
      </c>
      <c r="D18" s="8" t="s">
        <v>290</v>
      </c>
      <c r="E18" s="8" t="s">
        <v>291</v>
      </c>
      <c r="F18" s="7">
        <v>39</v>
      </c>
    </row>
    <row r="19" spans="1:6" ht="38.25" x14ac:dyDescent="0.2">
      <c r="A19" s="7">
        <v>17</v>
      </c>
      <c r="B19" s="7" t="s">
        <v>35</v>
      </c>
      <c r="C19" s="7" t="s">
        <v>292</v>
      </c>
      <c r="D19" s="8" t="s">
        <v>293</v>
      </c>
      <c r="E19" s="7" t="s">
        <v>260</v>
      </c>
      <c r="F19" s="7" t="s">
        <v>260</v>
      </c>
    </row>
    <row r="20" spans="1:6" ht="38.25" x14ac:dyDescent="0.2">
      <c r="A20" s="7">
        <v>18</v>
      </c>
      <c r="B20" s="7" t="s">
        <v>37</v>
      </c>
      <c r="C20" s="7" t="s">
        <v>294</v>
      </c>
      <c r="D20" s="8" t="s">
        <v>295</v>
      </c>
      <c r="E20" s="8" t="s">
        <v>296</v>
      </c>
      <c r="F20" s="7">
        <v>42</v>
      </c>
    </row>
    <row r="21" spans="1:6" ht="51" x14ac:dyDescent="0.2">
      <c r="A21" s="7">
        <v>19</v>
      </c>
      <c r="B21" s="7" t="s">
        <v>39</v>
      </c>
      <c r="C21" s="7" t="s">
        <v>297</v>
      </c>
      <c r="D21" s="8" t="s">
        <v>298</v>
      </c>
      <c r="E21" s="8" t="s">
        <v>299</v>
      </c>
      <c r="F21" s="7">
        <v>61</v>
      </c>
    </row>
    <row r="22" spans="1:6" ht="51" x14ac:dyDescent="0.2">
      <c r="A22" s="7">
        <v>20</v>
      </c>
      <c r="B22" s="7" t="s">
        <v>41</v>
      </c>
      <c r="C22" s="7" t="s">
        <v>300</v>
      </c>
      <c r="D22" s="8" t="s">
        <v>301</v>
      </c>
      <c r="E22" s="7" t="s">
        <v>260</v>
      </c>
      <c r="F22" s="7" t="s">
        <v>260</v>
      </c>
    </row>
    <row r="23" spans="1:6" x14ac:dyDescent="0.2">
      <c r="A23" s="9"/>
      <c r="B23" s="9"/>
      <c r="C23" s="9"/>
      <c r="D23" s="9"/>
      <c r="E23" s="9"/>
    </row>
    <row r="24" spans="1:6" ht="23.25" x14ac:dyDescent="0.35">
      <c r="A24" s="2" t="s">
        <v>53</v>
      </c>
      <c r="B24" s="2"/>
      <c r="C24" s="2"/>
      <c r="D24" s="2"/>
      <c r="E24" s="2"/>
    </row>
    <row r="25" spans="1:6" ht="25.5" x14ac:dyDescent="0.2">
      <c r="A25" s="6" t="s">
        <v>243</v>
      </c>
      <c r="B25" s="6" t="s">
        <v>1</v>
      </c>
      <c r="C25" s="6" t="s">
        <v>249</v>
      </c>
      <c r="D25" s="6" t="s">
        <v>250</v>
      </c>
      <c r="E25" s="6" t="s">
        <v>141</v>
      </c>
      <c r="F25" s="6" t="s">
        <v>251</v>
      </c>
    </row>
    <row r="26" spans="1:6" ht="25.5" x14ac:dyDescent="0.2">
      <c r="A26" s="7">
        <v>1</v>
      </c>
      <c r="B26" s="7" t="s">
        <v>54</v>
      </c>
      <c r="C26" s="7" t="s">
        <v>302</v>
      </c>
      <c r="D26" s="8" t="s">
        <v>253</v>
      </c>
      <c r="E26" s="8" t="s">
        <v>303</v>
      </c>
      <c r="F26" s="7">
        <v>44</v>
      </c>
    </row>
    <row r="27" spans="1:6" ht="51" x14ac:dyDescent="0.2">
      <c r="A27" s="7">
        <v>2</v>
      </c>
      <c r="B27" s="7" t="s">
        <v>56</v>
      </c>
      <c r="C27" s="7" t="s">
        <v>304</v>
      </c>
      <c r="D27" s="8" t="s">
        <v>256</v>
      </c>
      <c r="E27" s="8" t="s">
        <v>305</v>
      </c>
      <c r="F27" s="7">
        <v>56</v>
      </c>
    </row>
    <row r="28" spans="1:6" ht="38.25" x14ac:dyDescent="0.2">
      <c r="A28" s="7">
        <v>3</v>
      </c>
      <c r="B28" s="7" t="s">
        <v>58</v>
      </c>
      <c r="C28" s="7" t="s">
        <v>306</v>
      </c>
      <c r="D28" s="8" t="s">
        <v>259</v>
      </c>
      <c r="E28" s="7" t="s">
        <v>260</v>
      </c>
      <c r="F28" s="7" t="s">
        <v>260</v>
      </c>
    </row>
    <row r="29" spans="1:6" ht="38.25" x14ac:dyDescent="0.2">
      <c r="A29" s="7">
        <v>4</v>
      </c>
      <c r="B29" s="7" t="s">
        <v>60</v>
      </c>
      <c r="C29" s="7" t="s">
        <v>271</v>
      </c>
      <c r="D29" s="8" t="s">
        <v>262</v>
      </c>
      <c r="E29" s="8" t="s">
        <v>307</v>
      </c>
      <c r="F29" s="7">
        <v>46</v>
      </c>
    </row>
    <row r="30" spans="1:6" ht="51" x14ac:dyDescent="0.2">
      <c r="A30" s="7">
        <v>5</v>
      </c>
      <c r="B30" s="7" t="s">
        <v>62</v>
      </c>
      <c r="C30" s="7" t="s">
        <v>274</v>
      </c>
      <c r="D30" s="8" t="s">
        <v>265</v>
      </c>
      <c r="E30" s="7" t="s">
        <v>260</v>
      </c>
      <c r="F30" s="7" t="s">
        <v>260</v>
      </c>
    </row>
    <row r="31" spans="1:6" ht="38.25" x14ac:dyDescent="0.2">
      <c r="A31" s="7">
        <v>6</v>
      </c>
      <c r="B31" s="7" t="s">
        <v>64</v>
      </c>
      <c r="C31" s="7" t="s">
        <v>272</v>
      </c>
      <c r="D31" s="8" t="s">
        <v>267</v>
      </c>
      <c r="E31" s="8" t="s">
        <v>308</v>
      </c>
      <c r="F31" s="7">
        <v>51</v>
      </c>
    </row>
    <row r="32" spans="1:6" ht="38.25" x14ac:dyDescent="0.2">
      <c r="A32" s="7">
        <v>7</v>
      </c>
      <c r="B32" s="7" t="s">
        <v>66</v>
      </c>
      <c r="C32" s="7" t="s">
        <v>286</v>
      </c>
      <c r="D32" s="8" t="s">
        <v>270</v>
      </c>
      <c r="E32" s="8" t="s">
        <v>144</v>
      </c>
      <c r="F32" s="7">
        <v>61</v>
      </c>
    </row>
    <row r="33" spans="1:6" ht="38.25" x14ac:dyDescent="0.2">
      <c r="A33" s="7">
        <v>8</v>
      </c>
      <c r="B33" s="7" t="s">
        <v>68</v>
      </c>
      <c r="C33" s="7" t="s">
        <v>255</v>
      </c>
      <c r="D33" s="8" t="s">
        <v>147</v>
      </c>
      <c r="E33" s="7" t="s">
        <v>260</v>
      </c>
      <c r="F33" s="7" t="s">
        <v>260</v>
      </c>
    </row>
    <row r="34" spans="1:6" ht="51" x14ac:dyDescent="0.2">
      <c r="A34" s="7">
        <v>9</v>
      </c>
      <c r="B34" s="7" t="s">
        <v>70</v>
      </c>
      <c r="C34" s="7" t="s">
        <v>309</v>
      </c>
      <c r="D34" s="8" t="s">
        <v>150</v>
      </c>
      <c r="E34" s="8" t="s">
        <v>310</v>
      </c>
      <c r="F34" s="7">
        <v>46</v>
      </c>
    </row>
    <row r="35" spans="1:6" ht="38.25" x14ac:dyDescent="0.2">
      <c r="A35" s="7">
        <v>10</v>
      </c>
      <c r="B35" s="7" t="s">
        <v>72</v>
      </c>
      <c r="C35" s="7" t="s">
        <v>311</v>
      </c>
      <c r="D35" s="8" t="s">
        <v>275</v>
      </c>
      <c r="E35" s="8" t="s">
        <v>312</v>
      </c>
      <c r="F35" s="7">
        <v>61</v>
      </c>
    </row>
    <row r="36" spans="1:6" ht="51" x14ac:dyDescent="0.2">
      <c r="A36" s="7">
        <v>11</v>
      </c>
      <c r="B36" s="7" t="s">
        <v>74</v>
      </c>
      <c r="C36" s="7" t="s">
        <v>283</v>
      </c>
      <c r="D36" s="8" t="s">
        <v>278</v>
      </c>
      <c r="E36" s="7" t="s">
        <v>260</v>
      </c>
      <c r="F36" s="7" t="s">
        <v>260</v>
      </c>
    </row>
    <row r="37" spans="1:6" ht="38.25" x14ac:dyDescent="0.2">
      <c r="A37" s="7">
        <v>12</v>
      </c>
      <c r="B37" s="7" t="s">
        <v>76</v>
      </c>
      <c r="C37" s="7" t="s">
        <v>281</v>
      </c>
      <c r="D37" s="8" t="s">
        <v>165</v>
      </c>
      <c r="E37" s="8" t="s">
        <v>313</v>
      </c>
      <c r="F37" s="7">
        <v>56</v>
      </c>
    </row>
    <row r="38" spans="1:6" ht="25.5" x14ac:dyDescent="0.2">
      <c r="A38" s="7">
        <v>13</v>
      </c>
      <c r="B38" s="7" t="s">
        <v>78</v>
      </c>
      <c r="C38" s="7" t="s">
        <v>314</v>
      </c>
      <c r="D38" s="8" t="s">
        <v>282</v>
      </c>
      <c r="E38" s="7" t="s">
        <v>260</v>
      </c>
      <c r="F38" s="7" t="s">
        <v>260</v>
      </c>
    </row>
    <row r="39" spans="1:6" ht="51" x14ac:dyDescent="0.2">
      <c r="A39" s="7">
        <v>14</v>
      </c>
      <c r="B39" s="7" t="s">
        <v>79</v>
      </c>
      <c r="C39" s="7" t="s">
        <v>289</v>
      </c>
      <c r="D39" s="8" t="s">
        <v>284</v>
      </c>
      <c r="E39" s="8" t="s">
        <v>315</v>
      </c>
      <c r="F39" s="7">
        <v>54</v>
      </c>
    </row>
    <row r="40" spans="1:6" ht="51" x14ac:dyDescent="0.2">
      <c r="A40" s="7">
        <v>15</v>
      </c>
      <c r="B40" s="7" t="s">
        <v>81</v>
      </c>
      <c r="C40" s="7" t="s">
        <v>297</v>
      </c>
      <c r="D40" s="8" t="s">
        <v>287</v>
      </c>
      <c r="E40" s="8" t="s">
        <v>316</v>
      </c>
      <c r="F40" s="7">
        <v>61</v>
      </c>
    </row>
    <row r="41" spans="1:6" ht="38.25" x14ac:dyDescent="0.2">
      <c r="A41" s="7">
        <v>16</v>
      </c>
      <c r="B41" s="7" t="s">
        <v>83</v>
      </c>
      <c r="C41" s="7" t="s">
        <v>279</v>
      </c>
      <c r="D41" s="8" t="s">
        <v>290</v>
      </c>
      <c r="E41" s="7" t="s">
        <v>260</v>
      </c>
      <c r="F41" s="7" t="s">
        <v>260</v>
      </c>
    </row>
    <row r="42" spans="1:6" ht="38.25" x14ac:dyDescent="0.2">
      <c r="A42" s="7">
        <v>17</v>
      </c>
      <c r="B42" s="7" t="s">
        <v>85</v>
      </c>
      <c r="C42" s="7" t="s">
        <v>292</v>
      </c>
      <c r="D42" s="8" t="s">
        <v>293</v>
      </c>
      <c r="E42" s="8" t="s">
        <v>198</v>
      </c>
      <c r="F42" s="7">
        <v>51</v>
      </c>
    </row>
    <row r="43" spans="1:6" ht="51" x14ac:dyDescent="0.2">
      <c r="A43" s="7">
        <v>18</v>
      </c>
      <c r="B43" s="7" t="s">
        <v>87</v>
      </c>
      <c r="C43" s="7" t="s">
        <v>300</v>
      </c>
      <c r="D43" s="8" t="s">
        <v>295</v>
      </c>
      <c r="E43" s="7" t="s">
        <v>260</v>
      </c>
      <c r="F43" s="7" t="s">
        <v>260</v>
      </c>
    </row>
    <row r="44" spans="1:6" ht="25.5" x14ac:dyDescent="0.2">
      <c r="A44" s="7">
        <v>19</v>
      </c>
      <c r="B44" s="7" t="s">
        <v>89</v>
      </c>
      <c r="C44" s="7" t="s">
        <v>302</v>
      </c>
      <c r="D44" s="8" t="s">
        <v>298</v>
      </c>
      <c r="E44" s="8" t="s">
        <v>299</v>
      </c>
      <c r="F44" s="7">
        <v>61</v>
      </c>
    </row>
    <row r="45" spans="1:6" ht="51" x14ac:dyDescent="0.2">
      <c r="A45" s="7">
        <v>20</v>
      </c>
      <c r="B45" s="7" t="s">
        <v>91</v>
      </c>
      <c r="C45" s="7" t="s">
        <v>304</v>
      </c>
      <c r="D45" s="8" t="s">
        <v>301</v>
      </c>
      <c r="E45" s="7" t="s">
        <v>260</v>
      </c>
      <c r="F45" s="7" t="s">
        <v>260</v>
      </c>
    </row>
    <row r="46" spans="1:6" x14ac:dyDescent="0.2">
      <c r="A46" s="9"/>
      <c r="B46" s="9"/>
      <c r="C46" s="9"/>
      <c r="D46" s="9"/>
      <c r="E46" s="9"/>
    </row>
    <row r="47" spans="1:6" ht="22.15" customHeight="1" x14ac:dyDescent="0.3">
      <c r="A47" s="1" t="s">
        <v>99</v>
      </c>
      <c r="B47" s="1"/>
      <c r="C47" s="1"/>
      <c r="D47" s="1"/>
      <c r="E47" s="1"/>
    </row>
    <row r="48" spans="1:6" ht="25.5" x14ac:dyDescent="0.2">
      <c r="A48" s="6" t="s">
        <v>243</v>
      </c>
      <c r="B48" s="6" t="s">
        <v>1</v>
      </c>
      <c r="C48" s="6" t="s">
        <v>249</v>
      </c>
      <c r="D48" s="6" t="s">
        <v>250</v>
      </c>
      <c r="E48" s="6" t="s">
        <v>141</v>
      </c>
      <c r="F48" s="6" t="s">
        <v>251</v>
      </c>
    </row>
    <row r="49" spans="1:6" ht="38.25" x14ac:dyDescent="0.2">
      <c r="A49" s="7">
        <v>1</v>
      </c>
      <c r="B49" s="7" t="s">
        <v>100</v>
      </c>
      <c r="C49" s="7" t="s">
        <v>306</v>
      </c>
      <c r="D49" s="8" t="s">
        <v>253</v>
      </c>
      <c r="E49" s="8" t="s">
        <v>254</v>
      </c>
      <c r="F49" s="7">
        <v>30</v>
      </c>
    </row>
    <row r="50" spans="1:6" ht="25.5" x14ac:dyDescent="0.2">
      <c r="A50" s="7">
        <v>2</v>
      </c>
      <c r="B50" s="7" t="s">
        <v>102</v>
      </c>
      <c r="C50" s="7" t="s">
        <v>302</v>
      </c>
      <c r="D50" s="8" t="s">
        <v>256</v>
      </c>
      <c r="E50" s="8" t="s">
        <v>257</v>
      </c>
      <c r="F50" s="7">
        <v>42</v>
      </c>
    </row>
    <row r="51" spans="1:6" ht="51" x14ac:dyDescent="0.2">
      <c r="A51" s="7">
        <v>3</v>
      </c>
      <c r="B51" s="7" t="s">
        <v>103</v>
      </c>
      <c r="C51" s="7" t="s">
        <v>309</v>
      </c>
      <c r="D51" s="8" t="s">
        <v>259</v>
      </c>
      <c r="E51" s="7" t="s">
        <v>260</v>
      </c>
      <c r="F51" s="7" t="s">
        <v>260</v>
      </c>
    </row>
    <row r="52" spans="1:6" ht="38.25" x14ac:dyDescent="0.2">
      <c r="A52" s="7">
        <v>4</v>
      </c>
      <c r="B52" s="7" t="s">
        <v>105</v>
      </c>
      <c r="C52" s="7" t="s">
        <v>271</v>
      </c>
      <c r="D52" s="8" t="s">
        <v>262</v>
      </c>
      <c r="E52" s="8" t="s">
        <v>263</v>
      </c>
      <c r="F52" s="7">
        <v>30</v>
      </c>
    </row>
    <row r="53" spans="1:6" ht="38.25" x14ac:dyDescent="0.2">
      <c r="A53" s="7">
        <v>5</v>
      </c>
      <c r="B53" s="7" t="s">
        <v>107</v>
      </c>
      <c r="C53" s="7" t="s">
        <v>255</v>
      </c>
      <c r="D53" s="8" t="s">
        <v>265</v>
      </c>
      <c r="E53" s="7" t="s">
        <v>260</v>
      </c>
      <c r="F53" s="7" t="s">
        <v>260</v>
      </c>
    </row>
    <row r="54" spans="1:6" ht="51" x14ac:dyDescent="0.2">
      <c r="A54" s="7">
        <v>6</v>
      </c>
      <c r="B54" s="7" t="s">
        <v>109</v>
      </c>
      <c r="C54" s="7" t="s">
        <v>283</v>
      </c>
      <c r="D54" s="8" t="s">
        <v>267</v>
      </c>
      <c r="E54" s="8" t="s">
        <v>268</v>
      </c>
      <c r="F54" s="7">
        <v>30</v>
      </c>
    </row>
    <row r="55" spans="1:6" ht="38.25" x14ac:dyDescent="0.2">
      <c r="A55" s="7">
        <v>7</v>
      </c>
      <c r="B55" s="7" t="s">
        <v>111</v>
      </c>
      <c r="C55" s="7" t="s">
        <v>281</v>
      </c>
      <c r="D55" s="8" t="s">
        <v>270</v>
      </c>
      <c r="E55" s="8" t="s">
        <v>144</v>
      </c>
      <c r="F55" s="7">
        <v>61</v>
      </c>
    </row>
    <row r="56" spans="1:6" ht="38.25" x14ac:dyDescent="0.2">
      <c r="A56" s="7">
        <v>8</v>
      </c>
      <c r="B56" s="7" t="s">
        <v>113</v>
      </c>
      <c r="C56" s="7" t="s">
        <v>311</v>
      </c>
      <c r="D56" s="8" t="s">
        <v>147</v>
      </c>
      <c r="E56" s="7" t="s">
        <v>260</v>
      </c>
      <c r="F56" s="7" t="s">
        <v>260</v>
      </c>
    </row>
    <row r="57" spans="1:6" ht="51" x14ac:dyDescent="0.2">
      <c r="A57" s="7">
        <v>9</v>
      </c>
      <c r="B57" s="7" t="s">
        <v>115</v>
      </c>
      <c r="C57" s="7" t="s">
        <v>297</v>
      </c>
      <c r="D57" s="8" t="s">
        <v>150</v>
      </c>
      <c r="E57" s="8" t="s">
        <v>273</v>
      </c>
      <c r="F57" s="7">
        <v>31</v>
      </c>
    </row>
    <row r="58" spans="1:6" ht="38.25" x14ac:dyDescent="0.2">
      <c r="A58" s="7">
        <v>10</v>
      </c>
      <c r="B58" s="7" t="s">
        <v>116</v>
      </c>
      <c r="C58" s="7" t="s">
        <v>272</v>
      </c>
      <c r="D58" s="8" t="s">
        <v>275</v>
      </c>
      <c r="E58" s="8" t="s">
        <v>276</v>
      </c>
      <c r="F58" s="7">
        <v>51</v>
      </c>
    </row>
    <row r="59" spans="1:6" ht="38.25" x14ac:dyDescent="0.2">
      <c r="A59" s="7">
        <v>11</v>
      </c>
      <c r="B59" s="7" t="s">
        <v>118</v>
      </c>
      <c r="C59" s="7" t="s">
        <v>279</v>
      </c>
      <c r="D59" s="8" t="s">
        <v>278</v>
      </c>
      <c r="E59" s="7" t="s">
        <v>260</v>
      </c>
      <c r="F59" s="7" t="s">
        <v>260</v>
      </c>
    </row>
    <row r="60" spans="1:6" ht="51" x14ac:dyDescent="0.2">
      <c r="A60" s="7">
        <v>12</v>
      </c>
      <c r="B60" s="7" t="s">
        <v>119</v>
      </c>
      <c r="C60" s="7" t="s">
        <v>304</v>
      </c>
      <c r="D60" s="8" t="s">
        <v>165</v>
      </c>
      <c r="E60" s="8" t="s">
        <v>280</v>
      </c>
      <c r="F60" s="7">
        <v>30</v>
      </c>
    </row>
    <row r="61" spans="1:6" ht="51" x14ac:dyDescent="0.2">
      <c r="A61" s="7">
        <v>13</v>
      </c>
      <c r="B61" s="7" t="s">
        <v>120</v>
      </c>
      <c r="C61" s="7" t="s">
        <v>289</v>
      </c>
      <c r="D61" s="8" t="s">
        <v>282</v>
      </c>
      <c r="E61" s="7" t="s">
        <v>260</v>
      </c>
      <c r="F61" s="7" t="s">
        <v>260</v>
      </c>
    </row>
    <row r="62" spans="1:6" ht="38.25" x14ac:dyDescent="0.2">
      <c r="A62" s="7">
        <v>14</v>
      </c>
      <c r="B62" s="7" t="s">
        <v>122</v>
      </c>
      <c r="C62" s="7" t="s">
        <v>286</v>
      </c>
      <c r="D62" s="8" t="s">
        <v>284</v>
      </c>
      <c r="E62" s="8" t="s">
        <v>285</v>
      </c>
      <c r="F62" s="7">
        <v>40</v>
      </c>
    </row>
    <row r="63" spans="1:6" ht="38.25" x14ac:dyDescent="0.2">
      <c r="A63" s="7">
        <v>15</v>
      </c>
      <c r="B63" s="7" t="s">
        <v>123</v>
      </c>
      <c r="C63" s="7" t="s">
        <v>269</v>
      </c>
      <c r="D63" s="8" t="s">
        <v>287</v>
      </c>
      <c r="E63" s="8" t="s">
        <v>288</v>
      </c>
      <c r="F63" s="7">
        <v>41</v>
      </c>
    </row>
    <row r="64" spans="1:6" ht="38.25" x14ac:dyDescent="0.2">
      <c r="A64" s="7">
        <v>16</v>
      </c>
      <c r="B64" s="7" t="s">
        <v>125</v>
      </c>
      <c r="C64" s="7" t="s">
        <v>292</v>
      </c>
      <c r="D64" s="8" t="s">
        <v>290</v>
      </c>
      <c r="E64" s="8" t="s">
        <v>291</v>
      </c>
      <c r="F64" s="7">
        <v>39</v>
      </c>
    </row>
    <row r="65" spans="1:6" ht="51" x14ac:dyDescent="0.2">
      <c r="A65" s="7">
        <v>17</v>
      </c>
      <c r="B65" s="7" t="s">
        <v>127</v>
      </c>
      <c r="C65" s="7" t="s">
        <v>300</v>
      </c>
      <c r="D65" s="8" t="s">
        <v>293</v>
      </c>
      <c r="E65" s="7" t="s">
        <v>260</v>
      </c>
      <c r="F65" s="7" t="s">
        <v>260</v>
      </c>
    </row>
    <row r="66" spans="1:6" ht="38.25" x14ac:dyDescent="0.2">
      <c r="A66" s="7">
        <v>18</v>
      </c>
      <c r="B66" s="7" t="s">
        <v>129</v>
      </c>
      <c r="C66" s="7" t="s">
        <v>271</v>
      </c>
      <c r="D66" s="8" t="s">
        <v>295</v>
      </c>
      <c r="E66" s="8" t="s">
        <v>296</v>
      </c>
      <c r="F66" s="7">
        <v>42</v>
      </c>
    </row>
    <row r="67" spans="1:6" ht="51" x14ac:dyDescent="0.2">
      <c r="A67" s="7">
        <v>19</v>
      </c>
      <c r="B67" s="7" t="s">
        <v>131</v>
      </c>
      <c r="C67" s="7" t="s">
        <v>274</v>
      </c>
      <c r="D67" s="8" t="s">
        <v>298</v>
      </c>
      <c r="E67" s="8" t="s">
        <v>299</v>
      </c>
      <c r="F67" s="7">
        <v>61</v>
      </c>
    </row>
    <row r="68" spans="1:6" ht="25.5" x14ac:dyDescent="0.2">
      <c r="A68" s="7">
        <v>20</v>
      </c>
      <c r="B68" s="7" t="s">
        <v>132</v>
      </c>
      <c r="C68" s="7" t="s">
        <v>314</v>
      </c>
      <c r="D68" s="8" t="s">
        <v>301</v>
      </c>
      <c r="E68" s="7" t="s">
        <v>260</v>
      </c>
      <c r="F68" s="7" t="s">
        <v>260</v>
      </c>
    </row>
  </sheetData>
  <mergeCells count="3">
    <mergeCell ref="A1:E1"/>
    <mergeCell ref="A24:E24"/>
    <mergeCell ref="A47:E47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15979-D1F7-4CB2-8C4D-C1B2E24DAAA4}">
  <sheetPr>
    <tabColor rgb="FFFF0000"/>
  </sheetPr>
  <dimension ref="A1:F6"/>
  <sheetViews>
    <sheetView workbookViewId="0">
      <selection activeCell="D35" sqref="D35"/>
    </sheetView>
  </sheetViews>
  <sheetFormatPr defaultRowHeight="12.75" x14ac:dyDescent="0.2"/>
  <cols>
    <col min="1" max="1" width="16" bestFit="1" customWidth="1"/>
    <col min="2" max="2" width="25.28515625" bestFit="1" customWidth="1"/>
    <col min="3" max="3" width="21.140625" bestFit="1" customWidth="1"/>
    <col min="4" max="4" width="18.42578125" bestFit="1" customWidth="1"/>
    <col min="5" max="5" width="24.7109375" bestFit="1" customWidth="1"/>
    <col min="6" max="6" width="31.42578125" bestFit="1" customWidth="1"/>
  </cols>
  <sheetData>
    <row r="1" spans="1:6" ht="13.5" thickBot="1" x14ac:dyDescent="0.25">
      <c r="A1" s="44" t="s">
        <v>339</v>
      </c>
      <c r="B1" s="45"/>
      <c r="C1" s="45"/>
      <c r="D1" s="45"/>
      <c r="E1" s="45"/>
      <c r="F1" s="46"/>
    </row>
    <row r="2" spans="1:6" x14ac:dyDescent="0.2">
      <c r="A2" s="32" t="s">
        <v>324</v>
      </c>
      <c r="B2" t="s">
        <v>335</v>
      </c>
      <c r="C2" t="s">
        <v>329</v>
      </c>
      <c r="D2" t="s">
        <v>336</v>
      </c>
      <c r="E2" t="s">
        <v>337</v>
      </c>
      <c r="F2" t="s">
        <v>338</v>
      </c>
    </row>
    <row r="3" spans="1:6" x14ac:dyDescent="0.2">
      <c r="A3" s="33" t="s">
        <v>327</v>
      </c>
      <c r="B3" s="31">
        <v>20</v>
      </c>
      <c r="C3" s="31">
        <v>20</v>
      </c>
      <c r="D3" s="31">
        <v>20</v>
      </c>
      <c r="E3" s="31">
        <v>20</v>
      </c>
      <c r="F3" s="31">
        <v>20</v>
      </c>
    </row>
    <row r="4" spans="1:6" x14ac:dyDescent="0.2">
      <c r="A4" s="33" t="s">
        <v>325</v>
      </c>
      <c r="B4" s="31">
        <v>20</v>
      </c>
      <c r="C4" s="31">
        <v>20</v>
      </c>
      <c r="D4" s="31">
        <v>20</v>
      </c>
      <c r="E4" s="31">
        <v>20</v>
      </c>
      <c r="F4" s="31">
        <v>20</v>
      </c>
    </row>
    <row r="5" spans="1:6" x14ac:dyDescent="0.2">
      <c r="A5" s="33" t="s">
        <v>326</v>
      </c>
      <c r="B5" s="31">
        <v>20</v>
      </c>
      <c r="C5" s="31">
        <v>20</v>
      </c>
      <c r="D5" s="31">
        <v>20</v>
      </c>
      <c r="E5" s="31">
        <v>20</v>
      </c>
      <c r="F5" s="31">
        <v>20</v>
      </c>
    </row>
    <row r="6" spans="1:6" x14ac:dyDescent="0.2">
      <c r="A6" s="33" t="s">
        <v>320</v>
      </c>
      <c r="B6" s="31">
        <v>60</v>
      </c>
      <c r="C6" s="31">
        <v>60</v>
      </c>
      <c r="D6" s="31">
        <v>60</v>
      </c>
      <c r="E6" s="31">
        <v>60</v>
      </c>
      <c r="F6" s="31">
        <v>60</v>
      </c>
    </row>
  </sheetData>
  <mergeCells count="1">
    <mergeCell ref="A1:F1"/>
  </mergeCell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8"/>
  <sheetViews>
    <sheetView topLeftCell="A51" zoomScaleNormal="100" workbookViewId="0">
      <selection activeCell="A51" sqref="A1:XFD1048576"/>
    </sheetView>
  </sheetViews>
  <sheetFormatPr defaultColWidth="11.5703125" defaultRowHeight="12.75" x14ac:dyDescent="0.2"/>
  <cols>
    <col min="1" max="1" width="14.85546875" style="26" customWidth="1"/>
    <col min="2" max="2" width="31.5703125" style="26" customWidth="1"/>
    <col min="3" max="4" width="15.85546875" style="13" customWidth="1"/>
    <col min="5" max="5" width="21.85546875" style="13" customWidth="1"/>
    <col min="6" max="16384" width="11.5703125" style="13"/>
  </cols>
  <sheetData>
    <row r="1" spans="1:5" ht="22.15" customHeight="1" thickBot="1" x14ac:dyDescent="0.25">
      <c r="A1" s="10" t="s">
        <v>0</v>
      </c>
      <c r="B1" s="11"/>
      <c r="C1" s="11"/>
      <c r="D1" s="11"/>
      <c r="E1" s="12"/>
    </row>
    <row r="2" spans="1:5" ht="26.25" thickBot="1" x14ac:dyDescent="0.25">
      <c r="A2" s="14" t="s">
        <v>324</v>
      </c>
      <c r="B2" s="14" t="s">
        <v>1</v>
      </c>
      <c r="C2" s="14" t="s">
        <v>317</v>
      </c>
      <c r="D2" s="14" t="s">
        <v>318</v>
      </c>
      <c r="E2" s="14" t="s">
        <v>319</v>
      </c>
    </row>
    <row r="3" spans="1:5" ht="27" customHeight="1" thickBot="1" x14ac:dyDescent="0.25">
      <c r="A3" s="15" t="s">
        <v>325</v>
      </c>
      <c r="B3" s="16" t="s">
        <v>3</v>
      </c>
      <c r="C3" s="28">
        <v>450000</v>
      </c>
      <c r="D3" s="28">
        <v>500000</v>
      </c>
      <c r="E3" s="27">
        <f>C3/D3</f>
        <v>0.9</v>
      </c>
    </row>
    <row r="4" spans="1:5" ht="27" customHeight="1" thickBot="1" x14ac:dyDescent="0.25">
      <c r="A4" s="18" t="s">
        <v>325</v>
      </c>
      <c r="B4" s="19" t="s">
        <v>5</v>
      </c>
      <c r="C4" s="29">
        <v>600000</v>
      </c>
      <c r="D4" s="29">
        <v>750000</v>
      </c>
      <c r="E4" s="27">
        <f t="shared" ref="E4:E22" si="0">C4/D4</f>
        <v>0.8</v>
      </c>
    </row>
    <row r="5" spans="1:5" ht="27" customHeight="1" thickBot="1" x14ac:dyDescent="0.25">
      <c r="A5" s="18" t="s">
        <v>325</v>
      </c>
      <c r="B5" s="19" t="s">
        <v>7</v>
      </c>
      <c r="C5" s="29">
        <v>550000</v>
      </c>
      <c r="D5" s="29">
        <v>600000</v>
      </c>
      <c r="E5" s="27">
        <f t="shared" si="0"/>
        <v>0.91666666666666663</v>
      </c>
    </row>
    <row r="6" spans="1:5" ht="27" customHeight="1" thickBot="1" x14ac:dyDescent="0.25">
      <c r="A6" s="18" t="s">
        <v>325</v>
      </c>
      <c r="B6" s="19" t="s">
        <v>9</v>
      </c>
      <c r="C6" s="29">
        <v>700000</v>
      </c>
      <c r="D6" s="29">
        <v>900000</v>
      </c>
      <c r="E6" s="27">
        <f t="shared" si="0"/>
        <v>0.77777777777777779</v>
      </c>
    </row>
    <row r="7" spans="1:5" ht="27" customHeight="1" thickBot="1" x14ac:dyDescent="0.25">
      <c r="A7" s="18" t="s">
        <v>325</v>
      </c>
      <c r="B7" s="19" t="s">
        <v>11</v>
      </c>
      <c r="C7" s="29">
        <v>500000</v>
      </c>
      <c r="D7" s="29">
        <v>700000</v>
      </c>
      <c r="E7" s="27">
        <f t="shared" si="0"/>
        <v>0.7142857142857143</v>
      </c>
    </row>
    <row r="8" spans="1:5" ht="27" customHeight="1" thickBot="1" x14ac:dyDescent="0.25">
      <c r="A8" s="18" t="s">
        <v>325</v>
      </c>
      <c r="B8" s="19" t="s">
        <v>13</v>
      </c>
      <c r="C8" s="29">
        <v>650000</v>
      </c>
      <c r="D8" s="29">
        <v>850000</v>
      </c>
      <c r="E8" s="27">
        <f t="shared" si="0"/>
        <v>0.76470588235294112</v>
      </c>
    </row>
    <row r="9" spans="1:5" ht="27" customHeight="1" thickBot="1" x14ac:dyDescent="0.25">
      <c r="A9" s="18" t="s">
        <v>325</v>
      </c>
      <c r="B9" s="19" t="s">
        <v>15</v>
      </c>
      <c r="C9" s="29">
        <v>800000</v>
      </c>
      <c r="D9" s="29">
        <v>1200000</v>
      </c>
      <c r="E9" s="27">
        <f t="shared" si="0"/>
        <v>0.66666666666666663</v>
      </c>
    </row>
    <row r="10" spans="1:5" ht="27" customHeight="1" thickBot="1" x14ac:dyDescent="0.25">
      <c r="A10" s="18" t="s">
        <v>325</v>
      </c>
      <c r="B10" s="19" t="s">
        <v>17</v>
      </c>
      <c r="C10" s="29">
        <v>400000</v>
      </c>
      <c r="D10" s="29">
        <v>550000</v>
      </c>
      <c r="E10" s="27">
        <f t="shared" si="0"/>
        <v>0.72727272727272729</v>
      </c>
    </row>
    <row r="11" spans="1:5" ht="27" customHeight="1" thickBot="1" x14ac:dyDescent="0.25">
      <c r="A11" s="18" t="s">
        <v>325</v>
      </c>
      <c r="B11" s="19" t="s">
        <v>19</v>
      </c>
      <c r="C11" s="29">
        <v>700000</v>
      </c>
      <c r="D11" s="29">
        <v>1000000</v>
      </c>
      <c r="E11" s="27">
        <f t="shared" si="0"/>
        <v>0.7</v>
      </c>
    </row>
    <row r="12" spans="1:5" ht="27" customHeight="1" thickBot="1" x14ac:dyDescent="0.25">
      <c r="A12" s="18" t="s">
        <v>325</v>
      </c>
      <c r="B12" s="19" t="s">
        <v>21</v>
      </c>
      <c r="C12" s="29">
        <v>750000</v>
      </c>
      <c r="D12" s="29">
        <v>1100000</v>
      </c>
      <c r="E12" s="27">
        <f t="shared" si="0"/>
        <v>0.68181818181818177</v>
      </c>
    </row>
    <row r="13" spans="1:5" ht="27" customHeight="1" thickBot="1" x14ac:dyDescent="0.25">
      <c r="A13" s="18" t="s">
        <v>325</v>
      </c>
      <c r="B13" s="19" t="s">
        <v>23</v>
      </c>
      <c r="C13" s="29">
        <v>480000</v>
      </c>
      <c r="D13" s="29">
        <v>650000</v>
      </c>
      <c r="E13" s="27">
        <f t="shared" si="0"/>
        <v>0.7384615384615385</v>
      </c>
    </row>
    <row r="14" spans="1:5" ht="27" customHeight="1" thickBot="1" x14ac:dyDescent="0.25">
      <c r="A14" s="18" t="s">
        <v>325</v>
      </c>
      <c r="B14" s="19" t="s">
        <v>25</v>
      </c>
      <c r="C14" s="29">
        <v>600000</v>
      </c>
      <c r="D14" s="29">
        <v>800000</v>
      </c>
      <c r="E14" s="27">
        <f t="shared" si="0"/>
        <v>0.75</v>
      </c>
    </row>
    <row r="15" spans="1:5" ht="27" customHeight="1" thickBot="1" x14ac:dyDescent="0.25">
      <c r="A15" s="18" t="s">
        <v>325</v>
      </c>
      <c r="B15" s="19" t="s">
        <v>27</v>
      </c>
      <c r="C15" s="29">
        <v>550000</v>
      </c>
      <c r="D15" s="29">
        <v>750000</v>
      </c>
      <c r="E15" s="27">
        <f t="shared" si="0"/>
        <v>0.73333333333333328</v>
      </c>
    </row>
    <row r="16" spans="1:5" ht="27" customHeight="1" thickBot="1" x14ac:dyDescent="0.25">
      <c r="A16" s="18" t="s">
        <v>325</v>
      </c>
      <c r="B16" s="19" t="s">
        <v>29</v>
      </c>
      <c r="C16" s="29">
        <v>700000</v>
      </c>
      <c r="D16" s="29">
        <v>900000</v>
      </c>
      <c r="E16" s="27">
        <f t="shared" si="0"/>
        <v>0.77777777777777779</v>
      </c>
    </row>
    <row r="17" spans="1:5" ht="27" customHeight="1" thickBot="1" x14ac:dyDescent="0.25">
      <c r="A17" s="18" t="s">
        <v>325</v>
      </c>
      <c r="B17" s="19" t="s">
        <v>31</v>
      </c>
      <c r="C17" s="29">
        <v>900000</v>
      </c>
      <c r="D17" s="29">
        <v>1300000</v>
      </c>
      <c r="E17" s="27">
        <f t="shared" si="0"/>
        <v>0.69230769230769229</v>
      </c>
    </row>
    <row r="18" spans="1:5" ht="27" customHeight="1" thickBot="1" x14ac:dyDescent="0.25">
      <c r="A18" s="18" t="s">
        <v>325</v>
      </c>
      <c r="B18" s="19" t="s">
        <v>33</v>
      </c>
      <c r="C18" s="29">
        <v>650000</v>
      </c>
      <c r="D18" s="29">
        <v>850000</v>
      </c>
      <c r="E18" s="27">
        <f t="shared" si="0"/>
        <v>0.76470588235294112</v>
      </c>
    </row>
    <row r="19" spans="1:5" ht="27" customHeight="1" thickBot="1" x14ac:dyDescent="0.25">
      <c r="A19" s="18" t="s">
        <v>325</v>
      </c>
      <c r="B19" s="19" t="s">
        <v>35</v>
      </c>
      <c r="C19" s="29">
        <v>500000</v>
      </c>
      <c r="D19" s="29">
        <v>700000</v>
      </c>
      <c r="E19" s="27">
        <f t="shared" si="0"/>
        <v>0.7142857142857143</v>
      </c>
    </row>
    <row r="20" spans="1:5" ht="27" customHeight="1" thickBot="1" x14ac:dyDescent="0.25">
      <c r="A20" s="18" t="s">
        <v>325</v>
      </c>
      <c r="B20" s="19" t="s">
        <v>37</v>
      </c>
      <c r="C20" s="29">
        <v>800000</v>
      </c>
      <c r="D20" s="29">
        <v>950000</v>
      </c>
      <c r="E20" s="27">
        <f t="shared" si="0"/>
        <v>0.84210526315789469</v>
      </c>
    </row>
    <row r="21" spans="1:5" ht="27" customHeight="1" thickBot="1" x14ac:dyDescent="0.25">
      <c r="A21" s="18" t="s">
        <v>325</v>
      </c>
      <c r="B21" s="19" t="s">
        <v>39</v>
      </c>
      <c r="C21" s="29">
        <v>700000</v>
      </c>
      <c r="D21" s="29">
        <v>1000000</v>
      </c>
      <c r="E21" s="27">
        <f t="shared" si="0"/>
        <v>0.7</v>
      </c>
    </row>
    <row r="22" spans="1:5" ht="27.75" customHeight="1" thickBot="1" x14ac:dyDescent="0.25">
      <c r="A22" s="18" t="s">
        <v>325</v>
      </c>
      <c r="B22" s="22" t="s">
        <v>41</v>
      </c>
      <c r="C22" s="30">
        <v>850000</v>
      </c>
      <c r="D22" s="30">
        <v>1150000</v>
      </c>
      <c r="E22" s="27">
        <f t="shared" si="0"/>
        <v>0.73913043478260865</v>
      </c>
    </row>
    <row r="23" spans="1:5" ht="27.75" customHeight="1" thickBot="1" x14ac:dyDescent="0.25">
      <c r="A23" s="24"/>
      <c r="B23" s="24"/>
      <c r="C23" s="25"/>
      <c r="D23" s="25"/>
      <c r="E23" s="25"/>
    </row>
    <row r="24" spans="1:5" ht="27.75" customHeight="1" thickBot="1" x14ac:dyDescent="0.25">
      <c r="A24" s="37" t="s">
        <v>53</v>
      </c>
      <c r="B24" s="38"/>
      <c r="C24" s="38"/>
      <c r="D24" s="38"/>
      <c r="E24" s="39"/>
    </row>
    <row r="25" spans="1:5" ht="27.75" customHeight="1" thickBot="1" x14ac:dyDescent="0.25">
      <c r="A25" s="14" t="s">
        <v>324</v>
      </c>
      <c r="B25" s="14" t="s">
        <v>1</v>
      </c>
      <c r="C25" s="14" t="s">
        <v>317</v>
      </c>
      <c r="D25" s="14" t="s">
        <v>318</v>
      </c>
      <c r="E25" s="14" t="s">
        <v>319</v>
      </c>
    </row>
    <row r="26" spans="1:5" ht="27.75" customHeight="1" thickBot="1" x14ac:dyDescent="0.25">
      <c r="A26" s="15" t="s">
        <v>326</v>
      </c>
      <c r="B26" s="16" t="s">
        <v>54</v>
      </c>
      <c r="C26" s="17">
        <v>400000</v>
      </c>
      <c r="D26" s="17">
        <v>450000</v>
      </c>
      <c r="E26" s="27">
        <f t="shared" ref="E26:E45" si="1">C26/D26</f>
        <v>0.88888888888888884</v>
      </c>
    </row>
    <row r="27" spans="1:5" ht="27.75" customHeight="1" thickBot="1" x14ac:dyDescent="0.25">
      <c r="A27" s="15" t="s">
        <v>326</v>
      </c>
      <c r="B27" s="19" t="s">
        <v>56</v>
      </c>
      <c r="C27" s="20">
        <v>550000</v>
      </c>
      <c r="D27" s="20">
        <v>700000</v>
      </c>
      <c r="E27" s="35">
        <f t="shared" si="1"/>
        <v>0.7857142857142857</v>
      </c>
    </row>
    <row r="28" spans="1:5" ht="27.75" customHeight="1" thickBot="1" x14ac:dyDescent="0.25">
      <c r="A28" s="15" t="s">
        <v>326</v>
      </c>
      <c r="B28" s="19" t="s">
        <v>58</v>
      </c>
      <c r="C28" s="20">
        <v>500000</v>
      </c>
      <c r="D28" s="20">
        <v>600000</v>
      </c>
      <c r="E28" s="35">
        <f t="shared" si="1"/>
        <v>0.83333333333333337</v>
      </c>
    </row>
    <row r="29" spans="1:5" ht="27.75" customHeight="1" thickBot="1" x14ac:dyDescent="0.25">
      <c r="A29" s="15" t="s">
        <v>326</v>
      </c>
      <c r="B29" s="19" t="s">
        <v>60</v>
      </c>
      <c r="C29" s="20">
        <v>650000</v>
      </c>
      <c r="D29" s="20">
        <v>800000</v>
      </c>
      <c r="E29" s="35">
        <f t="shared" si="1"/>
        <v>0.8125</v>
      </c>
    </row>
    <row r="30" spans="1:5" ht="27.75" customHeight="1" thickBot="1" x14ac:dyDescent="0.25">
      <c r="A30" s="15" t="s">
        <v>326</v>
      </c>
      <c r="B30" s="19" t="s">
        <v>62</v>
      </c>
      <c r="C30" s="20">
        <v>350000</v>
      </c>
      <c r="D30" s="20">
        <v>550000</v>
      </c>
      <c r="E30" s="35">
        <f t="shared" si="1"/>
        <v>0.63636363636363635</v>
      </c>
    </row>
    <row r="31" spans="1:5" ht="27.75" customHeight="1" thickBot="1" x14ac:dyDescent="0.25">
      <c r="A31" s="15" t="s">
        <v>326</v>
      </c>
      <c r="B31" s="19" t="s">
        <v>64</v>
      </c>
      <c r="C31" s="20">
        <v>700000</v>
      </c>
      <c r="D31" s="20">
        <v>950000</v>
      </c>
      <c r="E31" s="35">
        <f t="shared" si="1"/>
        <v>0.73684210526315785</v>
      </c>
    </row>
    <row r="32" spans="1:5" ht="27.75" customHeight="1" thickBot="1" x14ac:dyDescent="0.25">
      <c r="A32" s="15" t="s">
        <v>326</v>
      </c>
      <c r="B32" s="19" t="s">
        <v>66</v>
      </c>
      <c r="C32" s="20">
        <v>800000</v>
      </c>
      <c r="D32" s="20">
        <v>1100000</v>
      </c>
      <c r="E32" s="35">
        <f t="shared" si="1"/>
        <v>0.72727272727272729</v>
      </c>
    </row>
    <row r="33" spans="1:5" ht="27.75" customHeight="1" thickBot="1" x14ac:dyDescent="0.25">
      <c r="A33" s="15" t="s">
        <v>326</v>
      </c>
      <c r="B33" s="19" t="s">
        <v>68</v>
      </c>
      <c r="C33" s="20">
        <v>450000</v>
      </c>
      <c r="D33" s="20">
        <v>500000</v>
      </c>
      <c r="E33" s="35">
        <f t="shared" si="1"/>
        <v>0.9</v>
      </c>
    </row>
    <row r="34" spans="1:5" ht="27.75" customHeight="1" thickBot="1" x14ac:dyDescent="0.25">
      <c r="A34" s="15" t="s">
        <v>326</v>
      </c>
      <c r="B34" s="19" t="s">
        <v>70</v>
      </c>
      <c r="C34" s="20">
        <v>600000</v>
      </c>
      <c r="D34" s="20">
        <v>850000</v>
      </c>
      <c r="E34" s="35">
        <f t="shared" si="1"/>
        <v>0.70588235294117652</v>
      </c>
    </row>
    <row r="35" spans="1:5" ht="27.75" customHeight="1" thickBot="1" x14ac:dyDescent="0.25">
      <c r="A35" s="15" t="s">
        <v>326</v>
      </c>
      <c r="B35" s="19" t="s">
        <v>72</v>
      </c>
      <c r="C35" s="20">
        <v>550000</v>
      </c>
      <c r="D35" s="20">
        <v>750000</v>
      </c>
      <c r="E35" s="35">
        <f t="shared" si="1"/>
        <v>0.73333333333333328</v>
      </c>
    </row>
    <row r="36" spans="1:5" ht="27.75" customHeight="1" thickBot="1" x14ac:dyDescent="0.25">
      <c r="A36" s="15" t="s">
        <v>326</v>
      </c>
      <c r="B36" s="19" t="s">
        <v>74</v>
      </c>
      <c r="C36" s="20">
        <v>500000</v>
      </c>
      <c r="D36" s="20">
        <v>700000</v>
      </c>
      <c r="E36" s="35">
        <f t="shared" si="1"/>
        <v>0.7142857142857143</v>
      </c>
    </row>
    <row r="37" spans="1:5" ht="27.75" customHeight="1" thickBot="1" x14ac:dyDescent="0.25">
      <c r="A37" s="15" t="s">
        <v>326</v>
      </c>
      <c r="B37" s="19" t="s">
        <v>76</v>
      </c>
      <c r="C37" s="20">
        <v>700000</v>
      </c>
      <c r="D37" s="20">
        <v>900000</v>
      </c>
      <c r="E37" s="35">
        <f t="shared" si="1"/>
        <v>0.77777777777777779</v>
      </c>
    </row>
    <row r="38" spans="1:5" ht="27.75" customHeight="1" thickBot="1" x14ac:dyDescent="0.25">
      <c r="A38" s="15" t="s">
        <v>326</v>
      </c>
      <c r="B38" s="19" t="s">
        <v>78</v>
      </c>
      <c r="C38" s="20">
        <v>400000</v>
      </c>
      <c r="D38" s="20">
        <v>600000</v>
      </c>
      <c r="E38" s="35">
        <f t="shared" si="1"/>
        <v>0.66666666666666663</v>
      </c>
    </row>
    <row r="39" spans="1:5" ht="27.75" customHeight="1" thickBot="1" x14ac:dyDescent="0.25">
      <c r="A39" s="15" t="s">
        <v>326</v>
      </c>
      <c r="B39" s="19" t="s">
        <v>79</v>
      </c>
      <c r="C39" s="20">
        <v>900000</v>
      </c>
      <c r="D39" s="20">
        <v>1200000</v>
      </c>
      <c r="E39" s="35">
        <f t="shared" si="1"/>
        <v>0.75</v>
      </c>
    </row>
    <row r="40" spans="1:5" ht="27.75" customHeight="1" thickBot="1" x14ac:dyDescent="0.25">
      <c r="A40" s="15" t="s">
        <v>326</v>
      </c>
      <c r="B40" s="19" t="s">
        <v>81</v>
      </c>
      <c r="C40" s="20">
        <v>600000</v>
      </c>
      <c r="D40" s="20">
        <v>750000</v>
      </c>
      <c r="E40" s="35">
        <f t="shared" si="1"/>
        <v>0.8</v>
      </c>
    </row>
    <row r="41" spans="1:5" ht="27.75" customHeight="1" thickBot="1" x14ac:dyDescent="0.25">
      <c r="A41" s="15" t="s">
        <v>326</v>
      </c>
      <c r="B41" s="19" t="s">
        <v>83</v>
      </c>
      <c r="C41" s="20">
        <v>700000</v>
      </c>
      <c r="D41" s="20">
        <v>850000</v>
      </c>
      <c r="E41" s="35">
        <f t="shared" si="1"/>
        <v>0.82352941176470584</v>
      </c>
    </row>
    <row r="42" spans="1:5" ht="27.75" customHeight="1" thickBot="1" x14ac:dyDescent="0.25">
      <c r="A42" s="15" t="s">
        <v>326</v>
      </c>
      <c r="B42" s="19" t="s">
        <v>85</v>
      </c>
      <c r="C42" s="20">
        <v>450000</v>
      </c>
      <c r="D42" s="20">
        <v>700000</v>
      </c>
      <c r="E42" s="35">
        <f t="shared" si="1"/>
        <v>0.6428571428571429</v>
      </c>
    </row>
    <row r="43" spans="1:5" ht="27.75" customHeight="1" thickBot="1" x14ac:dyDescent="0.25">
      <c r="A43" s="15" t="s">
        <v>326</v>
      </c>
      <c r="B43" s="19" t="s">
        <v>87</v>
      </c>
      <c r="C43" s="20">
        <v>850000</v>
      </c>
      <c r="D43" s="20">
        <v>1000000</v>
      </c>
      <c r="E43" s="35">
        <f t="shared" si="1"/>
        <v>0.85</v>
      </c>
    </row>
    <row r="44" spans="1:5" ht="27.75" customHeight="1" thickBot="1" x14ac:dyDescent="0.25">
      <c r="A44" s="15" t="s">
        <v>326</v>
      </c>
      <c r="B44" s="19" t="s">
        <v>89</v>
      </c>
      <c r="C44" s="20">
        <v>600000</v>
      </c>
      <c r="D44" s="20">
        <v>850000</v>
      </c>
      <c r="E44" s="35">
        <f t="shared" si="1"/>
        <v>0.70588235294117652</v>
      </c>
    </row>
    <row r="45" spans="1:5" ht="27.75" customHeight="1" thickBot="1" x14ac:dyDescent="0.25">
      <c r="A45" s="15" t="s">
        <v>326</v>
      </c>
      <c r="B45" s="22" t="s">
        <v>91</v>
      </c>
      <c r="C45" s="23">
        <v>750000</v>
      </c>
      <c r="D45" s="23">
        <v>950000</v>
      </c>
      <c r="E45" s="36">
        <f t="shared" si="1"/>
        <v>0.78947368421052633</v>
      </c>
    </row>
    <row r="46" spans="1:5" ht="27.75" customHeight="1" thickBot="1" x14ac:dyDescent="0.25">
      <c r="A46" s="24"/>
      <c r="B46" s="24"/>
      <c r="C46" s="25"/>
      <c r="D46" s="25"/>
      <c r="E46" s="25"/>
    </row>
    <row r="47" spans="1:5" ht="27.75" customHeight="1" thickBot="1" x14ac:dyDescent="0.25">
      <c r="A47" s="40" t="s">
        <v>99</v>
      </c>
      <c r="B47" s="41"/>
      <c r="C47" s="41"/>
      <c r="D47" s="41"/>
      <c r="E47" s="42"/>
    </row>
    <row r="48" spans="1:5" ht="27.75" customHeight="1" thickBot="1" x14ac:dyDescent="0.25">
      <c r="A48" s="14" t="s">
        <v>324</v>
      </c>
      <c r="B48" s="14" t="s">
        <v>1</v>
      </c>
      <c r="C48" s="14" t="s">
        <v>317</v>
      </c>
      <c r="D48" s="14" t="s">
        <v>318</v>
      </c>
      <c r="E48" s="14" t="s">
        <v>319</v>
      </c>
    </row>
    <row r="49" spans="1:5" ht="27.75" customHeight="1" thickBot="1" x14ac:dyDescent="0.25">
      <c r="A49" s="15" t="s">
        <v>327</v>
      </c>
      <c r="B49" s="16" t="s">
        <v>100</v>
      </c>
      <c r="C49" s="17">
        <v>350000</v>
      </c>
      <c r="D49" s="17">
        <v>400000</v>
      </c>
      <c r="E49" s="27">
        <f t="shared" ref="E49:E68" si="2">C49/D49</f>
        <v>0.875</v>
      </c>
    </row>
    <row r="50" spans="1:5" ht="27.75" customHeight="1" thickBot="1" x14ac:dyDescent="0.25">
      <c r="A50" s="15" t="s">
        <v>327</v>
      </c>
      <c r="B50" s="19" t="s">
        <v>102</v>
      </c>
      <c r="C50" s="20">
        <v>500000</v>
      </c>
      <c r="D50" s="20">
        <v>650000</v>
      </c>
      <c r="E50" s="35">
        <f t="shared" si="2"/>
        <v>0.76923076923076927</v>
      </c>
    </row>
    <row r="51" spans="1:5" ht="27.75" customHeight="1" thickBot="1" x14ac:dyDescent="0.25">
      <c r="A51" s="15" t="s">
        <v>327</v>
      </c>
      <c r="B51" s="19" t="s">
        <v>103</v>
      </c>
      <c r="C51" s="20">
        <v>450000</v>
      </c>
      <c r="D51" s="20">
        <v>550000</v>
      </c>
      <c r="E51" s="35">
        <f t="shared" si="2"/>
        <v>0.81818181818181823</v>
      </c>
    </row>
    <row r="52" spans="1:5" ht="27.75" customHeight="1" thickBot="1" x14ac:dyDescent="0.25">
      <c r="A52" s="15" t="s">
        <v>327</v>
      </c>
      <c r="B52" s="19" t="s">
        <v>105</v>
      </c>
      <c r="C52" s="20">
        <v>550000</v>
      </c>
      <c r="D52" s="20">
        <v>700000</v>
      </c>
      <c r="E52" s="35">
        <f t="shared" si="2"/>
        <v>0.7857142857142857</v>
      </c>
    </row>
    <row r="53" spans="1:5" ht="27.75" customHeight="1" thickBot="1" x14ac:dyDescent="0.25">
      <c r="A53" s="15" t="s">
        <v>327</v>
      </c>
      <c r="B53" s="19" t="s">
        <v>107</v>
      </c>
      <c r="C53" s="20">
        <v>700000</v>
      </c>
      <c r="D53" s="20">
        <v>850000</v>
      </c>
      <c r="E53" s="35">
        <f t="shared" si="2"/>
        <v>0.82352941176470584</v>
      </c>
    </row>
    <row r="54" spans="1:5" ht="27.75" customHeight="1" thickBot="1" x14ac:dyDescent="0.25">
      <c r="A54" s="15" t="s">
        <v>327</v>
      </c>
      <c r="B54" s="19" t="s">
        <v>109</v>
      </c>
      <c r="C54" s="20">
        <v>400000</v>
      </c>
      <c r="D54" s="20">
        <v>600000</v>
      </c>
      <c r="E54" s="35">
        <f t="shared" si="2"/>
        <v>0.66666666666666663</v>
      </c>
    </row>
    <row r="55" spans="1:5" ht="27.75" customHeight="1" thickBot="1" x14ac:dyDescent="0.25">
      <c r="A55" s="15" t="s">
        <v>327</v>
      </c>
      <c r="B55" s="19" t="s">
        <v>111</v>
      </c>
      <c r="C55" s="20">
        <v>600000</v>
      </c>
      <c r="D55" s="20">
        <v>750000</v>
      </c>
      <c r="E55" s="35">
        <f t="shared" si="2"/>
        <v>0.8</v>
      </c>
    </row>
    <row r="56" spans="1:5" ht="27.75" customHeight="1" thickBot="1" x14ac:dyDescent="0.25">
      <c r="A56" s="15" t="s">
        <v>327</v>
      </c>
      <c r="B56" s="19" t="s">
        <v>113</v>
      </c>
      <c r="C56" s="20">
        <v>700000</v>
      </c>
      <c r="D56" s="20">
        <v>900000</v>
      </c>
      <c r="E56" s="35">
        <f t="shared" si="2"/>
        <v>0.77777777777777779</v>
      </c>
    </row>
    <row r="57" spans="1:5" ht="27.75" customHeight="1" thickBot="1" x14ac:dyDescent="0.25">
      <c r="A57" s="15" t="s">
        <v>327</v>
      </c>
      <c r="B57" s="19" t="s">
        <v>115</v>
      </c>
      <c r="C57" s="20">
        <v>550000</v>
      </c>
      <c r="D57" s="20">
        <v>700000</v>
      </c>
      <c r="E57" s="35">
        <f t="shared" si="2"/>
        <v>0.7857142857142857</v>
      </c>
    </row>
    <row r="58" spans="1:5" ht="27.75" customHeight="1" thickBot="1" x14ac:dyDescent="0.25">
      <c r="A58" s="15" t="s">
        <v>327</v>
      </c>
      <c r="B58" s="19" t="s">
        <v>116</v>
      </c>
      <c r="C58" s="20">
        <v>800000</v>
      </c>
      <c r="D58" s="20">
        <v>950000</v>
      </c>
      <c r="E58" s="35">
        <f t="shared" si="2"/>
        <v>0.84210526315789469</v>
      </c>
    </row>
    <row r="59" spans="1:5" ht="27.75" customHeight="1" thickBot="1" x14ac:dyDescent="0.25">
      <c r="A59" s="15" t="s">
        <v>327</v>
      </c>
      <c r="B59" s="19" t="s">
        <v>118</v>
      </c>
      <c r="C59" s="20">
        <v>650000</v>
      </c>
      <c r="D59" s="20">
        <v>800000</v>
      </c>
      <c r="E59" s="35">
        <f t="shared" si="2"/>
        <v>0.8125</v>
      </c>
    </row>
    <row r="60" spans="1:5" ht="27.75" customHeight="1" thickBot="1" x14ac:dyDescent="0.25">
      <c r="A60" s="15" t="s">
        <v>327</v>
      </c>
      <c r="B60" s="19" t="s">
        <v>119</v>
      </c>
      <c r="C60" s="20">
        <v>450000</v>
      </c>
      <c r="D60" s="20">
        <v>650000</v>
      </c>
      <c r="E60" s="35">
        <f t="shared" si="2"/>
        <v>0.69230769230769229</v>
      </c>
    </row>
    <row r="61" spans="1:5" ht="27.75" customHeight="1" thickBot="1" x14ac:dyDescent="0.25">
      <c r="A61" s="15" t="s">
        <v>327</v>
      </c>
      <c r="B61" s="19" t="s">
        <v>120</v>
      </c>
      <c r="C61" s="20">
        <v>600000</v>
      </c>
      <c r="D61" s="20">
        <v>750000</v>
      </c>
      <c r="E61" s="35">
        <f t="shared" si="2"/>
        <v>0.8</v>
      </c>
    </row>
    <row r="62" spans="1:5" ht="27.75" customHeight="1" thickBot="1" x14ac:dyDescent="0.25">
      <c r="A62" s="15" t="s">
        <v>327</v>
      </c>
      <c r="B62" s="19" t="s">
        <v>122</v>
      </c>
      <c r="C62" s="20">
        <v>550000</v>
      </c>
      <c r="D62" s="20">
        <v>700000</v>
      </c>
      <c r="E62" s="35">
        <f t="shared" si="2"/>
        <v>0.7857142857142857</v>
      </c>
    </row>
    <row r="63" spans="1:5" ht="27.75" customHeight="1" thickBot="1" x14ac:dyDescent="0.25">
      <c r="A63" s="15" t="s">
        <v>327</v>
      </c>
      <c r="B63" s="19" t="s">
        <v>123</v>
      </c>
      <c r="C63" s="20">
        <v>800000</v>
      </c>
      <c r="D63" s="20">
        <v>900000</v>
      </c>
      <c r="E63" s="35">
        <f t="shared" si="2"/>
        <v>0.88888888888888884</v>
      </c>
    </row>
    <row r="64" spans="1:5" ht="27.75" customHeight="1" thickBot="1" x14ac:dyDescent="0.25">
      <c r="A64" s="15" t="s">
        <v>327</v>
      </c>
      <c r="B64" s="19" t="s">
        <v>125</v>
      </c>
      <c r="C64" s="20">
        <v>1000000</v>
      </c>
      <c r="D64" s="20">
        <v>1100000</v>
      </c>
      <c r="E64" s="35">
        <f t="shared" si="2"/>
        <v>0.90909090909090906</v>
      </c>
    </row>
    <row r="65" spans="1:5" ht="27.75" customHeight="1" thickBot="1" x14ac:dyDescent="0.25">
      <c r="A65" s="15" t="s">
        <v>327</v>
      </c>
      <c r="B65" s="19" t="s">
        <v>127</v>
      </c>
      <c r="C65" s="20">
        <v>750000</v>
      </c>
      <c r="D65" s="20">
        <v>850000</v>
      </c>
      <c r="E65" s="35">
        <f t="shared" si="2"/>
        <v>0.88235294117647056</v>
      </c>
    </row>
    <row r="66" spans="1:5" ht="27.75" customHeight="1" thickBot="1" x14ac:dyDescent="0.25">
      <c r="A66" s="15" t="s">
        <v>327</v>
      </c>
      <c r="B66" s="19" t="s">
        <v>129</v>
      </c>
      <c r="C66" s="20">
        <v>850000</v>
      </c>
      <c r="D66" s="20">
        <v>950000</v>
      </c>
      <c r="E66" s="35">
        <f t="shared" si="2"/>
        <v>0.89473684210526316</v>
      </c>
    </row>
    <row r="67" spans="1:5" ht="27.75" customHeight="1" thickBot="1" x14ac:dyDescent="0.25">
      <c r="A67" s="15" t="s">
        <v>327</v>
      </c>
      <c r="B67" s="19" t="s">
        <v>131</v>
      </c>
      <c r="C67" s="20">
        <v>700000</v>
      </c>
      <c r="D67" s="20">
        <v>800000</v>
      </c>
      <c r="E67" s="35">
        <f t="shared" si="2"/>
        <v>0.875</v>
      </c>
    </row>
    <row r="68" spans="1:5" ht="27.75" customHeight="1" thickBot="1" x14ac:dyDescent="0.25">
      <c r="A68" s="15" t="s">
        <v>327</v>
      </c>
      <c r="B68" s="22" t="s">
        <v>132</v>
      </c>
      <c r="C68" s="23">
        <v>500000</v>
      </c>
      <c r="D68" s="23">
        <v>700000</v>
      </c>
      <c r="E68" s="36">
        <f t="shared" si="2"/>
        <v>0.7142857142857143</v>
      </c>
    </row>
  </sheetData>
  <mergeCells count="3">
    <mergeCell ref="A1:E1"/>
    <mergeCell ref="A24:E24"/>
    <mergeCell ref="A47:E47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20528-1D0D-45DA-84C0-8C7810104A75}">
  <sheetPr>
    <tabColor rgb="FFFF0000"/>
  </sheetPr>
  <dimension ref="A1:F6"/>
  <sheetViews>
    <sheetView workbookViewId="0">
      <selection activeCell="A3" sqref="A3"/>
    </sheetView>
  </sheetViews>
  <sheetFormatPr defaultRowHeight="12.75" x14ac:dyDescent="0.2"/>
  <cols>
    <col min="1" max="1" width="16.42578125" style="50" bestFit="1" customWidth="1"/>
    <col min="2" max="2" width="21.140625" style="50" bestFit="1" customWidth="1"/>
    <col min="3" max="3" width="23" style="50" bestFit="1" customWidth="1"/>
    <col min="4" max="4" width="22" style="50" bestFit="1" customWidth="1"/>
    <col min="5" max="5" width="27.85546875" style="50" bestFit="1" customWidth="1"/>
    <col min="6" max="6" width="27.140625" style="50" bestFit="1" customWidth="1"/>
    <col min="7" max="16384" width="9.140625" style="50"/>
  </cols>
  <sheetData>
    <row r="1" spans="1:6" ht="13.5" thickBot="1" x14ac:dyDescent="0.25">
      <c r="A1" s="47" t="s">
        <v>333</v>
      </c>
      <c r="B1" s="48"/>
      <c r="C1" s="48"/>
      <c r="D1" s="48"/>
      <c r="E1" s="48"/>
      <c r="F1" s="49"/>
    </row>
    <row r="2" spans="1:6" x14ac:dyDescent="0.2">
      <c r="A2" s="51" t="s">
        <v>324</v>
      </c>
      <c r="B2" s="50" t="s">
        <v>329</v>
      </c>
      <c r="C2" s="50" t="s">
        <v>321</v>
      </c>
      <c r="D2" s="50" t="s">
        <v>322</v>
      </c>
      <c r="E2" s="50" t="s">
        <v>323</v>
      </c>
      <c r="F2" s="50" t="s">
        <v>332</v>
      </c>
    </row>
    <row r="3" spans="1:6" x14ac:dyDescent="0.2">
      <c r="A3" s="52" t="s">
        <v>327</v>
      </c>
      <c r="B3" s="53">
        <v>20</v>
      </c>
      <c r="C3" s="54">
        <v>12450000</v>
      </c>
      <c r="D3" s="54">
        <v>15250000</v>
      </c>
      <c r="E3" s="55">
        <v>16.198797551777428</v>
      </c>
      <c r="F3" s="54">
        <v>3.8012024482225715</v>
      </c>
    </row>
    <row r="4" spans="1:6" x14ac:dyDescent="0.2">
      <c r="A4" s="52" t="s">
        <v>325</v>
      </c>
      <c r="B4" s="53">
        <v>20</v>
      </c>
      <c r="C4" s="54">
        <v>12830000</v>
      </c>
      <c r="D4" s="54">
        <v>17200000</v>
      </c>
      <c r="E4" s="55">
        <v>15.101301253300175</v>
      </c>
      <c r="F4" s="54">
        <v>4.8986987466998233</v>
      </c>
    </row>
    <row r="5" spans="1:6" x14ac:dyDescent="0.2">
      <c r="A5" s="52" t="s">
        <v>326</v>
      </c>
      <c r="B5" s="53">
        <v>20</v>
      </c>
      <c r="C5" s="54">
        <v>12000000</v>
      </c>
      <c r="D5" s="54">
        <v>15750000</v>
      </c>
      <c r="E5" s="55">
        <v>15.28060341361425</v>
      </c>
      <c r="F5" s="54">
        <v>4.7193965863857503</v>
      </c>
    </row>
    <row r="6" spans="1:6" x14ac:dyDescent="0.2">
      <c r="A6" s="52" t="s">
        <v>320</v>
      </c>
      <c r="B6" s="53">
        <v>60</v>
      </c>
      <c r="C6" s="54">
        <v>37280000</v>
      </c>
      <c r="D6" s="54">
        <v>48200000</v>
      </c>
      <c r="E6" s="55">
        <v>46.58070221869184</v>
      </c>
      <c r="F6" s="54">
        <v>13.41929778130814</v>
      </c>
    </row>
  </sheetData>
  <mergeCells count="1">
    <mergeCell ref="A1:F1"/>
  </mergeCells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2461F-491D-4949-94CC-83B2E10E3229}">
  <dimension ref="A1:BD390"/>
  <sheetViews>
    <sheetView topLeftCell="AK1" workbookViewId="0">
      <pane ySplit="2" topLeftCell="A316" activePane="bottomLeft" state="frozen"/>
      <selection activeCell="Z1" sqref="Z1"/>
      <selection pane="bottomLeft" activeCell="AS8" sqref="AS8"/>
    </sheetView>
  </sheetViews>
  <sheetFormatPr defaultColWidth="11.5703125" defaultRowHeight="12.75" x14ac:dyDescent="0.2"/>
  <cols>
    <col min="1" max="1" width="14.85546875" style="26" customWidth="1"/>
    <col min="2" max="2" width="31.5703125" style="26" customWidth="1"/>
    <col min="3" max="5" width="15.85546875" style="13" customWidth="1"/>
    <col min="6" max="6" width="21.85546875" style="13" customWidth="1"/>
    <col min="7" max="8" width="11.5703125" style="13"/>
    <col min="9" max="9" width="18.140625" style="26" customWidth="1"/>
    <col min="10" max="10" width="28.140625" style="26" customWidth="1"/>
    <col min="11" max="11" width="21.28515625" style="26" customWidth="1"/>
    <col min="12" max="12" width="18.140625" style="26" customWidth="1"/>
    <col min="13" max="13" width="15.85546875" style="26" customWidth="1"/>
    <col min="14" max="14" width="15.140625" style="26" customWidth="1"/>
    <col min="15" max="15" width="11.5703125" style="13"/>
    <col min="16" max="16" width="17.85546875" style="13" customWidth="1"/>
    <col min="17" max="17" width="20.28515625" style="13" customWidth="1"/>
    <col min="18" max="20" width="15.85546875" style="13" customWidth="1"/>
    <col min="21" max="21" width="11.5703125" style="13"/>
    <col min="22" max="22" width="18.140625" style="13" customWidth="1"/>
    <col min="23" max="23" width="14.85546875" customWidth="1"/>
    <col min="24" max="24" width="20.140625" customWidth="1"/>
    <col min="25" max="26" width="17.42578125" customWidth="1"/>
    <col min="27" max="27" width="22.42578125" customWidth="1"/>
    <col min="28" max="28" width="11.5703125" style="13"/>
    <col min="29" max="29" width="20.42578125" style="13" customWidth="1"/>
    <col min="30" max="32" width="26.85546875" customWidth="1"/>
    <col min="33" max="33" width="22.85546875" customWidth="1"/>
    <col min="34" max="35" width="11.5703125" style="13"/>
    <col min="36" max="36" width="35" style="26" customWidth="1"/>
    <col min="37" max="37" width="14.85546875" style="26" customWidth="1"/>
    <col min="38" max="38" width="31.5703125" style="26" customWidth="1"/>
    <col min="39" max="40" width="15.85546875" style="85" customWidth="1"/>
    <col min="41" max="41" width="15.85546875" style="13" customWidth="1"/>
    <col min="42" max="43" width="21.85546875" style="13" customWidth="1"/>
    <col min="44" max="56" width="15.85546875" style="13" customWidth="1"/>
    <col min="57" max="16384" width="11.5703125" style="13"/>
  </cols>
  <sheetData>
    <row r="1" spans="1:56" ht="22.15" customHeight="1" thickBot="1" x14ac:dyDescent="0.25">
      <c r="A1" s="63" t="s">
        <v>328</v>
      </c>
      <c r="B1" s="64"/>
      <c r="C1" s="64"/>
      <c r="D1" s="64"/>
      <c r="E1" s="64"/>
      <c r="F1" s="65"/>
      <c r="I1" s="66" t="s">
        <v>334</v>
      </c>
      <c r="J1" s="67"/>
      <c r="K1" s="67"/>
      <c r="L1" s="67"/>
      <c r="M1" s="67"/>
      <c r="N1" s="68"/>
      <c r="P1" s="66" t="s">
        <v>340</v>
      </c>
      <c r="Q1" s="67"/>
      <c r="R1" s="67"/>
      <c r="S1" s="67"/>
      <c r="T1" s="67"/>
      <c r="V1" s="66" t="s">
        <v>344</v>
      </c>
      <c r="W1" s="67"/>
      <c r="X1" s="67"/>
      <c r="Y1" s="67"/>
      <c r="Z1" s="67"/>
      <c r="AA1" s="67"/>
      <c r="AC1" s="66" t="s">
        <v>349</v>
      </c>
      <c r="AD1" s="67"/>
      <c r="AE1" s="67"/>
      <c r="AF1" s="67"/>
      <c r="AG1" s="68"/>
      <c r="AJ1" s="81" t="s">
        <v>369</v>
      </c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3"/>
    </row>
    <row r="2" spans="1:56" ht="39" thickBot="1" x14ac:dyDescent="0.25">
      <c r="A2" s="90" t="s">
        <v>324</v>
      </c>
      <c r="B2" s="90" t="s">
        <v>1</v>
      </c>
      <c r="C2" s="90" t="s">
        <v>317</v>
      </c>
      <c r="D2" s="90" t="s">
        <v>318</v>
      </c>
      <c r="E2" s="90" t="s">
        <v>331</v>
      </c>
      <c r="F2" s="90" t="s">
        <v>319</v>
      </c>
      <c r="I2" s="89" t="s">
        <v>324</v>
      </c>
      <c r="J2" s="89" t="s">
        <v>1</v>
      </c>
      <c r="K2" s="89" t="s">
        <v>249</v>
      </c>
      <c r="L2" s="89" t="s">
        <v>250</v>
      </c>
      <c r="M2" s="89" t="s">
        <v>141</v>
      </c>
      <c r="N2" s="89" t="s">
        <v>251</v>
      </c>
      <c r="P2" s="88" t="s">
        <v>324</v>
      </c>
      <c r="Q2" s="88" t="s">
        <v>1</v>
      </c>
      <c r="R2" s="88" t="s">
        <v>244</v>
      </c>
      <c r="S2" s="88" t="s">
        <v>245</v>
      </c>
      <c r="T2" s="88" t="s">
        <v>246</v>
      </c>
      <c r="V2" s="87" t="s">
        <v>324</v>
      </c>
      <c r="W2" s="87" t="s">
        <v>139</v>
      </c>
      <c r="X2" s="87" t="s">
        <v>1</v>
      </c>
      <c r="Y2" s="87" t="s">
        <v>140</v>
      </c>
      <c r="Z2" s="87" t="s">
        <v>141</v>
      </c>
      <c r="AA2" s="87" t="s">
        <v>142</v>
      </c>
      <c r="AC2" s="62" t="s">
        <v>324</v>
      </c>
      <c r="AD2" s="62" t="s">
        <v>1</v>
      </c>
      <c r="AE2" s="62" t="s">
        <v>2</v>
      </c>
      <c r="AF2" s="62" t="s">
        <v>351</v>
      </c>
      <c r="AG2" s="62" t="s">
        <v>363</v>
      </c>
      <c r="AJ2" s="84" t="s">
        <v>330</v>
      </c>
      <c r="AK2" s="84" t="s">
        <v>324</v>
      </c>
      <c r="AL2" s="84" t="s">
        <v>1</v>
      </c>
      <c r="AM2" s="84" t="s">
        <v>317</v>
      </c>
      <c r="AN2" s="84" t="s">
        <v>318</v>
      </c>
      <c r="AO2" s="84" t="s">
        <v>331</v>
      </c>
      <c r="AP2" s="84" t="s">
        <v>319</v>
      </c>
      <c r="AQ2" s="62" t="s">
        <v>2</v>
      </c>
      <c r="AR2" s="62" t="s">
        <v>351</v>
      </c>
      <c r="AS2" s="62" t="s">
        <v>363</v>
      </c>
      <c r="AT2" s="87" t="s">
        <v>139</v>
      </c>
      <c r="AU2" s="87" t="s">
        <v>140</v>
      </c>
      <c r="AV2" s="87" t="s">
        <v>141</v>
      </c>
      <c r="AW2" s="87" t="s">
        <v>142</v>
      </c>
      <c r="AX2" s="89" t="s">
        <v>249</v>
      </c>
      <c r="AY2" s="89" t="s">
        <v>372</v>
      </c>
      <c r="AZ2" s="89" t="s">
        <v>371</v>
      </c>
      <c r="BA2" s="89" t="s">
        <v>373</v>
      </c>
      <c r="BB2" s="88" t="s">
        <v>244</v>
      </c>
      <c r="BC2" s="88" t="s">
        <v>245</v>
      </c>
      <c r="BD2" s="88" t="s">
        <v>246</v>
      </c>
    </row>
    <row r="3" spans="1:56" ht="27" customHeight="1" thickBot="1" x14ac:dyDescent="0.25">
      <c r="A3" s="15" t="s">
        <v>325</v>
      </c>
      <c r="B3" s="16" t="s">
        <v>3</v>
      </c>
      <c r="C3" s="28">
        <v>450000</v>
      </c>
      <c r="D3" s="28">
        <v>500000</v>
      </c>
      <c r="E3" s="43">
        <f>(D3-C3)/D3</f>
        <v>0.1</v>
      </c>
      <c r="F3" s="27">
        <f>C3/D3</f>
        <v>0.9</v>
      </c>
      <c r="I3" s="15" t="s">
        <v>325</v>
      </c>
      <c r="J3" s="16" t="s">
        <v>3</v>
      </c>
      <c r="K3" s="16" t="s">
        <v>252</v>
      </c>
      <c r="L3" s="56" t="s">
        <v>253</v>
      </c>
      <c r="M3" s="56" t="s">
        <v>254</v>
      </c>
      <c r="N3" s="57">
        <v>30</v>
      </c>
      <c r="P3" s="15" t="s">
        <v>325</v>
      </c>
      <c r="Q3" s="16" t="s">
        <v>3</v>
      </c>
      <c r="R3" s="16">
        <v>9</v>
      </c>
      <c r="S3" s="16">
        <v>2</v>
      </c>
      <c r="T3" s="57">
        <v>0</v>
      </c>
      <c r="V3" s="15" t="s">
        <v>325</v>
      </c>
      <c r="W3" s="16" t="s">
        <v>143</v>
      </c>
      <c r="X3" s="16" t="s">
        <v>3</v>
      </c>
      <c r="Y3" s="56" t="s">
        <v>144</v>
      </c>
      <c r="Z3" s="56" t="s">
        <v>145</v>
      </c>
      <c r="AA3" s="57">
        <v>2</v>
      </c>
      <c r="AC3" s="15" t="s">
        <v>325</v>
      </c>
      <c r="AD3" s="16" t="s">
        <v>21</v>
      </c>
      <c r="AE3" s="75">
        <v>43549</v>
      </c>
      <c r="AF3" s="79" t="s">
        <v>361</v>
      </c>
      <c r="AG3" s="80">
        <f>AE3</f>
        <v>43549</v>
      </c>
      <c r="AJ3" s="86" t="s">
        <v>368</v>
      </c>
      <c r="AK3" s="16" t="s">
        <v>325</v>
      </c>
      <c r="AL3" s="16" t="s">
        <v>21</v>
      </c>
      <c r="AM3" s="28">
        <v>750000</v>
      </c>
      <c r="AN3" s="28">
        <v>1100000</v>
      </c>
      <c r="AO3" s="28">
        <f>(AN3-AM3)/AN3</f>
        <v>0.31818181818181818</v>
      </c>
      <c r="AP3" s="95">
        <f>AM3/AN3</f>
        <v>0.68181818181818177</v>
      </c>
      <c r="AQ3" s="95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96"/>
    </row>
    <row r="4" spans="1:56" ht="27" customHeight="1" thickBot="1" x14ac:dyDescent="0.25">
      <c r="A4" s="18" t="s">
        <v>325</v>
      </c>
      <c r="B4" s="19" t="s">
        <v>5</v>
      </c>
      <c r="C4" s="29">
        <v>600000</v>
      </c>
      <c r="D4" s="29">
        <v>750000</v>
      </c>
      <c r="E4" s="43">
        <f t="shared" ref="E4:E62" si="0">(D4-C4)/D4</f>
        <v>0.2</v>
      </c>
      <c r="F4" s="35">
        <f t="shared" ref="F4:F22" si="1">C4/D4</f>
        <v>0.8</v>
      </c>
      <c r="I4" s="18" t="s">
        <v>325</v>
      </c>
      <c r="J4" s="19" t="s">
        <v>5</v>
      </c>
      <c r="K4" s="19" t="s">
        <v>255</v>
      </c>
      <c r="L4" s="58" t="s">
        <v>256</v>
      </c>
      <c r="M4" s="58" t="s">
        <v>257</v>
      </c>
      <c r="N4" s="59">
        <v>42</v>
      </c>
      <c r="P4" s="18" t="s">
        <v>325</v>
      </c>
      <c r="Q4" s="19" t="s">
        <v>5</v>
      </c>
      <c r="R4" s="19">
        <v>8</v>
      </c>
      <c r="S4" s="19">
        <v>3</v>
      </c>
      <c r="T4" s="59">
        <v>1</v>
      </c>
      <c r="V4" s="18" t="s">
        <v>325</v>
      </c>
      <c r="W4" s="19" t="s">
        <v>146</v>
      </c>
      <c r="X4" s="19" t="s">
        <v>5</v>
      </c>
      <c r="Y4" s="58" t="s">
        <v>147</v>
      </c>
      <c r="Z4" s="58" t="s">
        <v>148</v>
      </c>
      <c r="AA4" s="59">
        <v>3</v>
      </c>
      <c r="AC4" s="18" t="s">
        <v>325</v>
      </c>
      <c r="AD4" s="19" t="s">
        <v>35</v>
      </c>
      <c r="AE4" s="76">
        <v>43570</v>
      </c>
      <c r="AF4" s="79" t="s">
        <v>356</v>
      </c>
      <c r="AG4" s="80">
        <f>AE4</f>
        <v>43570</v>
      </c>
      <c r="AJ4" s="97" t="s">
        <v>368</v>
      </c>
      <c r="AK4" s="19" t="s">
        <v>325</v>
      </c>
      <c r="AL4" s="19" t="s">
        <v>35</v>
      </c>
      <c r="AM4" s="29">
        <v>500000</v>
      </c>
      <c r="AN4" s="29">
        <v>700000</v>
      </c>
      <c r="AO4" s="29">
        <f>(AN4-AM4)/AN4</f>
        <v>0.2857142857142857</v>
      </c>
      <c r="AP4" s="34">
        <f>AM4/AN4</f>
        <v>0.7142857142857143</v>
      </c>
      <c r="AQ4" s="34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98"/>
    </row>
    <row r="5" spans="1:56" ht="27" customHeight="1" thickBot="1" x14ac:dyDescent="0.25">
      <c r="A5" s="18" t="s">
        <v>325</v>
      </c>
      <c r="B5" s="19" t="s">
        <v>7</v>
      </c>
      <c r="C5" s="29">
        <v>550000</v>
      </c>
      <c r="D5" s="29">
        <v>600000</v>
      </c>
      <c r="E5" s="43">
        <f t="shared" si="0"/>
        <v>8.3333333333333329E-2</v>
      </c>
      <c r="F5" s="35">
        <f t="shared" si="1"/>
        <v>0.91666666666666663</v>
      </c>
      <c r="I5" s="18" t="s">
        <v>325</v>
      </c>
      <c r="J5" s="19" t="s">
        <v>7</v>
      </c>
      <c r="K5" s="19" t="s">
        <v>258</v>
      </c>
      <c r="L5" s="58" t="s">
        <v>259</v>
      </c>
      <c r="M5" s="19" t="s">
        <v>260</v>
      </c>
      <c r="N5" s="59" t="s">
        <v>260</v>
      </c>
      <c r="P5" s="18" t="s">
        <v>325</v>
      </c>
      <c r="Q5" s="19" t="s">
        <v>7</v>
      </c>
      <c r="R5" s="19">
        <v>10</v>
      </c>
      <c r="S5" s="19">
        <v>1</v>
      </c>
      <c r="T5" s="59">
        <v>1</v>
      </c>
      <c r="V5" s="18" t="s">
        <v>325</v>
      </c>
      <c r="W5" s="19" t="s">
        <v>149</v>
      </c>
      <c r="X5" s="19" t="s">
        <v>7</v>
      </c>
      <c r="Y5" s="58" t="s">
        <v>150</v>
      </c>
      <c r="Z5" s="58" t="s">
        <v>151</v>
      </c>
      <c r="AA5" s="59">
        <v>4</v>
      </c>
      <c r="AC5" s="18" t="s">
        <v>327</v>
      </c>
      <c r="AD5" s="19" t="s">
        <v>119</v>
      </c>
      <c r="AE5" s="76">
        <v>43261</v>
      </c>
      <c r="AF5" s="79" t="s">
        <v>358</v>
      </c>
      <c r="AG5" s="80">
        <f>AE5</f>
        <v>43261</v>
      </c>
      <c r="AJ5" s="97" t="s">
        <v>368</v>
      </c>
      <c r="AK5" s="19" t="s">
        <v>327</v>
      </c>
      <c r="AL5" s="19" t="s">
        <v>119</v>
      </c>
      <c r="AM5" s="29">
        <v>450000</v>
      </c>
      <c r="AN5" s="29">
        <v>650000</v>
      </c>
      <c r="AO5" s="29">
        <f>(AN5-AM5)/AN5</f>
        <v>0.30769230769230771</v>
      </c>
      <c r="AP5" s="34">
        <f>AM5/AN5</f>
        <v>0.69230769230769229</v>
      </c>
      <c r="AQ5" s="34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98"/>
    </row>
    <row r="6" spans="1:56" ht="27" customHeight="1" thickBot="1" x14ac:dyDescent="0.25">
      <c r="A6" s="18" t="s">
        <v>325</v>
      </c>
      <c r="B6" s="19" t="s">
        <v>9</v>
      </c>
      <c r="C6" s="29">
        <v>700000</v>
      </c>
      <c r="D6" s="29">
        <v>900000</v>
      </c>
      <c r="E6" s="43">
        <f t="shared" si="0"/>
        <v>0.22222222222222221</v>
      </c>
      <c r="F6" s="35">
        <f t="shared" si="1"/>
        <v>0.77777777777777779</v>
      </c>
      <c r="I6" s="18" t="s">
        <v>325</v>
      </c>
      <c r="J6" s="19" t="s">
        <v>9</v>
      </c>
      <c r="K6" s="19" t="s">
        <v>261</v>
      </c>
      <c r="L6" s="58" t="s">
        <v>262</v>
      </c>
      <c r="M6" s="58" t="s">
        <v>263</v>
      </c>
      <c r="N6" s="59">
        <v>30</v>
      </c>
      <c r="P6" s="18" t="s">
        <v>325</v>
      </c>
      <c r="Q6" s="19" t="s">
        <v>9</v>
      </c>
      <c r="R6" s="19">
        <v>9</v>
      </c>
      <c r="S6" s="19">
        <v>4</v>
      </c>
      <c r="T6" s="59">
        <v>0</v>
      </c>
      <c r="V6" s="18" t="s">
        <v>325</v>
      </c>
      <c r="W6" s="19" t="s">
        <v>152</v>
      </c>
      <c r="X6" s="19" t="s">
        <v>9</v>
      </c>
      <c r="Y6" s="58" t="s">
        <v>153</v>
      </c>
      <c r="Z6" s="58" t="s">
        <v>154</v>
      </c>
      <c r="AA6" s="59">
        <v>2</v>
      </c>
      <c r="AC6" s="18" t="s">
        <v>327</v>
      </c>
      <c r="AD6" s="19" t="s">
        <v>135</v>
      </c>
      <c r="AE6" s="76">
        <v>43355</v>
      </c>
      <c r="AF6" s="79" t="s">
        <v>352</v>
      </c>
      <c r="AG6" s="80">
        <f>AE6</f>
        <v>43355</v>
      </c>
      <c r="AJ6" s="97" t="s">
        <v>368</v>
      </c>
      <c r="AK6" s="19" t="s">
        <v>327</v>
      </c>
      <c r="AL6" s="19" t="s">
        <v>113</v>
      </c>
      <c r="AM6" s="29">
        <v>700000</v>
      </c>
      <c r="AN6" s="29">
        <v>900000</v>
      </c>
      <c r="AO6" s="29">
        <f>(AN6-AM6)/AN6</f>
        <v>0.22222222222222221</v>
      </c>
      <c r="AP6" s="34">
        <f>AM6/AN6</f>
        <v>0.77777777777777779</v>
      </c>
      <c r="AQ6" s="34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98"/>
    </row>
    <row r="7" spans="1:56" ht="27" customHeight="1" thickBot="1" x14ac:dyDescent="0.25">
      <c r="A7" s="18" t="s">
        <v>325</v>
      </c>
      <c r="B7" s="19" t="s">
        <v>11</v>
      </c>
      <c r="C7" s="29">
        <v>500000</v>
      </c>
      <c r="D7" s="29">
        <v>700000</v>
      </c>
      <c r="E7" s="43">
        <f t="shared" si="0"/>
        <v>0.2857142857142857</v>
      </c>
      <c r="F7" s="35">
        <f t="shared" si="1"/>
        <v>0.7142857142857143</v>
      </c>
      <c r="I7" s="18" t="s">
        <v>325</v>
      </c>
      <c r="J7" s="19" t="s">
        <v>11</v>
      </c>
      <c r="K7" s="19" t="s">
        <v>264</v>
      </c>
      <c r="L7" s="58" t="s">
        <v>265</v>
      </c>
      <c r="M7" s="19" t="s">
        <v>260</v>
      </c>
      <c r="N7" s="59" t="s">
        <v>260</v>
      </c>
      <c r="P7" s="18" t="s">
        <v>325</v>
      </c>
      <c r="Q7" s="19" t="s">
        <v>11</v>
      </c>
      <c r="R7" s="19">
        <v>10</v>
      </c>
      <c r="S7" s="19">
        <v>2</v>
      </c>
      <c r="T7" s="59">
        <v>0</v>
      </c>
      <c r="V7" s="18" t="s">
        <v>325</v>
      </c>
      <c r="W7" s="19" t="s">
        <v>155</v>
      </c>
      <c r="X7" s="19" t="s">
        <v>11</v>
      </c>
      <c r="Y7" s="58" t="s">
        <v>156</v>
      </c>
      <c r="Z7" s="58" t="s">
        <v>157</v>
      </c>
      <c r="AA7" s="59">
        <v>3</v>
      </c>
      <c r="AC7" s="18" t="s">
        <v>327</v>
      </c>
      <c r="AD7" s="19" t="s">
        <v>113</v>
      </c>
      <c r="AE7" s="76">
        <v>43542</v>
      </c>
      <c r="AF7" s="79" t="s">
        <v>361</v>
      </c>
      <c r="AG7" s="80">
        <f>AE7</f>
        <v>43542</v>
      </c>
      <c r="AJ7" s="97" t="s">
        <v>368</v>
      </c>
      <c r="AK7" s="19" t="s">
        <v>327</v>
      </c>
      <c r="AL7" s="19" t="s">
        <v>105</v>
      </c>
      <c r="AM7" s="29">
        <v>550000</v>
      </c>
      <c r="AN7" s="29">
        <v>700000</v>
      </c>
      <c r="AO7" s="29">
        <f>(AN7-AM7)/AN7</f>
        <v>0.21428571428571427</v>
      </c>
      <c r="AP7" s="34">
        <f>AM7/AN7</f>
        <v>0.7857142857142857</v>
      </c>
      <c r="AQ7" s="34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98"/>
    </row>
    <row r="8" spans="1:56" ht="27" customHeight="1" thickBot="1" x14ac:dyDescent="0.25">
      <c r="A8" s="18" t="s">
        <v>325</v>
      </c>
      <c r="B8" s="19" t="s">
        <v>13</v>
      </c>
      <c r="C8" s="29">
        <v>650000</v>
      </c>
      <c r="D8" s="29">
        <v>850000</v>
      </c>
      <c r="E8" s="43">
        <f t="shared" si="0"/>
        <v>0.23529411764705882</v>
      </c>
      <c r="F8" s="35">
        <f t="shared" si="1"/>
        <v>0.76470588235294112</v>
      </c>
      <c r="I8" s="18" t="s">
        <v>325</v>
      </c>
      <c r="J8" s="19" t="s">
        <v>13</v>
      </c>
      <c r="K8" s="19" t="s">
        <v>266</v>
      </c>
      <c r="L8" s="58" t="s">
        <v>267</v>
      </c>
      <c r="M8" s="58" t="s">
        <v>268</v>
      </c>
      <c r="N8" s="59">
        <v>30</v>
      </c>
      <c r="P8" s="18" t="s">
        <v>325</v>
      </c>
      <c r="Q8" s="19" t="s">
        <v>13</v>
      </c>
      <c r="R8" s="19">
        <v>8</v>
      </c>
      <c r="S8" s="19">
        <v>5</v>
      </c>
      <c r="T8" s="59">
        <v>0</v>
      </c>
      <c r="V8" s="18" t="s">
        <v>325</v>
      </c>
      <c r="W8" s="19" t="s">
        <v>158</v>
      </c>
      <c r="X8" s="19" t="s">
        <v>13</v>
      </c>
      <c r="Y8" s="58" t="s">
        <v>159</v>
      </c>
      <c r="Z8" s="58" t="s">
        <v>160</v>
      </c>
      <c r="AA8" s="59">
        <v>3</v>
      </c>
      <c r="AC8" s="18" t="s">
        <v>327</v>
      </c>
      <c r="AD8" s="19" t="s">
        <v>105</v>
      </c>
      <c r="AE8" s="76">
        <v>43235</v>
      </c>
      <c r="AF8" s="79" t="s">
        <v>357</v>
      </c>
      <c r="AG8" s="80">
        <f>AE8</f>
        <v>43235</v>
      </c>
      <c r="AJ8" s="97" t="s">
        <v>368</v>
      </c>
      <c r="AK8" s="19" t="s">
        <v>327</v>
      </c>
      <c r="AL8" s="19" t="s">
        <v>100</v>
      </c>
      <c r="AM8" s="29">
        <v>350000</v>
      </c>
      <c r="AN8" s="29">
        <v>400000</v>
      </c>
      <c r="AO8" s="29">
        <f>(AN8-AM8)/AN8</f>
        <v>0.125</v>
      </c>
      <c r="AP8" s="34">
        <f>AM8/AN8</f>
        <v>0.875</v>
      </c>
      <c r="AQ8" s="34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98"/>
    </row>
    <row r="9" spans="1:56" ht="27" customHeight="1" thickBot="1" x14ac:dyDescent="0.25">
      <c r="A9" s="18" t="s">
        <v>325</v>
      </c>
      <c r="B9" s="19" t="s">
        <v>15</v>
      </c>
      <c r="C9" s="29">
        <v>800000</v>
      </c>
      <c r="D9" s="29">
        <v>1200000</v>
      </c>
      <c r="E9" s="43">
        <f t="shared" si="0"/>
        <v>0.33333333333333331</v>
      </c>
      <c r="F9" s="35">
        <f t="shared" si="1"/>
        <v>0.66666666666666663</v>
      </c>
      <c r="I9" s="18" t="s">
        <v>325</v>
      </c>
      <c r="J9" s="19" t="s">
        <v>15</v>
      </c>
      <c r="K9" s="19" t="s">
        <v>269</v>
      </c>
      <c r="L9" s="58" t="s">
        <v>270</v>
      </c>
      <c r="M9" s="58" t="s">
        <v>144</v>
      </c>
      <c r="N9" s="59">
        <v>61</v>
      </c>
      <c r="P9" s="18" t="s">
        <v>325</v>
      </c>
      <c r="Q9" s="19" t="s">
        <v>15</v>
      </c>
      <c r="R9" s="19">
        <v>9</v>
      </c>
      <c r="S9" s="19">
        <v>3</v>
      </c>
      <c r="T9" s="59">
        <v>0</v>
      </c>
      <c r="V9" s="18" t="s">
        <v>325</v>
      </c>
      <c r="W9" s="19" t="s">
        <v>161</v>
      </c>
      <c r="X9" s="19" t="s">
        <v>15</v>
      </c>
      <c r="Y9" s="58" t="s">
        <v>162</v>
      </c>
      <c r="Z9" s="58" t="s">
        <v>163</v>
      </c>
      <c r="AA9" s="59">
        <v>4</v>
      </c>
      <c r="AC9" s="18" t="s">
        <v>327</v>
      </c>
      <c r="AD9" s="19" t="s">
        <v>100</v>
      </c>
      <c r="AE9" s="76">
        <v>42906</v>
      </c>
      <c r="AF9" s="79">
        <v>42551</v>
      </c>
      <c r="AG9" s="80">
        <f>AE9</f>
        <v>42906</v>
      </c>
      <c r="AJ9" s="97" t="s">
        <v>368</v>
      </c>
      <c r="AK9" s="19" t="s">
        <v>327</v>
      </c>
      <c r="AL9" s="19" t="s">
        <v>122</v>
      </c>
      <c r="AM9" s="29">
        <v>550000</v>
      </c>
      <c r="AN9" s="29">
        <v>700000</v>
      </c>
      <c r="AO9" s="29">
        <f>(AN9-AM9)/AN9</f>
        <v>0.21428571428571427</v>
      </c>
      <c r="AP9" s="34">
        <f>AM9/AN9</f>
        <v>0.7857142857142857</v>
      </c>
      <c r="AQ9" s="34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98"/>
    </row>
    <row r="10" spans="1:56" ht="27" customHeight="1" thickBot="1" x14ac:dyDescent="0.25">
      <c r="A10" s="18" t="s">
        <v>325</v>
      </c>
      <c r="B10" s="19" t="s">
        <v>17</v>
      </c>
      <c r="C10" s="29">
        <v>400000</v>
      </c>
      <c r="D10" s="29">
        <v>550000</v>
      </c>
      <c r="E10" s="43">
        <f t="shared" si="0"/>
        <v>0.27272727272727271</v>
      </c>
      <c r="F10" s="35">
        <f t="shared" si="1"/>
        <v>0.72727272727272729</v>
      </c>
      <c r="I10" s="18" t="s">
        <v>325</v>
      </c>
      <c r="J10" s="19" t="s">
        <v>17</v>
      </c>
      <c r="K10" s="19" t="s">
        <v>271</v>
      </c>
      <c r="L10" s="58" t="s">
        <v>147</v>
      </c>
      <c r="M10" s="19" t="s">
        <v>260</v>
      </c>
      <c r="N10" s="59" t="s">
        <v>260</v>
      </c>
      <c r="P10" s="18" t="s">
        <v>325</v>
      </c>
      <c r="Q10" s="19" t="s">
        <v>17</v>
      </c>
      <c r="R10" s="19">
        <v>7</v>
      </c>
      <c r="S10" s="19">
        <v>3</v>
      </c>
      <c r="T10" s="59">
        <v>2</v>
      </c>
      <c r="V10" s="18" t="s">
        <v>325</v>
      </c>
      <c r="W10" s="19" t="s">
        <v>164</v>
      </c>
      <c r="X10" s="19" t="s">
        <v>17</v>
      </c>
      <c r="Y10" s="58" t="s">
        <v>165</v>
      </c>
      <c r="Z10" s="58" t="s">
        <v>166</v>
      </c>
      <c r="AA10" s="59">
        <v>2</v>
      </c>
      <c r="AC10" s="18" t="s">
        <v>327</v>
      </c>
      <c r="AD10" s="19" t="s">
        <v>122</v>
      </c>
      <c r="AE10" s="76">
        <v>43524</v>
      </c>
      <c r="AF10" s="79" t="s">
        <v>360</v>
      </c>
      <c r="AG10" s="80">
        <f>AE10</f>
        <v>43524</v>
      </c>
      <c r="AJ10" s="97" t="s">
        <v>368</v>
      </c>
      <c r="AK10" s="19" t="s">
        <v>327</v>
      </c>
      <c r="AL10" s="19" t="s">
        <v>129</v>
      </c>
      <c r="AM10" s="29">
        <v>850000</v>
      </c>
      <c r="AN10" s="29">
        <v>950000</v>
      </c>
      <c r="AO10" s="29">
        <f>(AN10-AM10)/AN10</f>
        <v>0.10526315789473684</v>
      </c>
      <c r="AP10" s="34">
        <f>AM10/AN10</f>
        <v>0.89473684210526316</v>
      </c>
      <c r="AQ10" s="34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98"/>
    </row>
    <row r="11" spans="1:56" ht="27" customHeight="1" thickBot="1" x14ac:dyDescent="0.25">
      <c r="A11" s="18" t="s">
        <v>325</v>
      </c>
      <c r="B11" s="19" t="s">
        <v>19</v>
      </c>
      <c r="C11" s="29">
        <v>700000</v>
      </c>
      <c r="D11" s="29">
        <v>1000000</v>
      </c>
      <c r="E11" s="43">
        <f t="shared" si="0"/>
        <v>0.3</v>
      </c>
      <c r="F11" s="35">
        <f t="shared" si="1"/>
        <v>0.7</v>
      </c>
      <c r="I11" s="18" t="s">
        <v>325</v>
      </c>
      <c r="J11" s="19" t="s">
        <v>19</v>
      </c>
      <c r="K11" s="19" t="s">
        <v>272</v>
      </c>
      <c r="L11" s="58" t="s">
        <v>150</v>
      </c>
      <c r="M11" s="58" t="s">
        <v>273</v>
      </c>
      <c r="N11" s="59">
        <v>31</v>
      </c>
      <c r="P11" s="18" t="s">
        <v>325</v>
      </c>
      <c r="Q11" s="19" t="s">
        <v>19</v>
      </c>
      <c r="R11" s="19">
        <v>10</v>
      </c>
      <c r="S11" s="19">
        <v>2</v>
      </c>
      <c r="T11" s="59">
        <v>1</v>
      </c>
      <c r="V11" s="18" t="s">
        <v>325</v>
      </c>
      <c r="W11" s="19" t="s">
        <v>167</v>
      </c>
      <c r="X11" s="19" t="s">
        <v>19</v>
      </c>
      <c r="Y11" s="58" t="s">
        <v>168</v>
      </c>
      <c r="Z11" s="58" t="s">
        <v>169</v>
      </c>
      <c r="AA11" s="59">
        <v>4</v>
      </c>
      <c r="AC11" s="18" t="s">
        <v>327</v>
      </c>
      <c r="AD11" s="19" t="s">
        <v>129</v>
      </c>
      <c r="AE11" s="76">
        <v>43074</v>
      </c>
      <c r="AF11" s="79" t="s">
        <v>354</v>
      </c>
      <c r="AG11" s="80">
        <f>AE11</f>
        <v>43074</v>
      </c>
      <c r="AJ11" s="97" t="s">
        <v>368</v>
      </c>
      <c r="AK11" s="19" t="s">
        <v>326</v>
      </c>
      <c r="AL11" s="19" t="s">
        <v>66</v>
      </c>
      <c r="AM11" s="29">
        <v>800000</v>
      </c>
      <c r="AN11" s="29">
        <v>1100000</v>
      </c>
      <c r="AO11" s="29">
        <f>(AN11-AM11)/AN11</f>
        <v>0.27272727272727271</v>
      </c>
      <c r="AP11" s="34">
        <f>AM11/AN11</f>
        <v>0.72727272727272729</v>
      </c>
      <c r="AQ11" s="34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98"/>
    </row>
    <row r="12" spans="1:56" ht="27" customHeight="1" thickBot="1" x14ac:dyDescent="0.25">
      <c r="A12" s="18" t="s">
        <v>325</v>
      </c>
      <c r="B12" s="19" t="s">
        <v>21</v>
      </c>
      <c r="C12" s="29">
        <v>750000</v>
      </c>
      <c r="D12" s="29">
        <v>1100000</v>
      </c>
      <c r="E12" s="43">
        <f t="shared" si="0"/>
        <v>0.31818181818181818</v>
      </c>
      <c r="F12" s="35">
        <f t="shared" si="1"/>
        <v>0.68181818181818177</v>
      </c>
      <c r="I12" s="18" t="s">
        <v>325</v>
      </c>
      <c r="J12" s="19" t="s">
        <v>21</v>
      </c>
      <c r="K12" s="19" t="s">
        <v>274</v>
      </c>
      <c r="L12" s="58" t="s">
        <v>275</v>
      </c>
      <c r="M12" s="58" t="s">
        <v>276</v>
      </c>
      <c r="N12" s="59">
        <v>51</v>
      </c>
      <c r="P12" s="18" t="s">
        <v>325</v>
      </c>
      <c r="Q12" s="19" t="s">
        <v>21</v>
      </c>
      <c r="R12" s="19">
        <v>9</v>
      </c>
      <c r="S12" s="19">
        <v>4</v>
      </c>
      <c r="T12" s="59">
        <v>0</v>
      </c>
      <c r="V12" s="18" t="s">
        <v>325</v>
      </c>
      <c r="W12" s="19" t="s">
        <v>170</v>
      </c>
      <c r="X12" s="19" t="s">
        <v>21</v>
      </c>
      <c r="Y12" s="58" t="s">
        <v>171</v>
      </c>
      <c r="Z12" s="58" t="s">
        <v>172</v>
      </c>
      <c r="AA12" s="59">
        <v>3</v>
      </c>
      <c r="AC12" s="18" t="s">
        <v>326</v>
      </c>
      <c r="AD12" s="19" t="s">
        <v>66</v>
      </c>
      <c r="AE12" s="76">
        <v>43395</v>
      </c>
      <c r="AF12" s="79" t="s">
        <v>354</v>
      </c>
      <c r="AG12" s="80">
        <f>AE12</f>
        <v>43395</v>
      </c>
      <c r="AJ12" s="97" t="s">
        <v>368</v>
      </c>
      <c r="AK12" s="19" t="s">
        <v>326</v>
      </c>
      <c r="AL12" s="19" t="s">
        <v>91</v>
      </c>
      <c r="AM12" s="29">
        <v>750000</v>
      </c>
      <c r="AN12" s="29">
        <v>950000</v>
      </c>
      <c r="AO12" s="29">
        <f>(AN12-AM12)/AN12</f>
        <v>0.21052631578947367</v>
      </c>
      <c r="AP12" s="34">
        <f>AM12/AN12</f>
        <v>0.78947368421052633</v>
      </c>
      <c r="AQ12" s="34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98"/>
    </row>
    <row r="13" spans="1:56" ht="27" customHeight="1" thickBot="1" x14ac:dyDescent="0.25">
      <c r="A13" s="18" t="s">
        <v>325</v>
      </c>
      <c r="B13" s="19" t="s">
        <v>23</v>
      </c>
      <c r="C13" s="29">
        <v>480000</v>
      </c>
      <c r="D13" s="29">
        <v>650000</v>
      </c>
      <c r="E13" s="43">
        <f t="shared" si="0"/>
        <v>0.26153846153846155</v>
      </c>
      <c r="F13" s="35">
        <f t="shared" si="1"/>
        <v>0.7384615384615385</v>
      </c>
      <c r="I13" s="18" t="s">
        <v>325</v>
      </c>
      <c r="J13" s="19" t="s">
        <v>23</v>
      </c>
      <c r="K13" s="19" t="s">
        <v>277</v>
      </c>
      <c r="L13" s="58" t="s">
        <v>278</v>
      </c>
      <c r="M13" s="19" t="s">
        <v>260</v>
      </c>
      <c r="N13" s="59" t="s">
        <v>260</v>
      </c>
      <c r="P13" s="18" t="s">
        <v>325</v>
      </c>
      <c r="Q13" s="19" t="s">
        <v>23</v>
      </c>
      <c r="R13" s="19">
        <v>8</v>
      </c>
      <c r="S13" s="19">
        <v>3</v>
      </c>
      <c r="T13" s="59">
        <v>1</v>
      </c>
      <c r="V13" s="18" t="s">
        <v>325</v>
      </c>
      <c r="W13" s="19" t="s">
        <v>173</v>
      </c>
      <c r="X13" s="19" t="s">
        <v>23</v>
      </c>
      <c r="Y13" s="58" t="s">
        <v>174</v>
      </c>
      <c r="Z13" s="58" t="s">
        <v>175</v>
      </c>
      <c r="AA13" s="59">
        <v>2</v>
      </c>
      <c r="AC13" s="18" t="s">
        <v>326</v>
      </c>
      <c r="AD13" s="19" t="s">
        <v>91</v>
      </c>
      <c r="AE13" s="76">
        <v>43240</v>
      </c>
      <c r="AF13" s="79" t="s">
        <v>357</v>
      </c>
      <c r="AG13" s="80">
        <f>AE13</f>
        <v>43240</v>
      </c>
      <c r="AJ13" s="97" t="s">
        <v>368</v>
      </c>
      <c r="AK13" s="19" t="s">
        <v>326</v>
      </c>
      <c r="AL13" s="19" t="s">
        <v>58</v>
      </c>
      <c r="AM13" s="29">
        <v>500000</v>
      </c>
      <c r="AN13" s="29">
        <v>600000</v>
      </c>
      <c r="AO13" s="29">
        <f>(AN13-AM13)/AN13</f>
        <v>0.16666666666666666</v>
      </c>
      <c r="AP13" s="34">
        <f>AM13/AN13</f>
        <v>0.83333333333333337</v>
      </c>
      <c r="AQ13" s="34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98"/>
    </row>
    <row r="14" spans="1:56" ht="27" customHeight="1" thickBot="1" x14ac:dyDescent="0.25">
      <c r="A14" s="18" t="s">
        <v>325</v>
      </c>
      <c r="B14" s="19" t="s">
        <v>25</v>
      </c>
      <c r="C14" s="29">
        <v>600000</v>
      </c>
      <c r="D14" s="29">
        <v>800000</v>
      </c>
      <c r="E14" s="43">
        <f t="shared" si="0"/>
        <v>0.25</v>
      </c>
      <c r="F14" s="35">
        <f t="shared" si="1"/>
        <v>0.75</v>
      </c>
      <c r="I14" s="18" t="s">
        <v>325</v>
      </c>
      <c r="J14" s="19" t="s">
        <v>25</v>
      </c>
      <c r="K14" s="19" t="s">
        <v>279</v>
      </c>
      <c r="L14" s="58" t="s">
        <v>165</v>
      </c>
      <c r="M14" s="58" t="s">
        <v>280</v>
      </c>
      <c r="N14" s="59">
        <v>30</v>
      </c>
      <c r="P14" s="18" t="s">
        <v>325</v>
      </c>
      <c r="Q14" s="19" t="s">
        <v>25</v>
      </c>
      <c r="R14" s="19">
        <v>10</v>
      </c>
      <c r="S14" s="19">
        <v>1</v>
      </c>
      <c r="T14" s="59">
        <v>1</v>
      </c>
      <c r="V14" s="18" t="s">
        <v>325</v>
      </c>
      <c r="W14" s="19" t="s">
        <v>176</v>
      </c>
      <c r="X14" s="19" t="s">
        <v>25</v>
      </c>
      <c r="Y14" s="58" t="s">
        <v>177</v>
      </c>
      <c r="Z14" s="58" t="s">
        <v>178</v>
      </c>
      <c r="AA14" s="59">
        <v>3</v>
      </c>
      <c r="AC14" s="18" t="s">
        <v>326</v>
      </c>
      <c r="AD14" s="19" t="s">
        <v>58</v>
      </c>
      <c r="AE14" s="76">
        <v>43544</v>
      </c>
      <c r="AF14" s="79" t="s">
        <v>361</v>
      </c>
      <c r="AG14" s="80">
        <f>AE14</f>
        <v>43544</v>
      </c>
      <c r="AJ14" s="97" t="s">
        <v>368</v>
      </c>
      <c r="AK14" s="19" t="s">
        <v>325</v>
      </c>
      <c r="AL14" s="19" t="s">
        <v>31</v>
      </c>
      <c r="AM14" s="29">
        <v>900000</v>
      </c>
      <c r="AN14" s="29">
        <v>1300000</v>
      </c>
      <c r="AO14" s="29">
        <f>(AN14-AM14)/AN14</f>
        <v>0.30769230769230771</v>
      </c>
      <c r="AP14" s="34">
        <f>AM14/AN14</f>
        <v>0.69230769230769229</v>
      </c>
      <c r="AQ14" s="34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98"/>
    </row>
    <row r="15" spans="1:56" ht="27" customHeight="1" thickBot="1" x14ac:dyDescent="0.25">
      <c r="A15" s="18" t="s">
        <v>325</v>
      </c>
      <c r="B15" s="19" t="s">
        <v>27</v>
      </c>
      <c r="C15" s="29">
        <v>550000</v>
      </c>
      <c r="D15" s="29">
        <v>750000</v>
      </c>
      <c r="E15" s="43">
        <f t="shared" si="0"/>
        <v>0.26666666666666666</v>
      </c>
      <c r="F15" s="35">
        <f t="shared" si="1"/>
        <v>0.73333333333333328</v>
      </c>
      <c r="I15" s="18" t="s">
        <v>325</v>
      </c>
      <c r="J15" s="19" t="s">
        <v>27</v>
      </c>
      <c r="K15" s="19" t="s">
        <v>281</v>
      </c>
      <c r="L15" s="58" t="s">
        <v>282</v>
      </c>
      <c r="M15" s="19" t="s">
        <v>260</v>
      </c>
      <c r="N15" s="59" t="s">
        <v>260</v>
      </c>
      <c r="P15" s="18" t="s">
        <v>325</v>
      </c>
      <c r="Q15" s="19" t="s">
        <v>27</v>
      </c>
      <c r="R15" s="19">
        <v>7</v>
      </c>
      <c r="S15" s="19">
        <v>3</v>
      </c>
      <c r="T15" s="59">
        <v>2</v>
      </c>
      <c r="V15" s="18" t="s">
        <v>325</v>
      </c>
      <c r="W15" s="19" t="s">
        <v>179</v>
      </c>
      <c r="X15" s="19" t="s">
        <v>27</v>
      </c>
      <c r="Y15" s="58" t="s">
        <v>180</v>
      </c>
      <c r="Z15" s="58" t="s">
        <v>181</v>
      </c>
      <c r="AA15" s="59">
        <v>4</v>
      </c>
      <c r="AC15" s="18" t="s">
        <v>325</v>
      </c>
      <c r="AD15" s="19" t="s">
        <v>31</v>
      </c>
      <c r="AE15" s="76">
        <v>43342</v>
      </c>
      <c r="AF15" s="79">
        <v>42585</v>
      </c>
      <c r="AG15" s="80">
        <f>AE15</f>
        <v>43342</v>
      </c>
      <c r="AJ15" s="97" t="s">
        <v>368</v>
      </c>
      <c r="AK15" s="19" t="s">
        <v>325</v>
      </c>
      <c r="AL15" s="19" t="s">
        <v>9</v>
      </c>
      <c r="AM15" s="29">
        <v>700000</v>
      </c>
      <c r="AN15" s="29">
        <v>900000</v>
      </c>
      <c r="AO15" s="29">
        <f>(AN15-AM15)/AN15</f>
        <v>0.22222222222222221</v>
      </c>
      <c r="AP15" s="34">
        <f>AM15/AN15</f>
        <v>0.77777777777777779</v>
      </c>
      <c r="AQ15" s="34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98"/>
    </row>
    <row r="16" spans="1:56" ht="27" customHeight="1" thickBot="1" x14ac:dyDescent="0.25">
      <c r="A16" s="18" t="s">
        <v>325</v>
      </c>
      <c r="B16" s="19" t="s">
        <v>29</v>
      </c>
      <c r="C16" s="29">
        <v>700000</v>
      </c>
      <c r="D16" s="29">
        <v>900000</v>
      </c>
      <c r="E16" s="43">
        <f t="shared" si="0"/>
        <v>0.22222222222222221</v>
      </c>
      <c r="F16" s="35">
        <f t="shared" si="1"/>
        <v>0.77777777777777779</v>
      </c>
      <c r="I16" s="18" t="s">
        <v>325</v>
      </c>
      <c r="J16" s="19" t="s">
        <v>29</v>
      </c>
      <c r="K16" s="19" t="s">
        <v>283</v>
      </c>
      <c r="L16" s="58" t="s">
        <v>284</v>
      </c>
      <c r="M16" s="58" t="s">
        <v>285</v>
      </c>
      <c r="N16" s="59">
        <v>40</v>
      </c>
      <c r="P16" s="18" t="s">
        <v>325</v>
      </c>
      <c r="Q16" s="19" t="s">
        <v>29</v>
      </c>
      <c r="R16" s="19">
        <v>9</v>
      </c>
      <c r="S16" s="19">
        <v>3</v>
      </c>
      <c r="T16" s="59">
        <v>0</v>
      </c>
      <c r="V16" s="18" t="s">
        <v>325</v>
      </c>
      <c r="W16" s="19" t="s">
        <v>182</v>
      </c>
      <c r="X16" s="19" t="s">
        <v>29</v>
      </c>
      <c r="Y16" s="58" t="s">
        <v>183</v>
      </c>
      <c r="Z16" s="58" t="s">
        <v>184</v>
      </c>
      <c r="AA16" s="59">
        <v>2</v>
      </c>
      <c r="AC16" s="18" t="s">
        <v>325</v>
      </c>
      <c r="AD16" s="19" t="s">
        <v>9</v>
      </c>
      <c r="AE16" s="76">
        <v>43079</v>
      </c>
      <c r="AF16" s="79" t="s">
        <v>354</v>
      </c>
      <c r="AG16" s="80">
        <f>AE16</f>
        <v>43079</v>
      </c>
      <c r="AJ16" s="97" t="s">
        <v>368</v>
      </c>
      <c r="AK16" s="19" t="s">
        <v>325</v>
      </c>
      <c r="AL16" s="19" t="s">
        <v>39</v>
      </c>
      <c r="AM16" s="29">
        <v>700000</v>
      </c>
      <c r="AN16" s="29">
        <v>1000000</v>
      </c>
      <c r="AO16" s="29">
        <f>(AN16-AM16)/AN16</f>
        <v>0.3</v>
      </c>
      <c r="AP16" s="34">
        <f>AM16/AN16</f>
        <v>0.7</v>
      </c>
      <c r="AQ16" s="34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98"/>
    </row>
    <row r="17" spans="1:56" ht="27" customHeight="1" thickBot="1" x14ac:dyDescent="0.25">
      <c r="A17" s="18" t="s">
        <v>325</v>
      </c>
      <c r="B17" s="19" t="s">
        <v>31</v>
      </c>
      <c r="C17" s="29">
        <v>900000</v>
      </c>
      <c r="D17" s="29">
        <v>1300000</v>
      </c>
      <c r="E17" s="43">
        <f t="shared" si="0"/>
        <v>0.30769230769230771</v>
      </c>
      <c r="F17" s="35">
        <f t="shared" si="1"/>
        <v>0.69230769230769229</v>
      </c>
      <c r="I17" s="18" t="s">
        <v>325</v>
      </c>
      <c r="J17" s="19" t="s">
        <v>31</v>
      </c>
      <c r="K17" s="19" t="s">
        <v>286</v>
      </c>
      <c r="L17" s="58" t="s">
        <v>287</v>
      </c>
      <c r="M17" s="58" t="s">
        <v>288</v>
      </c>
      <c r="N17" s="59">
        <v>41</v>
      </c>
      <c r="P17" s="18" t="s">
        <v>325</v>
      </c>
      <c r="Q17" s="19" t="s">
        <v>31</v>
      </c>
      <c r="R17" s="19">
        <v>10</v>
      </c>
      <c r="S17" s="19">
        <v>2</v>
      </c>
      <c r="T17" s="59">
        <v>1</v>
      </c>
      <c r="V17" s="18" t="s">
        <v>325</v>
      </c>
      <c r="W17" s="19" t="s">
        <v>185</v>
      </c>
      <c r="X17" s="19" t="s">
        <v>31</v>
      </c>
      <c r="Y17" s="58" t="s">
        <v>186</v>
      </c>
      <c r="Z17" s="58" t="s">
        <v>187</v>
      </c>
      <c r="AA17" s="59">
        <v>3</v>
      </c>
      <c r="AC17" s="18" t="s">
        <v>325</v>
      </c>
      <c r="AD17" s="19" t="s">
        <v>39</v>
      </c>
      <c r="AE17" s="76">
        <v>43838</v>
      </c>
      <c r="AF17" s="79" t="s">
        <v>355</v>
      </c>
      <c r="AG17" s="80">
        <f>AE17</f>
        <v>43838</v>
      </c>
      <c r="AJ17" s="97" t="s">
        <v>368</v>
      </c>
      <c r="AK17" s="19" t="s">
        <v>325</v>
      </c>
      <c r="AL17" s="19" t="s">
        <v>7</v>
      </c>
      <c r="AM17" s="29">
        <v>550000</v>
      </c>
      <c r="AN17" s="29">
        <v>600000</v>
      </c>
      <c r="AO17" s="29">
        <f>(AN17-AM17)/AN17</f>
        <v>8.3333333333333329E-2</v>
      </c>
      <c r="AP17" s="34">
        <f>AM17/AN17</f>
        <v>0.91666666666666663</v>
      </c>
      <c r="AQ17" s="34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98"/>
    </row>
    <row r="18" spans="1:56" ht="27" customHeight="1" thickBot="1" x14ac:dyDescent="0.25">
      <c r="A18" s="18" t="s">
        <v>325</v>
      </c>
      <c r="B18" s="19" t="s">
        <v>33</v>
      </c>
      <c r="C18" s="29">
        <v>650000</v>
      </c>
      <c r="D18" s="29">
        <v>850000</v>
      </c>
      <c r="E18" s="43">
        <f t="shared" si="0"/>
        <v>0.23529411764705882</v>
      </c>
      <c r="F18" s="35">
        <f t="shared" si="1"/>
        <v>0.76470588235294112</v>
      </c>
      <c r="I18" s="18" t="s">
        <v>325</v>
      </c>
      <c r="J18" s="19" t="s">
        <v>33</v>
      </c>
      <c r="K18" s="19" t="s">
        <v>289</v>
      </c>
      <c r="L18" s="58" t="s">
        <v>290</v>
      </c>
      <c r="M18" s="58" t="s">
        <v>291</v>
      </c>
      <c r="N18" s="59">
        <v>39</v>
      </c>
      <c r="P18" s="18" t="s">
        <v>325</v>
      </c>
      <c r="Q18" s="19" t="s">
        <v>33</v>
      </c>
      <c r="R18" s="19">
        <v>8</v>
      </c>
      <c r="S18" s="19">
        <v>4</v>
      </c>
      <c r="T18" s="59">
        <v>1</v>
      </c>
      <c r="V18" s="18" t="s">
        <v>325</v>
      </c>
      <c r="W18" s="19" t="s">
        <v>188</v>
      </c>
      <c r="X18" s="19" t="s">
        <v>33</v>
      </c>
      <c r="Y18" s="58" t="s">
        <v>189</v>
      </c>
      <c r="Z18" s="58" t="s">
        <v>190</v>
      </c>
      <c r="AA18" s="59">
        <v>4</v>
      </c>
      <c r="AC18" s="18" t="s">
        <v>325</v>
      </c>
      <c r="AD18" s="19" t="s">
        <v>49</v>
      </c>
      <c r="AE18" s="76">
        <v>43225</v>
      </c>
      <c r="AF18" s="79" t="s">
        <v>357</v>
      </c>
      <c r="AG18" s="80">
        <f>AE18</f>
        <v>43225</v>
      </c>
      <c r="AJ18" s="97" t="s">
        <v>368</v>
      </c>
      <c r="AK18" s="19" t="s">
        <v>325</v>
      </c>
      <c r="AL18" s="19" t="s">
        <v>5</v>
      </c>
      <c r="AM18" s="29">
        <v>600000</v>
      </c>
      <c r="AN18" s="29">
        <v>750000</v>
      </c>
      <c r="AO18" s="29">
        <f>(AN18-AM18)/AN18</f>
        <v>0.2</v>
      </c>
      <c r="AP18" s="34">
        <f>AM18/AN18</f>
        <v>0.8</v>
      </c>
      <c r="AQ18" s="34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98"/>
    </row>
    <row r="19" spans="1:56" ht="27" customHeight="1" thickBot="1" x14ac:dyDescent="0.25">
      <c r="A19" s="18" t="s">
        <v>325</v>
      </c>
      <c r="B19" s="19" t="s">
        <v>35</v>
      </c>
      <c r="C19" s="29">
        <v>500000</v>
      </c>
      <c r="D19" s="29">
        <v>700000</v>
      </c>
      <c r="E19" s="43">
        <f t="shared" si="0"/>
        <v>0.2857142857142857</v>
      </c>
      <c r="F19" s="35">
        <f t="shared" si="1"/>
        <v>0.7142857142857143</v>
      </c>
      <c r="I19" s="18" t="s">
        <v>325</v>
      </c>
      <c r="J19" s="19" t="s">
        <v>35</v>
      </c>
      <c r="K19" s="19" t="s">
        <v>292</v>
      </c>
      <c r="L19" s="58" t="s">
        <v>293</v>
      </c>
      <c r="M19" s="19" t="s">
        <v>260</v>
      </c>
      <c r="N19" s="59" t="s">
        <v>260</v>
      </c>
      <c r="P19" s="18" t="s">
        <v>325</v>
      </c>
      <c r="Q19" s="19" t="s">
        <v>35</v>
      </c>
      <c r="R19" s="19">
        <v>10</v>
      </c>
      <c r="S19" s="19">
        <v>2</v>
      </c>
      <c r="T19" s="59">
        <v>0</v>
      </c>
      <c r="V19" s="18" t="s">
        <v>325</v>
      </c>
      <c r="W19" s="19" t="s">
        <v>191</v>
      </c>
      <c r="X19" s="19" t="s">
        <v>35</v>
      </c>
      <c r="Y19" s="58" t="s">
        <v>192</v>
      </c>
      <c r="Z19" s="58" t="s">
        <v>193</v>
      </c>
      <c r="AA19" s="59">
        <v>2</v>
      </c>
      <c r="AC19" s="18" t="s">
        <v>325</v>
      </c>
      <c r="AD19" s="19" t="s">
        <v>7</v>
      </c>
      <c r="AE19" s="76">
        <v>43881</v>
      </c>
      <c r="AF19" s="79" t="s">
        <v>360</v>
      </c>
      <c r="AG19" s="80">
        <f>AE19</f>
        <v>43881</v>
      </c>
      <c r="AJ19" s="97" t="s">
        <v>368</v>
      </c>
      <c r="AK19" s="19" t="s">
        <v>325</v>
      </c>
      <c r="AL19" s="19" t="s">
        <v>29</v>
      </c>
      <c r="AM19" s="29">
        <v>700000</v>
      </c>
      <c r="AN19" s="29">
        <v>900000</v>
      </c>
      <c r="AO19" s="29">
        <f>(AN19-AM19)/AN19</f>
        <v>0.22222222222222221</v>
      </c>
      <c r="AP19" s="34">
        <f>AM19/AN19</f>
        <v>0.77777777777777779</v>
      </c>
      <c r="AQ19" s="34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98"/>
    </row>
    <row r="20" spans="1:56" ht="27" customHeight="1" thickBot="1" x14ac:dyDescent="0.25">
      <c r="A20" s="18" t="s">
        <v>325</v>
      </c>
      <c r="B20" s="19" t="s">
        <v>37</v>
      </c>
      <c r="C20" s="29">
        <v>800000</v>
      </c>
      <c r="D20" s="29">
        <v>950000</v>
      </c>
      <c r="E20" s="43">
        <f t="shared" si="0"/>
        <v>0.15789473684210525</v>
      </c>
      <c r="F20" s="35">
        <f t="shared" si="1"/>
        <v>0.84210526315789469</v>
      </c>
      <c r="I20" s="18" t="s">
        <v>325</v>
      </c>
      <c r="J20" s="19" t="s">
        <v>37</v>
      </c>
      <c r="K20" s="19" t="s">
        <v>294</v>
      </c>
      <c r="L20" s="58" t="s">
        <v>295</v>
      </c>
      <c r="M20" s="58" t="s">
        <v>296</v>
      </c>
      <c r="N20" s="59">
        <v>42</v>
      </c>
      <c r="P20" s="18" t="s">
        <v>325</v>
      </c>
      <c r="Q20" s="19" t="s">
        <v>37</v>
      </c>
      <c r="R20" s="19">
        <v>9</v>
      </c>
      <c r="S20" s="19">
        <v>3</v>
      </c>
      <c r="T20" s="59">
        <v>0</v>
      </c>
      <c r="V20" s="18" t="s">
        <v>325</v>
      </c>
      <c r="W20" s="19" t="s">
        <v>194</v>
      </c>
      <c r="X20" s="19" t="s">
        <v>37</v>
      </c>
      <c r="Y20" s="58" t="s">
        <v>195</v>
      </c>
      <c r="Z20" s="58" t="s">
        <v>196</v>
      </c>
      <c r="AA20" s="59">
        <v>3</v>
      </c>
      <c r="AC20" s="18" t="s">
        <v>325</v>
      </c>
      <c r="AD20" s="19" t="s">
        <v>5</v>
      </c>
      <c r="AE20" s="76">
        <v>43388</v>
      </c>
      <c r="AF20" s="79" t="s">
        <v>352</v>
      </c>
      <c r="AG20" s="80">
        <f>AE20</f>
        <v>43388</v>
      </c>
      <c r="AJ20" s="97" t="s">
        <v>368</v>
      </c>
      <c r="AK20" s="19" t="s">
        <v>325</v>
      </c>
      <c r="AL20" s="19" t="s">
        <v>19</v>
      </c>
      <c r="AM20" s="29">
        <v>700000</v>
      </c>
      <c r="AN20" s="29">
        <v>1000000</v>
      </c>
      <c r="AO20" s="29">
        <f>(AN20-AM20)/AN20</f>
        <v>0.3</v>
      </c>
      <c r="AP20" s="34">
        <f>AM20/AN20</f>
        <v>0.7</v>
      </c>
      <c r="AQ20" s="34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98"/>
    </row>
    <row r="21" spans="1:56" ht="27" customHeight="1" thickBot="1" x14ac:dyDescent="0.25">
      <c r="A21" s="18" t="s">
        <v>325</v>
      </c>
      <c r="B21" s="19" t="s">
        <v>39</v>
      </c>
      <c r="C21" s="29">
        <v>700000</v>
      </c>
      <c r="D21" s="29">
        <v>1000000</v>
      </c>
      <c r="E21" s="43">
        <f t="shared" si="0"/>
        <v>0.3</v>
      </c>
      <c r="F21" s="35">
        <f t="shared" si="1"/>
        <v>0.7</v>
      </c>
      <c r="I21" s="18" t="s">
        <v>325</v>
      </c>
      <c r="J21" s="19" t="s">
        <v>39</v>
      </c>
      <c r="K21" s="19" t="s">
        <v>297</v>
      </c>
      <c r="L21" s="58" t="s">
        <v>298</v>
      </c>
      <c r="M21" s="58" t="s">
        <v>299</v>
      </c>
      <c r="N21" s="59">
        <v>61</v>
      </c>
      <c r="P21" s="18" t="s">
        <v>325</v>
      </c>
      <c r="Q21" s="19" t="s">
        <v>39</v>
      </c>
      <c r="R21" s="19">
        <v>8</v>
      </c>
      <c r="S21" s="19">
        <v>5</v>
      </c>
      <c r="T21" s="59">
        <v>0</v>
      </c>
      <c r="V21" s="18" t="s">
        <v>325</v>
      </c>
      <c r="W21" s="19" t="s">
        <v>197</v>
      </c>
      <c r="X21" s="19" t="s">
        <v>39</v>
      </c>
      <c r="Y21" s="58" t="s">
        <v>198</v>
      </c>
      <c r="Z21" s="58" t="s">
        <v>199</v>
      </c>
      <c r="AA21" s="59">
        <v>4</v>
      </c>
      <c r="AC21" s="18" t="s">
        <v>325</v>
      </c>
      <c r="AD21" s="19" t="s">
        <v>29</v>
      </c>
      <c r="AE21" s="76">
        <v>43636</v>
      </c>
      <c r="AF21" s="79" t="s">
        <v>358</v>
      </c>
      <c r="AG21" s="80">
        <f>AE21</f>
        <v>43636</v>
      </c>
      <c r="AJ21" s="97" t="s">
        <v>368</v>
      </c>
      <c r="AK21" s="19" t="s">
        <v>325</v>
      </c>
      <c r="AL21" s="19" t="s">
        <v>11</v>
      </c>
      <c r="AM21" s="29">
        <v>500000</v>
      </c>
      <c r="AN21" s="29">
        <v>700000</v>
      </c>
      <c r="AO21" s="29">
        <f>(AN21-AM21)/AN21</f>
        <v>0.2857142857142857</v>
      </c>
      <c r="AP21" s="34">
        <f>AM21/AN21</f>
        <v>0.7142857142857143</v>
      </c>
      <c r="AQ21" s="34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98"/>
    </row>
    <row r="22" spans="1:56" ht="27.75" customHeight="1" thickBot="1" x14ac:dyDescent="0.25">
      <c r="A22" s="18" t="s">
        <v>325</v>
      </c>
      <c r="B22" s="19" t="s">
        <v>41</v>
      </c>
      <c r="C22" s="29">
        <v>850000</v>
      </c>
      <c r="D22" s="29">
        <v>1150000</v>
      </c>
      <c r="E22" s="43">
        <f t="shared" si="0"/>
        <v>0.2608695652173913</v>
      </c>
      <c r="F22" s="35">
        <f t="shared" si="1"/>
        <v>0.73913043478260865</v>
      </c>
      <c r="I22" s="18" t="s">
        <v>325</v>
      </c>
      <c r="J22" s="19" t="s">
        <v>41</v>
      </c>
      <c r="K22" s="19" t="s">
        <v>300</v>
      </c>
      <c r="L22" s="58" t="s">
        <v>301</v>
      </c>
      <c r="M22" s="19" t="s">
        <v>260</v>
      </c>
      <c r="N22" s="59" t="s">
        <v>260</v>
      </c>
      <c r="P22" s="18" t="s">
        <v>325</v>
      </c>
      <c r="Q22" s="19" t="s">
        <v>41</v>
      </c>
      <c r="R22" s="19">
        <v>10</v>
      </c>
      <c r="S22" s="19">
        <v>1</v>
      </c>
      <c r="T22" s="59">
        <v>1</v>
      </c>
      <c r="V22" s="18" t="s">
        <v>325</v>
      </c>
      <c r="W22" s="19" t="s">
        <v>200</v>
      </c>
      <c r="X22" s="19" t="s">
        <v>41</v>
      </c>
      <c r="Y22" s="58" t="s">
        <v>201</v>
      </c>
      <c r="Z22" s="58" t="s">
        <v>202</v>
      </c>
      <c r="AA22" s="59">
        <v>2</v>
      </c>
      <c r="AC22" s="18" t="s">
        <v>325</v>
      </c>
      <c r="AD22" s="19" t="s">
        <v>45</v>
      </c>
      <c r="AE22" s="76">
        <v>43261</v>
      </c>
      <c r="AF22" s="79" t="s">
        <v>358</v>
      </c>
      <c r="AG22" s="80">
        <f>AE22</f>
        <v>43261</v>
      </c>
      <c r="AJ22" s="97" t="s">
        <v>368</v>
      </c>
      <c r="AK22" s="19" t="s">
        <v>326</v>
      </c>
      <c r="AL22" s="19" t="s">
        <v>70</v>
      </c>
      <c r="AM22" s="29">
        <v>600000</v>
      </c>
      <c r="AN22" s="29">
        <v>850000</v>
      </c>
      <c r="AO22" s="29">
        <f>(AN22-AM22)/AN22</f>
        <v>0.29411764705882354</v>
      </c>
      <c r="AP22" s="34">
        <f>AM22/AN22</f>
        <v>0.70588235294117652</v>
      </c>
      <c r="AQ22" s="34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98"/>
    </row>
    <row r="23" spans="1:56" ht="27.75" customHeight="1" thickBot="1" x14ac:dyDescent="0.25">
      <c r="A23" s="18" t="s">
        <v>326</v>
      </c>
      <c r="B23" s="19" t="s">
        <v>54</v>
      </c>
      <c r="C23" s="20">
        <v>400000</v>
      </c>
      <c r="D23" s="20">
        <v>450000</v>
      </c>
      <c r="E23" s="43">
        <f t="shared" si="0"/>
        <v>0.1111111111111111</v>
      </c>
      <c r="F23" s="35">
        <f t="shared" ref="F23:F42" si="2">C23/D23</f>
        <v>0.88888888888888884</v>
      </c>
      <c r="I23" s="18" t="s">
        <v>326</v>
      </c>
      <c r="J23" s="19" t="s">
        <v>54</v>
      </c>
      <c r="K23" s="19" t="s">
        <v>302</v>
      </c>
      <c r="L23" s="58" t="s">
        <v>253</v>
      </c>
      <c r="M23" s="58" t="s">
        <v>303</v>
      </c>
      <c r="N23" s="59">
        <v>44</v>
      </c>
      <c r="P23" s="18" t="s">
        <v>325</v>
      </c>
      <c r="Q23" s="19" t="s">
        <v>43</v>
      </c>
      <c r="R23" s="19">
        <v>9</v>
      </c>
      <c r="S23" s="19">
        <v>3</v>
      </c>
      <c r="T23" s="59">
        <v>1</v>
      </c>
      <c r="V23" s="18" t="s">
        <v>326</v>
      </c>
      <c r="W23" s="19" t="s">
        <v>203</v>
      </c>
      <c r="X23" s="19" t="s">
        <v>54</v>
      </c>
      <c r="Y23" s="58" t="s">
        <v>144</v>
      </c>
      <c r="Z23" s="58" t="s">
        <v>145</v>
      </c>
      <c r="AA23" s="59">
        <v>3</v>
      </c>
      <c r="AC23" s="18" t="s">
        <v>325</v>
      </c>
      <c r="AD23" s="19" t="s">
        <v>19</v>
      </c>
      <c r="AE23" s="76">
        <v>42996</v>
      </c>
      <c r="AF23" s="79">
        <v>42614</v>
      </c>
      <c r="AG23" s="80">
        <f>AE23</f>
        <v>42996</v>
      </c>
      <c r="AJ23" s="97" t="s">
        <v>368</v>
      </c>
      <c r="AK23" s="19" t="s">
        <v>325</v>
      </c>
      <c r="AL23" s="19" t="s">
        <v>25</v>
      </c>
      <c r="AM23" s="29">
        <v>600000</v>
      </c>
      <c r="AN23" s="29">
        <v>800000</v>
      </c>
      <c r="AO23" s="29">
        <f>(AN23-AM23)/AN23</f>
        <v>0.25</v>
      </c>
      <c r="AP23" s="34">
        <f>AM23/AN23</f>
        <v>0.75</v>
      </c>
      <c r="AQ23" s="34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98"/>
    </row>
    <row r="24" spans="1:56" ht="27.75" customHeight="1" thickBot="1" x14ac:dyDescent="0.25">
      <c r="A24" s="18" t="s">
        <v>326</v>
      </c>
      <c r="B24" s="19" t="s">
        <v>56</v>
      </c>
      <c r="C24" s="20">
        <v>550000</v>
      </c>
      <c r="D24" s="20">
        <v>700000</v>
      </c>
      <c r="E24" s="43">
        <f t="shared" si="0"/>
        <v>0.21428571428571427</v>
      </c>
      <c r="F24" s="35">
        <f t="shared" si="2"/>
        <v>0.7857142857142857</v>
      </c>
      <c r="I24" s="18" t="s">
        <v>326</v>
      </c>
      <c r="J24" s="19" t="s">
        <v>56</v>
      </c>
      <c r="K24" s="19" t="s">
        <v>304</v>
      </c>
      <c r="L24" s="58" t="s">
        <v>256</v>
      </c>
      <c r="M24" s="58" t="s">
        <v>305</v>
      </c>
      <c r="N24" s="59">
        <v>56</v>
      </c>
      <c r="P24" s="18" t="s">
        <v>325</v>
      </c>
      <c r="Q24" s="19" t="s">
        <v>45</v>
      </c>
      <c r="R24" s="19">
        <v>8</v>
      </c>
      <c r="S24" s="19">
        <v>4</v>
      </c>
      <c r="T24" s="59">
        <v>0</v>
      </c>
      <c r="V24" s="18" t="s">
        <v>326</v>
      </c>
      <c r="W24" s="19" t="s">
        <v>204</v>
      </c>
      <c r="X24" s="19" t="s">
        <v>56</v>
      </c>
      <c r="Y24" s="58" t="s">
        <v>147</v>
      </c>
      <c r="Z24" s="58" t="s">
        <v>148</v>
      </c>
      <c r="AA24" s="59">
        <v>4</v>
      </c>
      <c r="AC24" s="18" t="s">
        <v>325</v>
      </c>
      <c r="AD24" s="19" t="s">
        <v>11</v>
      </c>
      <c r="AE24" s="76">
        <v>43682</v>
      </c>
      <c r="AF24" s="79" t="s">
        <v>362</v>
      </c>
      <c r="AG24" s="80">
        <f>AE24</f>
        <v>43682</v>
      </c>
      <c r="AJ24" s="97" t="s">
        <v>368</v>
      </c>
      <c r="AK24" s="19" t="s">
        <v>325</v>
      </c>
      <c r="AL24" s="19" t="s">
        <v>33</v>
      </c>
      <c r="AM24" s="29">
        <v>650000</v>
      </c>
      <c r="AN24" s="29">
        <v>850000</v>
      </c>
      <c r="AO24" s="29">
        <f>(AN24-AM24)/AN24</f>
        <v>0.23529411764705882</v>
      </c>
      <c r="AP24" s="34">
        <f>AM24/AN24</f>
        <v>0.76470588235294112</v>
      </c>
      <c r="AQ24" s="34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98"/>
    </row>
    <row r="25" spans="1:56" ht="27.75" customHeight="1" thickBot="1" x14ac:dyDescent="0.25">
      <c r="A25" s="18" t="s">
        <v>326</v>
      </c>
      <c r="B25" s="19" t="s">
        <v>58</v>
      </c>
      <c r="C25" s="20">
        <v>500000</v>
      </c>
      <c r="D25" s="20">
        <v>600000</v>
      </c>
      <c r="E25" s="43">
        <f t="shared" si="0"/>
        <v>0.16666666666666666</v>
      </c>
      <c r="F25" s="35">
        <f t="shared" si="2"/>
        <v>0.83333333333333337</v>
      </c>
      <c r="I25" s="18" t="s">
        <v>326</v>
      </c>
      <c r="J25" s="19" t="s">
        <v>58</v>
      </c>
      <c r="K25" s="19" t="s">
        <v>306</v>
      </c>
      <c r="L25" s="58" t="s">
        <v>259</v>
      </c>
      <c r="M25" s="19" t="s">
        <v>260</v>
      </c>
      <c r="N25" s="59" t="s">
        <v>260</v>
      </c>
      <c r="P25" s="18" t="s">
        <v>325</v>
      </c>
      <c r="Q25" s="19" t="s">
        <v>47</v>
      </c>
      <c r="R25" s="19">
        <v>10</v>
      </c>
      <c r="S25" s="19">
        <v>2</v>
      </c>
      <c r="T25" s="59">
        <v>0</v>
      </c>
      <c r="V25" s="18" t="s">
        <v>326</v>
      </c>
      <c r="W25" s="19" t="s">
        <v>205</v>
      </c>
      <c r="X25" s="19" t="s">
        <v>58</v>
      </c>
      <c r="Y25" s="58" t="s">
        <v>150</v>
      </c>
      <c r="Z25" s="58" t="s">
        <v>151</v>
      </c>
      <c r="AA25" s="59">
        <v>3</v>
      </c>
      <c r="AC25" s="18" t="s">
        <v>325</v>
      </c>
      <c r="AD25" s="19" t="s">
        <v>51</v>
      </c>
      <c r="AE25" s="76">
        <v>42931</v>
      </c>
      <c r="AF25" s="79">
        <v>42553</v>
      </c>
      <c r="AG25" s="80">
        <f>AE25</f>
        <v>42931</v>
      </c>
      <c r="AJ25" s="97" t="s">
        <v>368</v>
      </c>
      <c r="AK25" s="19" t="s">
        <v>327</v>
      </c>
      <c r="AL25" s="19" t="s">
        <v>125</v>
      </c>
      <c r="AM25" s="29">
        <v>1000000</v>
      </c>
      <c r="AN25" s="29">
        <v>1100000</v>
      </c>
      <c r="AO25" s="29">
        <f>(AN25-AM25)/AN25</f>
        <v>9.0909090909090912E-2</v>
      </c>
      <c r="AP25" s="34">
        <f>AM25/AN25</f>
        <v>0.90909090909090906</v>
      </c>
      <c r="AQ25" s="34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98"/>
    </row>
    <row r="26" spans="1:56" ht="27.75" customHeight="1" thickBot="1" x14ac:dyDescent="0.25">
      <c r="A26" s="18" t="s">
        <v>326</v>
      </c>
      <c r="B26" s="19" t="s">
        <v>60</v>
      </c>
      <c r="C26" s="20">
        <v>650000</v>
      </c>
      <c r="D26" s="20">
        <v>800000</v>
      </c>
      <c r="E26" s="43">
        <f t="shared" si="0"/>
        <v>0.1875</v>
      </c>
      <c r="F26" s="35">
        <f t="shared" si="2"/>
        <v>0.8125</v>
      </c>
      <c r="I26" s="18" t="s">
        <v>326</v>
      </c>
      <c r="J26" s="19" t="s">
        <v>60</v>
      </c>
      <c r="K26" s="19" t="s">
        <v>271</v>
      </c>
      <c r="L26" s="58" t="s">
        <v>262</v>
      </c>
      <c r="M26" s="58" t="s">
        <v>307</v>
      </c>
      <c r="N26" s="59">
        <v>46</v>
      </c>
      <c r="P26" s="18" t="s">
        <v>325</v>
      </c>
      <c r="Q26" s="19" t="s">
        <v>49</v>
      </c>
      <c r="R26" s="19">
        <v>7</v>
      </c>
      <c r="S26" s="19">
        <v>4</v>
      </c>
      <c r="T26" s="59">
        <v>1</v>
      </c>
      <c r="V26" s="18" t="s">
        <v>326</v>
      </c>
      <c r="W26" s="19" t="s">
        <v>206</v>
      </c>
      <c r="X26" s="19" t="s">
        <v>60</v>
      </c>
      <c r="Y26" s="58" t="s">
        <v>153</v>
      </c>
      <c r="Z26" s="58" t="s">
        <v>154</v>
      </c>
      <c r="AA26" s="59">
        <v>2</v>
      </c>
      <c r="AC26" s="18" t="s">
        <v>326</v>
      </c>
      <c r="AD26" s="19" t="s">
        <v>70</v>
      </c>
      <c r="AE26" s="76">
        <v>42975</v>
      </c>
      <c r="AF26" s="79">
        <v>42583</v>
      </c>
      <c r="AG26" s="80">
        <f>AE26</f>
        <v>42975</v>
      </c>
      <c r="AJ26" s="97" t="s">
        <v>368</v>
      </c>
      <c r="AK26" s="19" t="s">
        <v>327</v>
      </c>
      <c r="AL26" s="19" t="s">
        <v>132</v>
      </c>
      <c r="AM26" s="29">
        <v>500000</v>
      </c>
      <c r="AN26" s="29">
        <v>700000</v>
      </c>
      <c r="AO26" s="29">
        <f>(AN26-AM26)/AN26</f>
        <v>0.2857142857142857</v>
      </c>
      <c r="AP26" s="34">
        <f>AM26/AN26</f>
        <v>0.7142857142857143</v>
      </c>
      <c r="AQ26" s="34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98"/>
    </row>
    <row r="27" spans="1:56" ht="27.75" customHeight="1" thickBot="1" x14ac:dyDescent="0.25">
      <c r="A27" s="18" t="s">
        <v>326</v>
      </c>
      <c r="B27" s="19" t="s">
        <v>62</v>
      </c>
      <c r="C27" s="20">
        <v>350000</v>
      </c>
      <c r="D27" s="20">
        <v>550000</v>
      </c>
      <c r="E27" s="43">
        <f t="shared" si="0"/>
        <v>0.36363636363636365</v>
      </c>
      <c r="F27" s="35">
        <f t="shared" si="2"/>
        <v>0.63636363636363635</v>
      </c>
      <c r="I27" s="18" t="s">
        <v>326</v>
      </c>
      <c r="J27" s="19" t="s">
        <v>62</v>
      </c>
      <c r="K27" s="19" t="s">
        <v>274</v>
      </c>
      <c r="L27" s="58" t="s">
        <v>265</v>
      </c>
      <c r="M27" s="19" t="s">
        <v>260</v>
      </c>
      <c r="N27" s="59" t="s">
        <v>260</v>
      </c>
      <c r="P27" s="18" t="s">
        <v>325</v>
      </c>
      <c r="Q27" s="19" t="s">
        <v>51</v>
      </c>
      <c r="R27" s="19">
        <v>9</v>
      </c>
      <c r="S27" s="19">
        <v>2</v>
      </c>
      <c r="T27" s="59">
        <v>2</v>
      </c>
      <c r="V27" s="18" t="s">
        <v>326</v>
      </c>
      <c r="W27" s="19" t="s">
        <v>207</v>
      </c>
      <c r="X27" s="19" t="s">
        <v>62</v>
      </c>
      <c r="Y27" s="58" t="s">
        <v>156</v>
      </c>
      <c r="Z27" s="58" t="s">
        <v>157</v>
      </c>
      <c r="AA27" s="59">
        <v>4</v>
      </c>
      <c r="AC27" s="18" t="s">
        <v>325</v>
      </c>
      <c r="AD27" s="19" t="s">
        <v>25</v>
      </c>
      <c r="AE27" s="76">
        <v>43807</v>
      </c>
      <c r="AF27" s="79" t="s">
        <v>354</v>
      </c>
      <c r="AG27" s="80">
        <f>AE27</f>
        <v>43807</v>
      </c>
      <c r="AJ27" s="97" t="s">
        <v>368</v>
      </c>
      <c r="AK27" s="19" t="s">
        <v>327</v>
      </c>
      <c r="AL27" s="19" t="s">
        <v>118</v>
      </c>
      <c r="AM27" s="29">
        <v>650000</v>
      </c>
      <c r="AN27" s="29">
        <v>800000</v>
      </c>
      <c r="AO27" s="29">
        <f>(AN27-AM27)/AN27</f>
        <v>0.1875</v>
      </c>
      <c r="AP27" s="34">
        <f>AM27/AN27</f>
        <v>0.8125</v>
      </c>
      <c r="AQ27" s="34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98"/>
    </row>
    <row r="28" spans="1:56" ht="27.75" customHeight="1" thickBot="1" x14ac:dyDescent="0.25">
      <c r="A28" s="18" t="s">
        <v>326</v>
      </c>
      <c r="B28" s="19" t="s">
        <v>64</v>
      </c>
      <c r="C28" s="20">
        <v>700000</v>
      </c>
      <c r="D28" s="20">
        <v>950000</v>
      </c>
      <c r="E28" s="43">
        <f t="shared" si="0"/>
        <v>0.26315789473684209</v>
      </c>
      <c r="F28" s="35">
        <f t="shared" si="2"/>
        <v>0.73684210526315785</v>
      </c>
      <c r="I28" s="18" t="s">
        <v>326</v>
      </c>
      <c r="J28" s="19" t="s">
        <v>64</v>
      </c>
      <c r="K28" s="19" t="s">
        <v>272</v>
      </c>
      <c r="L28" s="58" t="s">
        <v>267</v>
      </c>
      <c r="M28" s="58" t="s">
        <v>308</v>
      </c>
      <c r="N28" s="59">
        <v>51</v>
      </c>
      <c r="P28" s="18" t="s">
        <v>326</v>
      </c>
      <c r="Q28" s="19" t="s">
        <v>54</v>
      </c>
      <c r="R28" s="19">
        <v>9</v>
      </c>
      <c r="S28" s="19">
        <v>3</v>
      </c>
      <c r="T28" s="59">
        <v>1</v>
      </c>
      <c r="V28" s="18" t="s">
        <v>326</v>
      </c>
      <c r="W28" s="19" t="s">
        <v>208</v>
      </c>
      <c r="X28" s="19" t="s">
        <v>64</v>
      </c>
      <c r="Y28" s="58" t="s">
        <v>159</v>
      </c>
      <c r="Z28" s="58" t="s">
        <v>160</v>
      </c>
      <c r="AA28" s="59">
        <v>3</v>
      </c>
      <c r="AC28" s="18" t="s">
        <v>325</v>
      </c>
      <c r="AD28" s="19" t="s">
        <v>33</v>
      </c>
      <c r="AE28" s="76">
        <v>43018</v>
      </c>
      <c r="AF28" s="79" t="s">
        <v>352</v>
      </c>
      <c r="AG28" s="80">
        <f>AE28</f>
        <v>43018</v>
      </c>
      <c r="AJ28" s="97" t="s">
        <v>368</v>
      </c>
      <c r="AK28" s="19" t="s">
        <v>327</v>
      </c>
      <c r="AL28" s="19" t="s">
        <v>103</v>
      </c>
      <c r="AM28" s="29">
        <v>450000</v>
      </c>
      <c r="AN28" s="29">
        <v>550000</v>
      </c>
      <c r="AO28" s="29">
        <f>(AN28-AM28)/AN28</f>
        <v>0.18181818181818182</v>
      </c>
      <c r="AP28" s="34">
        <f>AM28/AN28</f>
        <v>0.81818181818181823</v>
      </c>
      <c r="AQ28" s="34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98"/>
    </row>
    <row r="29" spans="1:56" ht="27.75" customHeight="1" thickBot="1" x14ac:dyDescent="0.25">
      <c r="A29" s="18" t="s">
        <v>326</v>
      </c>
      <c r="B29" s="19" t="s">
        <v>66</v>
      </c>
      <c r="C29" s="20">
        <v>800000</v>
      </c>
      <c r="D29" s="20">
        <v>1100000</v>
      </c>
      <c r="E29" s="43">
        <f t="shared" si="0"/>
        <v>0.27272727272727271</v>
      </c>
      <c r="F29" s="35">
        <f t="shared" si="2"/>
        <v>0.72727272727272729</v>
      </c>
      <c r="I29" s="18" t="s">
        <v>326</v>
      </c>
      <c r="J29" s="19" t="s">
        <v>66</v>
      </c>
      <c r="K29" s="19" t="s">
        <v>286</v>
      </c>
      <c r="L29" s="58" t="s">
        <v>270</v>
      </c>
      <c r="M29" s="58" t="s">
        <v>144</v>
      </c>
      <c r="N29" s="59">
        <v>61</v>
      </c>
      <c r="P29" s="18" t="s">
        <v>326</v>
      </c>
      <c r="Q29" s="19" t="s">
        <v>56</v>
      </c>
      <c r="R29" s="19">
        <v>8</v>
      </c>
      <c r="S29" s="19">
        <v>4</v>
      </c>
      <c r="T29" s="59">
        <v>0</v>
      </c>
      <c r="V29" s="18" t="s">
        <v>326</v>
      </c>
      <c r="W29" s="19" t="s">
        <v>209</v>
      </c>
      <c r="X29" s="19" t="s">
        <v>66</v>
      </c>
      <c r="Y29" s="58" t="s">
        <v>162</v>
      </c>
      <c r="Z29" s="58" t="s">
        <v>163</v>
      </c>
      <c r="AA29" s="59">
        <v>2</v>
      </c>
      <c r="AC29" s="18" t="s">
        <v>327</v>
      </c>
      <c r="AD29" s="19" t="s">
        <v>125</v>
      </c>
      <c r="AE29" s="76">
        <v>43475</v>
      </c>
      <c r="AF29" s="79" t="s">
        <v>355</v>
      </c>
      <c r="AG29" s="80">
        <f>AE29</f>
        <v>43475</v>
      </c>
      <c r="AJ29" s="97" t="s">
        <v>368</v>
      </c>
      <c r="AK29" s="19" t="s">
        <v>326</v>
      </c>
      <c r="AL29" s="19" t="s">
        <v>54</v>
      </c>
      <c r="AM29" s="29">
        <v>400000</v>
      </c>
      <c r="AN29" s="29">
        <v>450000</v>
      </c>
      <c r="AO29" s="29">
        <f>(AN29-AM29)/AN29</f>
        <v>0.1111111111111111</v>
      </c>
      <c r="AP29" s="34">
        <f>AM29/AN29</f>
        <v>0.88888888888888884</v>
      </c>
      <c r="AQ29" s="34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98"/>
    </row>
    <row r="30" spans="1:56" ht="27.75" customHeight="1" thickBot="1" x14ac:dyDescent="0.25">
      <c r="A30" s="18" t="s">
        <v>326</v>
      </c>
      <c r="B30" s="19" t="s">
        <v>68</v>
      </c>
      <c r="C30" s="20">
        <v>450000</v>
      </c>
      <c r="D30" s="20">
        <v>500000</v>
      </c>
      <c r="E30" s="43">
        <f t="shared" si="0"/>
        <v>0.1</v>
      </c>
      <c r="F30" s="35">
        <f t="shared" si="2"/>
        <v>0.9</v>
      </c>
      <c r="I30" s="18" t="s">
        <v>326</v>
      </c>
      <c r="J30" s="19" t="s">
        <v>68</v>
      </c>
      <c r="K30" s="19" t="s">
        <v>255</v>
      </c>
      <c r="L30" s="58" t="s">
        <v>147</v>
      </c>
      <c r="M30" s="19" t="s">
        <v>260</v>
      </c>
      <c r="N30" s="59" t="s">
        <v>260</v>
      </c>
      <c r="P30" s="18" t="s">
        <v>326</v>
      </c>
      <c r="Q30" s="19" t="s">
        <v>58</v>
      </c>
      <c r="R30" s="19">
        <v>10</v>
      </c>
      <c r="S30" s="19">
        <v>2</v>
      </c>
      <c r="T30" s="59">
        <v>1</v>
      </c>
      <c r="V30" s="18" t="s">
        <v>326</v>
      </c>
      <c r="W30" s="19" t="s">
        <v>210</v>
      </c>
      <c r="X30" s="19" t="s">
        <v>68</v>
      </c>
      <c r="Y30" s="58" t="s">
        <v>165</v>
      </c>
      <c r="Z30" s="58" t="s">
        <v>166</v>
      </c>
      <c r="AA30" s="59">
        <v>4</v>
      </c>
      <c r="AC30" s="18" t="s">
        <v>327</v>
      </c>
      <c r="AD30" s="19" t="s">
        <v>132</v>
      </c>
      <c r="AE30" s="76">
        <v>43388</v>
      </c>
      <c r="AF30" s="79" t="s">
        <v>353</v>
      </c>
      <c r="AG30" s="80">
        <f>AE30</f>
        <v>43388</v>
      </c>
      <c r="AJ30" s="97" t="s">
        <v>368</v>
      </c>
      <c r="AK30" s="19" t="s">
        <v>326</v>
      </c>
      <c r="AL30" s="19" t="s">
        <v>87</v>
      </c>
      <c r="AM30" s="29">
        <v>850000</v>
      </c>
      <c r="AN30" s="29">
        <v>1000000</v>
      </c>
      <c r="AO30" s="29">
        <f>(AN30-AM30)/AN30</f>
        <v>0.15</v>
      </c>
      <c r="AP30" s="34">
        <f>AM30/AN30</f>
        <v>0.85</v>
      </c>
      <c r="AQ30" s="34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98"/>
    </row>
    <row r="31" spans="1:56" ht="27.75" customHeight="1" thickBot="1" x14ac:dyDescent="0.25">
      <c r="A31" s="18" t="s">
        <v>326</v>
      </c>
      <c r="B31" s="19" t="s">
        <v>70</v>
      </c>
      <c r="C31" s="20">
        <v>600000</v>
      </c>
      <c r="D31" s="20">
        <v>850000</v>
      </c>
      <c r="E31" s="43">
        <f t="shared" si="0"/>
        <v>0.29411764705882354</v>
      </c>
      <c r="F31" s="35">
        <f t="shared" si="2"/>
        <v>0.70588235294117652</v>
      </c>
      <c r="I31" s="18" t="s">
        <v>326</v>
      </c>
      <c r="J31" s="19" t="s">
        <v>70</v>
      </c>
      <c r="K31" s="19" t="s">
        <v>309</v>
      </c>
      <c r="L31" s="58" t="s">
        <v>150</v>
      </c>
      <c r="M31" s="58" t="s">
        <v>310</v>
      </c>
      <c r="N31" s="59">
        <v>46</v>
      </c>
      <c r="P31" s="18" t="s">
        <v>326</v>
      </c>
      <c r="Q31" s="19" t="s">
        <v>60</v>
      </c>
      <c r="R31" s="19">
        <v>9</v>
      </c>
      <c r="S31" s="19">
        <v>3</v>
      </c>
      <c r="T31" s="59">
        <v>0</v>
      </c>
      <c r="V31" s="18" t="s">
        <v>326</v>
      </c>
      <c r="W31" s="19" t="s">
        <v>211</v>
      </c>
      <c r="X31" s="19" t="s">
        <v>70</v>
      </c>
      <c r="Y31" s="58" t="s">
        <v>168</v>
      </c>
      <c r="Z31" s="58" t="s">
        <v>169</v>
      </c>
      <c r="AA31" s="59">
        <v>3</v>
      </c>
      <c r="AC31" s="18" t="s">
        <v>327</v>
      </c>
      <c r="AD31" s="19" t="s">
        <v>118</v>
      </c>
      <c r="AE31" s="76">
        <v>43570</v>
      </c>
      <c r="AF31" s="79" t="s">
        <v>356</v>
      </c>
      <c r="AG31" s="80">
        <f>AE31</f>
        <v>43570</v>
      </c>
      <c r="AJ31" s="97" t="s">
        <v>368</v>
      </c>
      <c r="AK31" s="19" t="s">
        <v>326</v>
      </c>
      <c r="AL31" s="19" t="s">
        <v>68</v>
      </c>
      <c r="AM31" s="29">
        <v>450000</v>
      </c>
      <c r="AN31" s="29">
        <v>500000</v>
      </c>
      <c r="AO31" s="29">
        <f>(AN31-AM31)/AN31</f>
        <v>0.1</v>
      </c>
      <c r="AP31" s="34">
        <f>AM31/AN31</f>
        <v>0.9</v>
      </c>
      <c r="AQ31" s="34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98"/>
    </row>
    <row r="32" spans="1:56" ht="27.75" customHeight="1" thickBot="1" x14ac:dyDescent="0.25">
      <c r="A32" s="18" t="s">
        <v>326</v>
      </c>
      <c r="B32" s="19" t="s">
        <v>72</v>
      </c>
      <c r="C32" s="20">
        <v>550000</v>
      </c>
      <c r="D32" s="20">
        <v>750000</v>
      </c>
      <c r="E32" s="43">
        <f t="shared" si="0"/>
        <v>0.26666666666666666</v>
      </c>
      <c r="F32" s="35">
        <f t="shared" si="2"/>
        <v>0.73333333333333328</v>
      </c>
      <c r="I32" s="18" t="s">
        <v>326</v>
      </c>
      <c r="J32" s="19" t="s">
        <v>72</v>
      </c>
      <c r="K32" s="19" t="s">
        <v>311</v>
      </c>
      <c r="L32" s="58" t="s">
        <v>275</v>
      </c>
      <c r="M32" s="58" t="s">
        <v>312</v>
      </c>
      <c r="N32" s="59">
        <v>61</v>
      </c>
      <c r="P32" s="18" t="s">
        <v>326</v>
      </c>
      <c r="Q32" s="19" t="s">
        <v>62</v>
      </c>
      <c r="R32" s="19">
        <v>8</v>
      </c>
      <c r="S32" s="19">
        <v>5</v>
      </c>
      <c r="T32" s="59">
        <v>0</v>
      </c>
      <c r="V32" s="18" t="s">
        <v>326</v>
      </c>
      <c r="W32" s="19" t="s">
        <v>212</v>
      </c>
      <c r="X32" s="19" t="s">
        <v>72</v>
      </c>
      <c r="Y32" s="58" t="s">
        <v>171</v>
      </c>
      <c r="Z32" s="58" t="s">
        <v>172</v>
      </c>
      <c r="AA32" s="59">
        <v>2</v>
      </c>
      <c r="AC32" s="18" t="s">
        <v>327</v>
      </c>
      <c r="AD32" s="19" t="s">
        <v>103</v>
      </c>
      <c r="AE32" s="76">
        <v>43506</v>
      </c>
      <c r="AF32" s="79" t="s">
        <v>360</v>
      </c>
      <c r="AG32" s="80">
        <f>AE32</f>
        <v>43506</v>
      </c>
      <c r="AJ32" s="97" t="s">
        <v>368</v>
      </c>
      <c r="AK32" s="19" t="s">
        <v>326</v>
      </c>
      <c r="AL32" s="19" t="s">
        <v>81</v>
      </c>
      <c r="AM32" s="29">
        <v>600000</v>
      </c>
      <c r="AN32" s="29">
        <v>750000</v>
      </c>
      <c r="AO32" s="29">
        <f>(AN32-AM32)/AN32</f>
        <v>0.2</v>
      </c>
      <c r="AP32" s="34">
        <f>AM32/AN32</f>
        <v>0.8</v>
      </c>
      <c r="AQ32" s="34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98"/>
    </row>
    <row r="33" spans="1:56" ht="27.75" customHeight="1" thickBot="1" x14ac:dyDescent="0.25">
      <c r="A33" s="18" t="s">
        <v>326</v>
      </c>
      <c r="B33" s="19" t="s">
        <v>74</v>
      </c>
      <c r="C33" s="20">
        <v>500000</v>
      </c>
      <c r="D33" s="20">
        <v>700000</v>
      </c>
      <c r="E33" s="43">
        <f t="shared" si="0"/>
        <v>0.2857142857142857</v>
      </c>
      <c r="F33" s="35">
        <f t="shared" si="2"/>
        <v>0.7142857142857143</v>
      </c>
      <c r="I33" s="18" t="s">
        <v>326</v>
      </c>
      <c r="J33" s="19" t="s">
        <v>74</v>
      </c>
      <c r="K33" s="19" t="s">
        <v>283</v>
      </c>
      <c r="L33" s="58" t="s">
        <v>278</v>
      </c>
      <c r="M33" s="19" t="s">
        <v>260</v>
      </c>
      <c r="N33" s="59" t="s">
        <v>260</v>
      </c>
      <c r="P33" s="18" t="s">
        <v>326</v>
      </c>
      <c r="Q33" s="19" t="s">
        <v>64</v>
      </c>
      <c r="R33" s="19">
        <v>10</v>
      </c>
      <c r="S33" s="19">
        <v>2</v>
      </c>
      <c r="T33" s="59">
        <v>0</v>
      </c>
      <c r="V33" s="18" t="s">
        <v>326</v>
      </c>
      <c r="W33" s="19" t="s">
        <v>213</v>
      </c>
      <c r="X33" s="19" t="s">
        <v>74</v>
      </c>
      <c r="Y33" s="58" t="s">
        <v>174</v>
      </c>
      <c r="Z33" s="58" t="s">
        <v>175</v>
      </c>
      <c r="AA33" s="59">
        <v>4</v>
      </c>
      <c r="AC33" s="18" t="s">
        <v>326</v>
      </c>
      <c r="AD33" s="19" t="s">
        <v>54</v>
      </c>
      <c r="AE33" s="76">
        <v>43353</v>
      </c>
      <c r="AF33" s="79" t="s">
        <v>359</v>
      </c>
      <c r="AG33" s="80">
        <f>AE33</f>
        <v>43353</v>
      </c>
      <c r="AJ33" s="97" t="s">
        <v>368</v>
      </c>
      <c r="AK33" s="19" t="s">
        <v>327</v>
      </c>
      <c r="AL33" s="19" t="s">
        <v>115</v>
      </c>
      <c r="AM33" s="29">
        <v>550000</v>
      </c>
      <c r="AN33" s="29">
        <v>700000</v>
      </c>
      <c r="AO33" s="29">
        <f>(AN33-AM33)/AN33</f>
        <v>0.21428571428571427</v>
      </c>
      <c r="AP33" s="34">
        <f>AM33/AN33</f>
        <v>0.7857142857142857</v>
      </c>
      <c r="AQ33" s="34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98"/>
    </row>
    <row r="34" spans="1:56" ht="27.75" customHeight="1" thickBot="1" x14ac:dyDescent="0.25">
      <c r="A34" s="18" t="s">
        <v>326</v>
      </c>
      <c r="B34" s="19" t="s">
        <v>76</v>
      </c>
      <c r="C34" s="20">
        <v>700000</v>
      </c>
      <c r="D34" s="20">
        <v>900000</v>
      </c>
      <c r="E34" s="43">
        <f t="shared" si="0"/>
        <v>0.22222222222222221</v>
      </c>
      <c r="F34" s="35">
        <f t="shared" si="2"/>
        <v>0.77777777777777779</v>
      </c>
      <c r="I34" s="18" t="s">
        <v>326</v>
      </c>
      <c r="J34" s="19" t="s">
        <v>76</v>
      </c>
      <c r="K34" s="19" t="s">
        <v>281</v>
      </c>
      <c r="L34" s="58" t="s">
        <v>165</v>
      </c>
      <c r="M34" s="58" t="s">
        <v>313</v>
      </c>
      <c r="N34" s="59">
        <v>56</v>
      </c>
      <c r="P34" s="18" t="s">
        <v>326</v>
      </c>
      <c r="Q34" s="19" t="s">
        <v>66</v>
      </c>
      <c r="R34" s="19">
        <v>9</v>
      </c>
      <c r="S34" s="19">
        <v>3</v>
      </c>
      <c r="T34" s="59">
        <v>1</v>
      </c>
      <c r="V34" s="18" t="s">
        <v>326</v>
      </c>
      <c r="W34" s="19" t="s">
        <v>214</v>
      </c>
      <c r="X34" s="19" t="s">
        <v>76</v>
      </c>
      <c r="Y34" s="58" t="s">
        <v>177</v>
      </c>
      <c r="Z34" s="58" t="s">
        <v>178</v>
      </c>
      <c r="AA34" s="59">
        <v>3</v>
      </c>
      <c r="AC34" s="18" t="s">
        <v>326</v>
      </c>
      <c r="AD34" s="19" t="s">
        <v>87</v>
      </c>
      <c r="AE34" s="76">
        <v>42983</v>
      </c>
      <c r="AF34" s="79">
        <v>42614</v>
      </c>
      <c r="AG34" s="80">
        <f>AE34</f>
        <v>42983</v>
      </c>
      <c r="AJ34" s="97" t="s">
        <v>368</v>
      </c>
      <c r="AK34" s="19" t="s">
        <v>325</v>
      </c>
      <c r="AL34" s="19" t="s">
        <v>37</v>
      </c>
      <c r="AM34" s="29">
        <v>800000</v>
      </c>
      <c r="AN34" s="29">
        <v>950000</v>
      </c>
      <c r="AO34" s="29">
        <f>(AN34-AM34)/AN34</f>
        <v>0.15789473684210525</v>
      </c>
      <c r="AP34" s="34">
        <f>AM34/AN34</f>
        <v>0.84210526315789469</v>
      </c>
      <c r="AQ34" s="34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98"/>
    </row>
    <row r="35" spans="1:56" ht="27.75" customHeight="1" thickBot="1" x14ac:dyDescent="0.25">
      <c r="A35" s="18" t="s">
        <v>326</v>
      </c>
      <c r="B35" s="19" t="s">
        <v>78</v>
      </c>
      <c r="C35" s="20">
        <v>400000</v>
      </c>
      <c r="D35" s="20">
        <v>600000</v>
      </c>
      <c r="E35" s="43">
        <f t="shared" si="0"/>
        <v>0.33333333333333331</v>
      </c>
      <c r="F35" s="35">
        <f t="shared" si="2"/>
        <v>0.66666666666666663</v>
      </c>
      <c r="I35" s="18" t="s">
        <v>326</v>
      </c>
      <c r="J35" s="19" t="s">
        <v>78</v>
      </c>
      <c r="K35" s="19" t="s">
        <v>314</v>
      </c>
      <c r="L35" s="58" t="s">
        <v>282</v>
      </c>
      <c r="M35" s="19" t="s">
        <v>260</v>
      </c>
      <c r="N35" s="59" t="s">
        <v>260</v>
      </c>
      <c r="P35" s="18" t="s">
        <v>326</v>
      </c>
      <c r="Q35" s="19" t="s">
        <v>68</v>
      </c>
      <c r="R35" s="19">
        <v>8</v>
      </c>
      <c r="S35" s="19">
        <v>4</v>
      </c>
      <c r="T35" s="59">
        <v>0</v>
      </c>
      <c r="V35" s="18" t="s">
        <v>326</v>
      </c>
      <c r="W35" s="19" t="s">
        <v>215</v>
      </c>
      <c r="X35" s="19" t="s">
        <v>78</v>
      </c>
      <c r="Y35" s="58" t="s">
        <v>180</v>
      </c>
      <c r="Z35" s="58" t="s">
        <v>181</v>
      </c>
      <c r="AA35" s="59">
        <v>2</v>
      </c>
      <c r="AC35" s="18" t="s">
        <v>326</v>
      </c>
      <c r="AD35" s="19" t="s">
        <v>68</v>
      </c>
      <c r="AE35" s="76">
        <v>43597</v>
      </c>
      <c r="AF35" s="79" t="s">
        <v>357</v>
      </c>
      <c r="AG35" s="80">
        <f>AE35</f>
        <v>43597</v>
      </c>
      <c r="AJ35" s="97" t="s">
        <v>368</v>
      </c>
      <c r="AK35" s="19" t="s">
        <v>325</v>
      </c>
      <c r="AL35" s="19" t="s">
        <v>23</v>
      </c>
      <c r="AM35" s="29">
        <v>480000</v>
      </c>
      <c r="AN35" s="29">
        <v>650000</v>
      </c>
      <c r="AO35" s="29">
        <f>(AN35-AM35)/AN35</f>
        <v>0.26153846153846155</v>
      </c>
      <c r="AP35" s="34">
        <f>AM35/AN35</f>
        <v>0.7384615384615385</v>
      </c>
      <c r="AQ35" s="34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98"/>
    </row>
    <row r="36" spans="1:56" ht="27.75" customHeight="1" thickBot="1" x14ac:dyDescent="0.25">
      <c r="A36" s="18" t="s">
        <v>326</v>
      </c>
      <c r="B36" s="19" t="s">
        <v>79</v>
      </c>
      <c r="C36" s="20">
        <v>900000</v>
      </c>
      <c r="D36" s="20">
        <v>1200000</v>
      </c>
      <c r="E36" s="43">
        <f t="shared" si="0"/>
        <v>0.25</v>
      </c>
      <c r="F36" s="35">
        <f t="shared" si="2"/>
        <v>0.75</v>
      </c>
      <c r="I36" s="18" t="s">
        <v>326</v>
      </c>
      <c r="J36" s="19" t="s">
        <v>79</v>
      </c>
      <c r="K36" s="19" t="s">
        <v>289</v>
      </c>
      <c r="L36" s="58" t="s">
        <v>284</v>
      </c>
      <c r="M36" s="58" t="s">
        <v>315</v>
      </c>
      <c r="N36" s="59">
        <v>54</v>
      </c>
      <c r="P36" s="18" t="s">
        <v>326</v>
      </c>
      <c r="Q36" s="19" t="s">
        <v>70</v>
      </c>
      <c r="R36" s="19">
        <v>10</v>
      </c>
      <c r="S36" s="19">
        <v>1</v>
      </c>
      <c r="T36" s="59">
        <v>1</v>
      </c>
      <c r="V36" s="18" t="s">
        <v>326</v>
      </c>
      <c r="W36" s="19" t="s">
        <v>216</v>
      </c>
      <c r="X36" s="19" t="s">
        <v>79</v>
      </c>
      <c r="Y36" s="58" t="s">
        <v>183</v>
      </c>
      <c r="Z36" s="58" t="s">
        <v>184</v>
      </c>
      <c r="AA36" s="59">
        <v>4</v>
      </c>
      <c r="AC36" s="18" t="s">
        <v>326</v>
      </c>
      <c r="AD36" s="19" t="s">
        <v>81</v>
      </c>
      <c r="AE36" s="76">
        <v>43337</v>
      </c>
      <c r="AF36" s="79">
        <v>42583</v>
      </c>
      <c r="AG36" s="80">
        <f>AE36</f>
        <v>43337</v>
      </c>
      <c r="AJ36" s="97" t="s">
        <v>368</v>
      </c>
      <c r="AK36" s="19" t="s">
        <v>326</v>
      </c>
      <c r="AL36" s="19" t="s">
        <v>62</v>
      </c>
      <c r="AM36" s="29">
        <v>350000</v>
      </c>
      <c r="AN36" s="29">
        <v>550000</v>
      </c>
      <c r="AO36" s="29">
        <f>(AN36-AM36)/AN36</f>
        <v>0.36363636363636365</v>
      </c>
      <c r="AP36" s="34">
        <f>AM36/AN36</f>
        <v>0.63636363636363635</v>
      </c>
      <c r="AQ36" s="34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98"/>
    </row>
    <row r="37" spans="1:56" ht="27.75" customHeight="1" thickBot="1" x14ac:dyDescent="0.25">
      <c r="A37" s="18" t="s">
        <v>326</v>
      </c>
      <c r="B37" s="19" t="s">
        <v>81</v>
      </c>
      <c r="C37" s="20">
        <v>600000</v>
      </c>
      <c r="D37" s="20">
        <v>750000</v>
      </c>
      <c r="E37" s="43">
        <f t="shared" si="0"/>
        <v>0.2</v>
      </c>
      <c r="F37" s="35">
        <f t="shared" si="2"/>
        <v>0.8</v>
      </c>
      <c r="I37" s="18" t="s">
        <v>326</v>
      </c>
      <c r="J37" s="19" t="s">
        <v>81</v>
      </c>
      <c r="K37" s="19" t="s">
        <v>297</v>
      </c>
      <c r="L37" s="58" t="s">
        <v>287</v>
      </c>
      <c r="M37" s="58" t="s">
        <v>316</v>
      </c>
      <c r="N37" s="59">
        <v>61</v>
      </c>
      <c r="P37" s="18" t="s">
        <v>326</v>
      </c>
      <c r="Q37" s="19" t="s">
        <v>72</v>
      </c>
      <c r="R37" s="19">
        <v>7</v>
      </c>
      <c r="S37" s="19">
        <v>5</v>
      </c>
      <c r="T37" s="59">
        <v>1</v>
      </c>
      <c r="V37" s="18" t="s">
        <v>326</v>
      </c>
      <c r="W37" s="19" t="s">
        <v>217</v>
      </c>
      <c r="X37" s="19" t="s">
        <v>81</v>
      </c>
      <c r="Y37" s="58" t="s">
        <v>186</v>
      </c>
      <c r="Z37" s="58" t="s">
        <v>187</v>
      </c>
      <c r="AA37" s="59">
        <v>3</v>
      </c>
      <c r="AC37" s="18" t="s">
        <v>326</v>
      </c>
      <c r="AD37" s="19" t="s">
        <v>96</v>
      </c>
      <c r="AE37" s="76">
        <v>43466</v>
      </c>
      <c r="AF37" s="79" t="s">
        <v>355</v>
      </c>
      <c r="AG37" s="80">
        <f>AE37</f>
        <v>43466</v>
      </c>
      <c r="AJ37" s="97" t="s">
        <v>368</v>
      </c>
      <c r="AK37" s="19" t="s">
        <v>326</v>
      </c>
      <c r="AL37" s="19" t="s">
        <v>76</v>
      </c>
      <c r="AM37" s="29">
        <v>700000</v>
      </c>
      <c r="AN37" s="29">
        <v>900000</v>
      </c>
      <c r="AO37" s="29">
        <f>(AN37-AM37)/AN37</f>
        <v>0.22222222222222221</v>
      </c>
      <c r="AP37" s="34">
        <f>AM37/AN37</f>
        <v>0.77777777777777779</v>
      </c>
      <c r="AQ37" s="34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98"/>
    </row>
    <row r="38" spans="1:56" ht="27.75" customHeight="1" thickBot="1" x14ac:dyDescent="0.25">
      <c r="A38" s="18" t="s">
        <v>326</v>
      </c>
      <c r="B38" s="19" t="s">
        <v>83</v>
      </c>
      <c r="C38" s="20">
        <v>700000</v>
      </c>
      <c r="D38" s="20">
        <v>850000</v>
      </c>
      <c r="E38" s="43">
        <f t="shared" si="0"/>
        <v>0.17647058823529413</v>
      </c>
      <c r="F38" s="35">
        <f t="shared" si="2"/>
        <v>0.82352941176470584</v>
      </c>
      <c r="I38" s="18" t="s">
        <v>326</v>
      </c>
      <c r="J38" s="19" t="s">
        <v>83</v>
      </c>
      <c r="K38" s="19" t="s">
        <v>279</v>
      </c>
      <c r="L38" s="58" t="s">
        <v>290</v>
      </c>
      <c r="M38" s="19" t="s">
        <v>260</v>
      </c>
      <c r="N38" s="59" t="s">
        <v>260</v>
      </c>
      <c r="P38" s="18" t="s">
        <v>326</v>
      </c>
      <c r="Q38" s="19" t="s">
        <v>74</v>
      </c>
      <c r="R38" s="19">
        <v>9</v>
      </c>
      <c r="S38" s="19">
        <v>3</v>
      </c>
      <c r="T38" s="59">
        <v>0</v>
      </c>
      <c r="V38" s="18" t="s">
        <v>326</v>
      </c>
      <c r="W38" s="19" t="s">
        <v>218</v>
      </c>
      <c r="X38" s="19" t="s">
        <v>83</v>
      </c>
      <c r="Y38" s="58" t="s">
        <v>189</v>
      </c>
      <c r="Z38" s="58" t="s">
        <v>190</v>
      </c>
      <c r="AA38" s="59">
        <v>2</v>
      </c>
      <c r="AC38" s="18" t="s">
        <v>327</v>
      </c>
      <c r="AD38" s="19" t="s">
        <v>115</v>
      </c>
      <c r="AE38" s="76">
        <v>43044</v>
      </c>
      <c r="AF38" s="79" t="s">
        <v>353</v>
      </c>
      <c r="AG38" s="80">
        <f>AE38</f>
        <v>43044</v>
      </c>
      <c r="AJ38" s="97" t="s">
        <v>368</v>
      </c>
      <c r="AK38" s="19" t="s">
        <v>325</v>
      </c>
      <c r="AL38" s="19" t="s">
        <v>13</v>
      </c>
      <c r="AM38" s="29">
        <v>650000</v>
      </c>
      <c r="AN38" s="29">
        <v>850000</v>
      </c>
      <c r="AO38" s="29">
        <f>(AN38-AM38)/AN38</f>
        <v>0.23529411764705882</v>
      </c>
      <c r="AP38" s="34">
        <f>AM38/AN38</f>
        <v>0.76470588235294112</v>
      </c>
      <c r="AQ38" s="34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98"/>
    </row>
    <row r="39" spans="1:56" ht="27.75" customHeight="1" thickBot="1" x14ac:dyDescent="0.25">
      <c r="A39" s="18" t="s">
        <v>326</v>
      </c>
      <c r="B39" s="19" t="s">
        <v>85</v>
      </c>
      <c r="C39" s="20">
        <v>450000</v>
      </c>
      <c r="D39" s="20">
        <v>700000</v>
      </c>
      <c r="E39" s="43">
        <f t="shared" si="0"/>
        <v>0.35714285714285715</v>
      </c>
      <c r="F39" s="35">
        <f t="shared" si="2"/>
        <v>0.6428571428571429</v>
      </c>
      <c r="I39" s="18" t="s">
        <v>326</v>
      </c>
      <c r="J39" s="19" t="s">
        <v>85</v>
      </c>
      <c r="K39" s="19" t="s">
        <v>292</v>
      </c>
      <c r="L39" s="58" t="s">
        <v>293</v>
      </c>
      <c r="M39" s="58" t="s">
        <v>198</v>
      </c>
      <c r="N39" s="59">
        <v>51</v>
      </c>
      <c r="P39" s="18" t="s">
        <v>326</v>
      </c>
      <c r="Q39" s="19" t="s">
        <v>76</v>
      </c>
      <c r="R39" s="19">
        <v>8</v>
      </c>
      <c r="S39" s="19">
        <v>4</v>
      </c>
      <c r="T39" s="59">
        <v>0</v>
      </c>
      <c r="V39" s="18" t="s">
        <v>326</v>
      </c>
      <c r="W39" s="19" t="s">
        <v>219</v>
      </c>
      <c r="X39" s="19" t="s">
        <v>85</v>
      </c>
      <c r="Y39" s="58" t="s">
        <v>192</v>
      </c>
      <c r="Z39" s="58" t="s">
        <v>193</v>
      </c>
      <c r="AA39" s="59">
        <v>4</v>
      </c>
      <c r="AC39" s="18" t="s">
        <v>325</v>
      </c>
      <c r="AD39" s="19" t="s">
        <v>47</v>
      </c>
      <c r="AE39" s="76">
        <v>43758</v>
      </c>
      <c r="AF39" s="79" t="s">
        <v>352</v>
      </c>
      <c r="AG39" s="80">
        <f>AE39</f>
        <v>43758</v>
      </c>
      <c r="AJ39" s="97" t="s">
        <v>368</v>
      </c>
      <c r="AK39" s="19" t="s">
        <v>326</v>
      </c>
      <c r="AL39" s="19" t="s">
        <v>72</v>
      </c>
      <c r="AM39" s="29">
        <v>550000</v>
      </c>
      <c r="AN39" s="29">
        <v>750000</v>
      </c>
      <c r="AO39" s="29">
        <f>(AN39-AM39)/AN39</f>
        <v>0.26666666666666666</v>
      </c>
      <c r="AP39" s="34">
        <f>AM39/AN39</f>
        <v>0.73333333333333328</v>
      </c>
      <c r="AQ39" s="34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98"/>
    </row>
    <row r="40" spans="1:56" ht="27.75" customHeight="1" thickBot="1" x14ac:dyDescent="0.25">
      <c r="A40" s="18" t="s">
        <v>326</v>
      </c>
      <c r="B40" s="19" t="s">
        <v>87</v>
      </c>
      <c r="C40" s="20">
        <v>850000</v>
      </c>
      <c r="D40" s="20">
        <v>1000000</v>
      </c>
      <c r="E40" s="43">
        <f t="shared" si="0"/>
        <v>0.15</v>
      </c>
      <c r="F40" s="35">
        <f t="shared" si="2"/>
        <v>0.85</v>
      </c>
      <c r="I40" s="18" t="s">
        <v>326</v>
      </c>
      <c r="J40" s="19" t="s">
        <v>87</v>
      </c>
      <c r="K40" s="19" t="s">
        <v>300</v>
      </c>
      <c r="L40" s="58" t="s">
        <v>295</v>
      </c>
      <c r="M40" s="19" t="s">
        <v>260</v>
      </c>
      <c r="N40" s="59" t="s">
        <v>260</v>
      </c>
      <c r="P40" s="18" t="s">
        <v>326</v>
      </c>
      <c r="Q40" s="19" t="s">
        <v>78</v>
      </c>
      <c r="R40" s="19">
        <v>10</v>
      </c>
      <c r="S40" s="19">
        <v>2</v>
      </c>
      <c r="T40" s="59">
        <v>1</v>
      </c>
      <c r="V40" s="18" t="s">
        <v>326</v>
      </c>
      <c r="W40" s="19" t="s">
        <v>220</v>
      </c>
      <c r="X40" s="19" t="s">
        <v>87</v>
      </c>
      <c r="Y40" s="58" t="s">
        <v>195</v>
      </c>
      <c r="Z40" s="58" t="s">
        <v>196</v>
      </c>
      <c r="AA40" s="59">
        <v>3</v>
      </c>
      <c r="AC40" s="18" t="s">
        <v>325</v>
      </c>
      <c r="AD40" s="19" t="s">
        <v>37</v>
      </c>
      <c r="AE40" s="76">
        <v>43368</v>
      </c>
      <c r="AF40" s="79" t="s">
        <v>354</v>
      </c>
      <c r="AG40" s="80">
        <f>AE40</f>
        <v>43368</v>
      </c>
      <c r="AJ40" s="97" t="s">
        <v>368</v>
      </c>
      <c r="AK40" s="19" t="s">
        <v>326</v>
      </c>
      <c r="AL40" s="19" t="s">
        <v>83</v>
      </c>
      <c r="AM40" s="29">
        <v>700000</v>
      </c>
      <c r="AN40" s="29">
        <v>850000</v>
      </c>
      <c r="AO40" s="29">
        <f>(AN40-AM40)/AN40</f>
        <v>0.17647058823529413</v>
      </c>
      <c r="AP40" s="34">
        <f>AM40/AN40</f>
        <v>0.82352941176470584</v>
      </c>
      <c r="AQ40" s="34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98"/>
    </row>
    <row r="41" spans="1:56" ht="27.75" customHeight="1" thickBot="1" x14ac:dyDescent="0.25">
      <c r="A41" s="18" t="s">
        <v>326</v>
      </c>
      <c r="B41" s="19" t="s">
        <v>89</v>
      </c>
      <c r="C41" s="20">
        <v>600000</v>
      </c>
      <c r="D41" s="20">
        <v>850000</v>
      </c>
      <c r="E41" s="43">
        <f t="shared" si="0"/>
        <v>0.29411764705882354</v>
      </c>
      <c r="F41" s="35">
        <f t="shared" si="2"/>
        <v>0.70588235294117652</v>
      </c>
      <c r="I41" s="18" t="s">
        <v>326</v>
      </c>
      <c r="J41" s="19" t="s">
        <v>89</v>
      </c>
      <c r="K41" s="19" t="s">
        <v>302</v>
      </c>
      <c r="L41" s="58" t="s">
        <v>298</v>
      </c>
      <c r="M41" s="58" t="s">
        <v>299</v>
      </c>
      <c r="N41" s="59">
        <v>61</v>
      </c>
      <c r="P41" s="18" t="s">
        <v>326</v>
      </c>
      <c r="Q41" s="19" t="s">
        <v>79</v>
      </c>
      <c r="R41" s="19">
        <v>9</v>
      </c>
      <c r="S41" s="19">
        <v>3</v>
      </c>
      <c r="T41" s="59">
        <v>0</v>
      </c>
      <c r="V41" s="18" t="s">
        <v>326</v>
      </c>
      <c r="W41" s="19" t="s">
        <v>221</v>
      </c>
      <c r="X41" s="19" t="s">
        <v>89</v>
      </c>
      <c r="Y41" s="58" t="s">
        <v>198</v>
      </c>
      <c r="Z41" s="58" t="s">
        <v>199</v>
      </c>
      <c r="AA41" s="59">
        <v>2</v>
      </c>
      <c r="AC41" s="18" t="s">
        <v>325</v>
      </c>
      <c r="AD41" s="19" t="s">
        <v>23</v>
      </c>
      <c r="AE41" s="76">
        <v>43296</v>
      </c>
      <c r="AF41" s="79">
        <v>42579</v>
      </c>
      <c r="AG41" s="80">
        <f>AE41</f>
        <v>43296</v>
      </c>
      <c r="AJ41" s="97" t="s">
        <v>368</v>
      </c>
      <c r="AK41" s="19" t="s">
        <v>326</v>
      </c>
      <c r="AL41" s="19" t="s">
        <v>89</v>
      </c>
      <c r="AM41" s="29">
        <v>600000</v>
      </c>
      <c r="AN41" s="29">
        <v>850000</v>
      </c>
      <c r="AO41" s="29">
        <f>(AN41-AM41)/AN41</f>
        <v>0.29411764705882354</v>
      </c>
      <c r="AP41" s="34">
        <f>AM41/AN41</f>
        <v>0.70588235294117652</v>
      </c>
      <c r="AQ41" s="34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98"/>
    </row>
    <row r="42" spans="1:56" ht="27.75" customHeight="1" thickBot="1" x14ac:dyDescent="0.25">
      <c r="A42" s="18" t="s">
        <v>326</v>
      </c>
      <c r="B42" s="19" t="s">
        <v>91</v>
      </c>
      <c r="C42" s="20">
        <v>750000</v>
      </c>
      <c r="D42" s="20">
        <v>950000</v>
      </c>
      <c r="E42" s="43">
        <f t="shared" si="0"/>
        <v>0.21052631578947367</v>
      </c>
      <c r="F42" s="35">
        <f t="shared" si="2"/>
        <v>0.78947368421052633</v>
      </c>
      <c r="I42" s="18" t="s">
        <v>326</v>
      </c>
      <c r="J42" s="19" t="s">
        <v>91</v>
      </c>
      <c r="K42" s="19" t="s">
        <v>304</v>
      </c>
      <c r="L42" s="58" t="s">
        <v>301</v>
      </c>
      <c r="M42" s="19" t="s">
        <v>260</v>
      </c>
      <c r="N42" s="59" t="s">
        <v>260</v>
      </c>
      <c r="P42" s="18" t="s">
        <v>326</v>
      </c>
      <c r="Q42" s="19" t="s">
        <v>81</v>
      </c>
      <c r="R42" s="19">
        <v>8</v>
      </c>
      <c r="S42" s="19">
        <v>5</v>
      </c>
      <c r="T42" s="59">
        <v>0</v>
      </c>
      <c r="V42" s="18" t="s">
        <v>326</v>
      </c>
      <c r="W42" s="19" t="s">
        <v>222</v>
      </c>
      <c r="X42" s="19" t="s">
        <v>91</v>
      </c>
      <c r="Y42" s="58" t="s">
        <v>201</v>
      </c>
      <c r="Z42" s="58" t="s">
        <v>202</v>
      </c>
      <c r="AA42" s="59">
        <v>4</v>
      </c>
      <c r="AC42" s="18" t="s">
        <v>326</v>
      </c>
      <c r="AD42" s="19" t="s">
        <v>62</v>
      </c>
      <c r="AE42" s="76">
        <v>43514</v>
      </c>
      <c r="AF42" s="79" t="s">
        <v>360</v>
      </c>
      <c r="AG42" s="80">
        <f>AE42</f>
        <v>43514</v>
      </c>
      <c r="AJ42" s="97" t="s">
        <v>368</v>
      </c>
      <c r="AK42" s="19" t="s">
        <v>326</v>
      </c>
      <c r="AL42" s="19" t="s">
        <v>60</v>
      </c>
      <c r="AM42" s="29">
        <v>650000</v>
      </c>
      <c r="AN42" s="29">
        <v>800000</v>
      </c>
      <c r="AO42" s="29">
        <f>(AN42-AM42)/AN42</f>
        <v>0.1875</v>
      </c>
      <c r="AP42" s="34">
        <f>AM42/AN42</f>
        <v>0.8125</v>
      </c>
      <c r="AQ42" s="34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98"/>
    </row>
    <row r="43" spans="1:56" ht="27.75" customHeight="1" thickBot="1" x14ac:dyDescent="0.25">
      <c r="A43" s="18" t="s">
        <v>327</v>
      </c>
      <c r="B43" s="19" t="s">
        <v>100</v>
      </c>
      <c r="C43" s="20">
        <v>350000</v>
      </c>
      <c r="D43" s="20">
        <v>400000</v>
      </c>
      <c r="E43" s="43">
        <f t="shared" si="0"/>
        <v>0.125</v>
      </c>
      <c r="F43" s="35">
        <f t="shared" ref="F43:F62" si="3">C43/D43</f>
        <v>0.875</v>
      </c>
      <c r="I43" s="18" t="s">
        <v>327</v>
      </c>
      <c r="J43" s="19" t="s">
        <v>100</v>
      </c>
      <c r="K43" s="19" t="s">
        <v>306</v>
      </c>
      <c r="L43" s="58" t="s">
        <v>253</v>
      </c>
      <c r="M43" s="58" t="s">
        <v>254</v>
      </c>
      <c r="N43" s="59">
        <v>30</v>
      </c>
      <c r="P43" s="18" t="s">
        <v>326</v>
      </c>
      <c r="Q43" s="19" t="s">
        <v>83</v>
      </c>
      <c r="R43" s="19">
        <v>10</v>
      </c>
      <c r="S43" s="19">
        <v>1</v>
      </c>
      <c r="T43" s="59">
        <v>1</v>
      </c>
      <c r="V43" s="18" t="s">
        <v>327</v>
      </c>
      <c r="W43" s="19" t="s">
        <v>223</v>
      </c>
      <c r="X43" s="19" t="s">
        <v>100</v>
      </c>
      <c r="Y43" s="58" t="s">
        <v>144</v>
      </c>
      <c r="Z43" s="58" t="s">
        <v>145</v>
      </c>
      <c r="AA43" s="59">
        <v>4</v>
      </c>
      <c r="AC43" s="18" t="s">
        <v>326</v>
      </c>
      <c r="AD43" s="19" t="s">
        <v>76</v>
      </c>
      <c r="AE43" s="76">
        <v>43424</v>
      </c>
      <c r="AF43" s="79" t="s">
        <v>353</v>
      </c>
      <c r="AG43" s="80">
        <f>AE43</f>
        <v>43424</v>
      </c>
      <c r="AJ43" s="97" t="s">
        <v>368</v>
      </c>
      <c r="AK43" s="19" t="s">
        <v>326</v>
      </c>
      <c r="AL43" s="19" t="s">
        <v>78</v>
      </c>
      <c r="AM43" s="29">
        <v>400000</v>
      </c>
      <c r="AN43" s="29">
        <v>600000</v>
      </c>
      <c r="AO43" s="29">
        <f>(AN43-AM43)/AN43</f>
        <v>0.33333333333333331</v>
      </c>
      <c r="AP43" s="34">
        <f>AM43/AN43</f>
        <v>0.66666666666666663</v>
      </c>
      <c r="AQ43" s="34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98"/>
    </row>
    <row r="44" spans="1:56" ht="27.75" customHeight="1" thickBot="1" x14ac:dyDescent="0.25">
      <c r="A44" s="18" t="s">
        <v>327</v>
      </c>
      <c r="B44" s="19" t="s">
        <v>102</v>
      </c>
      <c r="C44" s="20">
        <v>500000</v>
      </c>
      <c r="D44" s="20">
        <v>650000</v>
      </c>
      <c r="E44" s="43">
        <f t="shared" si="0"/>
        <v>0.23076923076923078</v>
      </c>
      <c r="F44" s="35">
        <f t="shared" si="3"/>
        <v>0.76923076923076927</v>
      </c>
      <c r="I44" s="18" t="s">
        <v>327</v>
      </c>
      <c r="J44" s="19" t="s">
        <v>102</v>
      </c>
      <c r="K44" s="19" t="s">
        <v>302</v>
      </c>
      <c r="L44" s="58" t="s">
        <v>256</v>
      </c>
      <c r="M44" s="58" t="s">
        <v>257</v>
      </c>
      <c r="N44" s="59">
        <v>42</v>
      </c>
      <c r="P44" s="18" t="s">
        <v>326</v>
      </c>
      <c r="Q44" s="19" t="s">
        <v>85</v>
      </c>
      <c r="R44" s="19">
        <v>9</v>
      </c>
      <c r="S44" s="19">
        <v>3</v>
      </c>
      <c r="T44" s="59">
        <v>0</v>
      </c>
      <c r="V44" s="18" t="s">
        <v>327</v>
      </c>
      <c r="W44" s="19" t="s">
        <v>224</v>
      </c>
      <c r="X44" s="19" t="s">
        <v>102</v>
      </c>
      <c r="Y44" s="58" t="s">
        <v>147</v>
      </c>
      <c r="Z44" s="58" t="s">
        <v>148</v>
      </c>
      <c r="AA44" s="59">
        <v>3</v>
      </c>
      <c r="AC44" s="18" t="s">
        <v>325</v>
      </c>
      <c r="AD44" s="19" t="s">
        <v>13</v>
      </c>
      <c r="AE44" s="76">
        <v>42551</v>
      </c>
      <c r="AF44" s="79">
        <v>42551</v>
      </c>
      <c r="AG44" s="80">
        <f>AE44</f>
        <v>42551</v>
      </c>
      <c r="AJ44" s="97" t="s">
        <v>368</v>
      </c>
      <c r="AK44" s="19" t="s">
        <v>325</v>
      </c>
      <c r="AL44" s="19" t="s">
        <v>41</v>
      </c>
      <c r="AM44" s="29">
        <v>850000</v>
      </c>
      <c r="AN44" s="29">
        <v>1150000</v>
      </c>
      <c r="AO44" s="29">
        <f>(AN44-AM44)/AN44</f>
        <v>0.2608695652173913</v>
      </c>
      <c r="AP44" s="34">
        <f>AM44/AN44</f>
        <v>0.73913043478260865</v>
      </c>
      <c r="AQ44" s="34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98"/>
    </row>
    <row r="45" spans="1:56" ht="27.75" customHeight="1" thickBot="1" x14ac:dyDescent="0.25">
      <c r="A45" s="18" t="s">
        <v>327</v>
      </c>
      <c r="B45" s="19" t="s">
        <v>103</v>
      </c>
      <c r="C45" s="20">
        <v>450000</v>
      </c>
      <c r="D45" s="20">
        <v>550000</v>
      </c>
      <c r="E45" s="43">
        <f t="shared" si="0"/>
        <v>0.18181818181818182</v>
      </c>
      <c r="F45" s="35">
        <f t="shared" si="3"/>
        <v>0.81818181818181823</v>
      </c>
      <c r="I45" s="18" t="s">
        <v>327</v>
      </c>
      <c r="J45" s="19" t="s">
        <v>103</v>
      </c>
      <c r="K45" s="19" t="s">
        <v>309</v>
      </c>
      <c r="L45" s="58" t="s">
        <v>259</v>
      </c>
      <c r="M45" s="19" t="s">
        <v>260</v>
      </c>
      <c r="N45" s="59" t="s">
        <v>260</v>
      </c>
      <c r="P45" s="18" t="s">
        <v>326</v>
      </c>
      <c r="Q45" s="19" t="s">
        <v>87</v>
      </c>
      <c r="R45" s="19">
        <v>8</v>
      </c>
      <c r="S45" s="19">
        <v>4</v>
      </c>
      <c r="T45" s="59">
        <v>1</v>
      </c>
      <c r="V45" s="18" t="s">
        <v>327</v>
      </c>
      <c r="W45" s="19" t="s">
        <v>225</v>
      </c>
      <c r="X45" s="19" t="s">
        <v>103</v>
      </c>
      <c r="Y45" s="58" t="s">
        <v>150</v>
      </c>
      <c r="Z45" s="58" t="s">
        <v>151</v>
      </c>
      <c r="AA45" s="59">
        <v>2</v>
      </c>
      <c r="AC45" s="18" t="s">
        <v>326</v>
      </c>
      <c r="AD45" s="19" t="s">
        <v>94</v>
      </c>
      <c r="AE45" s="76">
        <v>43205</v>
      </c>
      <c r="AF45" s="79" t="s">
        <v>356</v>
      </c>
      <c r="AG45" s="80">
        <f>AE45</f>
        <v>43205</v>
      </c>
      <c r="AJ45" s="97" t="s">
        <v>368</v>
      </c>
      <c r="AK45" s="19" t="s">
        <v>325</v>
      </c>
      <c r="AL45" s="19" t="s">
        <v>15</v>
      </c>
      <c r="AM45" s="29">
        <v>800000</v>
      </c>
      <c r="AN45" s="29">
        <v>1200000</v>
      </c>
      <c r="AO45" s="29">
        <f>(AN45-AM45)/AN45</f>
        <v>0.33333333333333331</v>
      </c>
      <c r="AP45" s="34">
        <f>AM45/AN45</f>
        <v>0.66666666666666663</v>
      </c>
      <c r="AQ45" s="34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98"/>
    </row>
    <row r="46" spans="1:56" ht="27.75" customHeight="1" thickBot="1" x14ac:dyDescent="0.25">
      <c r="A46" s="18" t="s">
        <v>327</v>
      </c>
      <c r="B46" s="19" t="s">
        <v>105</v>
      </c>
      <c r="C46" s="20">
        <v>550000</v>
      </c>
      <c r="D46" s="20">
        <v>700000</v>
      </c>
      <c r="E46" s="43">
        <f t="shared" si="0"/>
        <v>0.21428571428571427</v>
      </c>
      <c r="F46" s="35">
        <f t="shared" si="3"/>
        <v>0.7857142857142857</v>
      </c>
      <c r="I46" s="18" t="s">
        <v>327</v>
      </c>
      <c r="J46" s="19" t="s">
        <v>105</v>
      </c>
      <c r="K46" s="19" t="s">
        <v>271</v>
      </c>
      <c r="L46" s="58" t="s">
        <v>262</v>
      </c>
      <c r="M46" s="58" t="s">
        <v>263</v>
      </c>
      <c r="N46" s="59">
        <v>30</v>
      </c>
      <c r="P46" s="18" t="s">
        <v>326</v>
      </c>
      <c r="Q46" s="19" t="s">
        <v>89</v>
      </c>
      <c r="R46" s="19">
        <v>10</v>
      </c>
      <c r="S46" s="19">
        <v>2</v>
      </c>
      <c r="T46" s="59">
        <v>0</v>
      </c>
      <c r="V46" s="18" t="s">
        <v>327</v>
      </c>
      <c r="W46" s="19" t="s">
        <v>226</v>
      </c>
      <c r="X46" s="19" t="s">
        <v>105</v>
      </c>
      <c r="Y46" s="58" t="s">
        <v>153</v>
      </c>
      <c r="Z46" s="58" t="s">
        <v>154</v>
      </c>
      <c r="AA46" s="59">
        <v>3</v>
      </c>
      <c r="AC46" s="18" t="s">
        <v>326</v>
      </c>
      <c r="AD46" s="19" t="s">
        <v>72</v>
      </c>
      <c r="AE46" s="76">
        <v>43266</v>
      </c>
      <c r="AF46" s="79" t="s">
        <v>358</v>
      </c>
      <c r="AG46" s="80">
        <f>AE46</f>
        <v>43266</v>
      </c>
      <c r="AJ46" s="97" t="s">
        <v>368</v>
      </c>
      <c r="AK46" s="19" t="s">
        <v>327</v>
      </c>
      <c r="AL46" s="19" t="s">
        <v>127</v>
      </c>
      <c r="AM46" s="29">
        <v>750000</v>
      </c>
      <c r="AN46" s="29">
        <v>850000</v>
      </c>
      <c r="AO46" s="29">
        <f>(AN46-AM46)/AN46</f>
        <v>0.11764705882352941</v>
      </c>
      <c r="AP46" s="34">
        <f>AM46/AN46</f>
        <v>0.88235294117647056</v>
      </c>
      <c r="AQ46" s="34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98"/>
    </row>
    <row r="47" spans="1:56" ht="27.75" customHeight="1" thickBot="1" x14ac:dyDescent="0.25">
      <c r="A47" s="18" t="s">
        <v>327</v>
      </c>
      <c r="B47" s="19" t="s">
        <v>107</v>
      </c>
      <c r="C47" s="20">
        <v>700000</v>
      </c>
      <c r="D47" s="20">
        <v>850000</v>
      </c>
      <c r="E47" s="43">
        <f t="shared" si="0"/>
        <v>0.17647058823529413</v>
      </c>
      <c r="F47" s="35">
        <f t="shared" si="3"/>
        <v>0.82352941176470584</v>
      </c>
      <c r="I47" s="18" t="s">
        <v>327</v>
      </c>
      <c r="J47" s="19" t="s">
        <v>107</v>
      </c>
      <c r="K47" s="19" t="s">
        <v>255</v>
      </c>
      <c r="L47" s="58" t="s">
        <v>265</v>
      </c>
      <c r="M47" s="19" t="s">
        <v>260</v>
      </c>
      <c r="N47" s="59" t="s">
        <v>260</v>
      </c>
      <c r="P47" s="18" t="s">
        <v>326</v>
      </c>
      <c r="Q47" s="19" t="s">
        <v>91</v>
      </c>
      <c r="R47" s="19">
        <v>7</v>
      </c>
      <c r="S47" s="19">
        <v>4</v>
      </c>
      <c r="T47" s="59">
        <v>2</v>
      </c>
      <c r="V47" s="18" t="s">
        <v>327</v>
      </c>
      <c r="W47" s="19" t="s">
        <v>227</v>
      </c>
      <c r="X47" s="19" t="s">
        <v>107</v>
      </c>
      <c r="Y47" s="58" t="s">
        <v>156</v>
      </c>
      <c r="Z47" s="58" t="s">
        <v>157</v>
      </c>
      <c r="AA47" s="59">
        <v>4</v>
      </c>
      <c r="AC47" s="18" t="s">
        <v>326</v>
      </c>
      <c r="AD47" s="19" t="s">
        <v>83</v>
      </c>
      <c r="AE47" s="76">
        <v>43646</v>
      </c>
      <c r="AF47" s="79" t="s">
        <v>358</v>
      </c>
      <c r="AG47" s="80">
        <f>AE47</f>
        <v>43646</v>
      </c>
      <c r="AJ47" s="97" t="s">
        <v>368</v>
      </c>
      <c r="AK47" s="19" t="s">
        <v>327</v>
      </c>
      <c r="AL47" s="19" t="s">
        <v>109</v>
      </c>
      <c r="AM47" s="29">
        <v>400000</v>
      </c>
      <c r="AN47" s="29">
        <v>600000</v>
      </c>
      <c r="AO47" s="29">
        <f>(AN47-AM47)/AN47</f>
        <v>0.33333333333333331</v>
      </c>
      <c r="AP47" s="34">
        <f>AM47/AN47</f>
        <v>0.66666666666666663</v>
      </c>
      <c r="AQ47" s="34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98"/>
    </row>
    <row r="48" spans="1:56" ht="27.75" customHeight="1" thickBot="1" x14ac:dyDescent="0.25">
      <c r="A48" s="18" t="s">
        <v>327</v>
      </c>
      <c r="B48" s="19" t="s">
        <v>109</v>
      </c>
      <c r="C48" s="20">
        <v>400000</v>
      </c>
      <c r="D48" s="20">
        <v>600000</v>
      </c>
      <c r="E48" s="43">
        <f t="shared" si="0"/>
        <v>0.33333333333333331</v>
      </c>
      <c r="F48" s="35">
        <f t="shared" si="3"/>
        <v>0.66666666666666663</v>
      </c>
      <c r="I48" s="18" t="s">
        <v>327</v>
      </c>
      <c r="J48" s="19" t="s">
        <v>109</v>
      </c>
      <c r="K48" s="19" t="s">
        <v>283</v>
      </c>
      <c r="L48" s="58" t="s">
        <v>267</v>
      </c>
      <c r="M48" s="58" t="s">
        <v>268</v>
      </c>
      <c r="N48" s="59">
        <v>30</v>
      </c>
      <c r="P48" s="18" t="s">
        <v>326</v>
      </c>
      <c r="Q48" s="19" t="s">
        <v>93</v>
      </c>
      <c r="R48" s="19">
        <v>9</v>
      </c>
      <c r="S48" s="19">
        <v>3</v>
      </c>
      <c r="T48" s="59">
        <v>1</v>
      </c>
      <c r="V48" s="18" t="s">
        <v>327</v>
      </c>
      <c r="W48" s="19" t="s">
        <v>228</v>
      </c>
      <c r="X48" s="19" t="s">
        <v>109</v>
      </c>
      <c r="Y48" s="58" t="s">
        <v>159</v>
      </c>
      <c r="Z48" s="58" t="s">
        <v>160</v>
      </c>
      <c r="AA48" s="59">
        <v>2</v>
      </c>
      <c r="AC48" s="18" t="s">
        <v>326</v>
      </c>
      <c r="AD48" s="19" t="s">
        <v>89</v>
      </c>
      <c r="AE48" s="76">
        <v>43534</v>
      </c>
      <c r="AF48" s="79" t="s">
        <v>361</v>
      </c>
      <c r="AG48" s="80">
        <f>AE48</f>
        <v>43534</v>
      </c>
      <c r="AJ48" s="97" t="s">
        <v>368</v>
      </c>
      <c r="AK48" s="19" t="s">
        <v>327</v>
      </c>
      <c r="AL48" s="19" t="s">
        <v>131</v>
      </c>
      <c r="AM48" s="29">
        <v>700000</v>
      </c>
      <c r="AN48" s="29">
        <v>800000</v>
      </c>
      <c r="AO48" s="29">
        <f>(AN48-AM48)/AN48</f>
        <v>0.125</v>
      </c>
      <c r="AP48" s="34">
        <f>AM48/AN48</f>
        <v>0.875</v>
      </c>
      <c r="AQ48" s="34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98"/>
    </row>
    <row r="49" spans="1:56" ht="27.75" customHeight="1" thickBot="1" x14ac:dyDescent="0.25">
      <c r="A49" s="18" t="s">
        <v>327</v>
      </c>
      <c r="B49" s="19" t="s">
        <v>111</v>
      </c>
      <c r="C49" s="20">
        <v>600000</v>
      </c>
      <c r="D49" s="20">
        <v>750000</v>
      </c>
      <c r="E49" s="43">
        <f t="shared" si="0"/>
        <v>0.2</v>
      </c>
      <c r="F49" s="35">
        <f t="shared" si="3"/>
        <v>0.8</v>
      </c>
      <c r="I49" s="18" t="s">
        <v>327</v>
      </c>
      <c r="J49" s="19" t="s">
        <v>111</v>
      </c>
      <c r="K49" s="19" t="s">
        <v>281</v>
      </c>
      <c r="L49" s="58" t="s">
        <v>270</v>
      </c>
      <c r="M49" s="58" t="s">
        <v>144</v>
      </c>
      <c r="N49" s="59">
        <v>61</v>
      </c>
      <c r="P49" s="18" t="s">
        <v>326</v>
      </c>
      <c r="Q49" s="19" t="s">
        <v>94</v>
      </c>
      <c r="R49" s="19">
        <v>8</v>
      </c>
      <c r="S49" s="19">
        <v>4</v>
      </c>
      <c r="T49" s="59">
        <v>1</v>
      </c>
      <c r="V49" s="18" t="s">
        <v>327</v>
      </c>
      <c r="W49" s="19" t="s">
        <v>229</v>
      </c>
      <c r="X49" s="19" t="s">
        <v>111</v>
      </c>
      <c r="Y49" s="58" t="s">
        <v>162</v>
      </c>
      <c r="Z49" s="58" t="s">
        <v>163</v>
      </c>
      <c r="AA49" s="59">
        <v>3</v>
      </c>
      <c r="AC49" s="18" t="s">
        <v>326</v>
      </c>
      <c r="AD49" s="19" t="s">
        <v>60</v>
      </c>
      <c r="AE49" s="76">
        <v>43286</v>
      </c>
      <c r="AF49" s="79">
        <v>42578</v>
      </c>
      <c r="AG49" s="80">
        <f>AE49</f>
        <v>43286</v>
      </c>
      <c r="AJ49" s="97" t="s">
        <v>368</v>
      </c>
      <c r="AK49" s="19" t="s">
        <v>327</v>
      </c>
      <c r="AL49" s="19" t="s">
        <v>111</v>
      </c>
      <c r="AM49" s="29">
        <v>600000</v>
      </c>
      <c r="AN49" s="29">
        <v>750000</v>
      </c>
      <c r="AO49" s="29">
        <f>(AN49-AM49)/AN49</f>
        <v>0.2</v>
      </c>
      <c r="AP49" s="34">
        <f>AM49/AN49</f>
        <v>0.8</v>
      </c>
      <c r="AQ49" s="34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98"/>
    </row>
    <row r="50" spans="1:56" ht="27.75" customHeight="1" thickBot="1" x14ac:dyDescent="0.25">
      <c r="A50" s="18" t="s">
        <v>327</v>
      </c>
      <c r="B50" s="19" t="s">
        <v>113</v>
      </c>
      <c r="C50" s="20">
        <v>700000</v>
      </c>
      <c r="D50" s="20">
        <v>900000</v>
      </c>
      <c r="E50" s="43">
        <f t="shared" si="0"/>
        <v>0.22222222222222221</v>
      </c>
      <c r="F50" s="35">
        <f t="shared" si="3"/>
        <v>0.77777777777777779</v>
      </c>
      <c r="I50" s="18" t="s">
        <v>327</v>
      </c>
      <c r="J50" s="19" t="s">
        <v>113</v>
      </c>
      <c r="K50" s="19" t="s">
        <v>311</v>
      </c>
      <c r="L50" s="58" t="s">
        <v>147</v>
      </c>
      <c r="M50" s="19" t="s">
        <v>260</v>
      </c>
      <c r="N50" s="59" t="s">
        <v>260</v>
      </c>
      <c r="P50" s="18" t="s">
        <v>326</v>
      </c>
      <c r="Q50" s="19" t="s">
        <v>96</v>
      </c>
      <c r="R50" s="19">
        <v>10</v>
      </c>
      <c r="S50" s="19">
        <v>1</v>
      </c>
      <c r="T50" s="59">
        <v>0</v>
      </c>
      <c r="V50" s="18" t="s">
        <v>327</v>
      </c>
      <c r="W50" s="19" t="s">
        <v>230</v>
      </c>
      <c r="X50" s="19" t="s">
        <v>113</v>
      </c>
      <c r="Y50" s="58" t="s">
        <v>165</v>
      </c>
      <c r="Z50" s="58" t="s">
        <v>166</v>
      </c>
      <c r="AA50" s="59">
        <v>4</v>
      </c>
      <c r="AC50" s="18" t="s">
        <v>326</v>
      </c>
      <c r="AD50" s="19" t="s">
        <v>78</v>
      </c>
      <c r="AE50" s="76">
        <v>43018</v>
      </c>
      <c r="AF50" s="79" t="s">
        <v>352</v>
      </c>
      <c r="AG50" s="80">
        <f>AE50</f>
        <v>43018</v>
      </c>
      <c r="AJ50" s="97" t="s">
        <v>368</v>
      </c>
      <c r="AK50" s="19" t="s">
        <v>327</v>
      </c>
      <c r="AL50" s="19" t="s">
        <v>123</v>
      </c>
      <c r="AM50" s="29">
        <v>800000</v>
      </c>
      <c r="AN50" s="29">
        <v>900000</v>
      </c>
      <c r="AO50" s="29">
        <f>(AN50-AM50)/AN50</f>
        <v>0.1111111111111111</v>
      </c>
      <c r="AP50" s="34">
        <f>AM50/AN50</f>
        <v>0.88888888888888884</v>
      </c>
      <c r="AQ50" s="34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98"/>
    </row>
    <row r="51" spans="1:56" ht="27.75" customHeight="1" thickBot="1" x14ac:dyDescent="0.25">
      <c r="A51" s="18" t="s">
        <v>327</v>
      </c>
      <c r="B51" s="19" t="s">
        <v>115</v>
      </c>
      <c r="C51" s="20">
        <v>550000</v>
      </c>
      <c r="D51" s="20">
        <v>700000</v>
      </c>
      <c r="E51" s="43">
        <f t="shared" si="0"/>
        <v>0.21428571428571427</v>
      </c>
      <c r="F51" s="35">
        <f t="shared" si="3"/>
        <v>0.7857142857142857</v>
      </c>
      <c r="I51" s="18" t="s">
        <v>327</v>
      </c>
      <c r="J51" s="19" t="s">
        <v>115</v>
      </c>
      <c r="K51" s="19" t="s">
        <v>297</v>
      </c>
      <c r="L51" s="58" t="s">
        <v>150</v>
      </c>
      <c r="M51" s="58" t="s">
        <v>273</v>
      </c>
      <c r="N51" s="59">
        <v>31</v>
      </c>
      <c r="P51" s="18" t="s">
        <v>326</v>
      </c>
      <c r="Q51" s="19" t="s">
        <v>98</v>
      </c>
      <c r="R51" s="19">
        <v>8</v>
      </c>
      <c r="S51" s="19">
        <v>5</v>
      </c>
      <c r="T51" s="59">
        <v>1</v>
      </c>
      <c r="V51" s="18" t="s">
        <v>327</v>
      </c>
      <c r="W51" s="19" t="s">
        <v>231</v>
      </c>
      <c r="X51" s="19" t="s">
        <v>115</v>
      </c>
      <c r="Y51" s="58" t="s">
        <v>168</v>
      </c>
      <c r="Z51" s="58" t="s">
        <v>169</v>
      </c>
      <c r="AA51" s="59">
        <v>2</v>
      </c>
      <c r="AC51" s="18" t="s">
        <v>325</v>
      </c>
      <c r="AD51" s="19" t="s">
        <v>41</v>
      </c>
      <c r="AE51" s="76">
        <v>42959</v>
      </c>
      <c r="AF51" s="79">
        <v>42554</v>
      </c>
      <c r="AG51" s="80">
        <f>AE51</f>
        <v>42959</v>
      </c>
      <c r="AJ51" s="97" t="s">
        <v>368</v>
      </c>
      <c r="AK51" s="19" t="s">
        <v>327</v>
      </c>
      <c r="AL51" s="19" t="s">
        <v>120</v>
      </c>
      <c r="AM51" s="29">
        <v>600000</v>
      </c>
      <c r="AN51" s="29">
        <v>750000</v>
      </c>
      <c r="AO51" s="29">
        <f>(AN51-AM51)/AN51</f>
        <v>0.2</v>
      </c>
      <c r="AP51" s="34">
        <f>AM51/AN51</f>
        <v>0.8</v>
      </c>
      <c r="AQ51" s="34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98"/>
    </row>
    <row r="52" spans="1:56" ht="27.75" customHeight="1" thickBot="1" x14ac:dyDescent="0.25">
      <c r="A52" s="18" t="s">
        <v>327</v>
      </c>
      <c r="B52" s="19" t="s">
        <v>116</v>
      </c>
      <c r="C52" s="20">
        <v>800000</v>
      </c>
      <c r="D52" s="20">
        <v>950000</v>
      </c>
      <c r="E52" s="43">
        <f t="shared" si="0"/>
        <v>0.15789473684210525</v>
      </c>
      <c r="F52" s="35">
        <f t="shared" si="3"/>
        <v>0.84210526315789469</v>
      </c>
      <c r="I52" s="18" t="s">
        <v>327</v>
      </c>
      <c r="J52" s="19" t="s">
        <v>116</v>
      </c>
      <c r="K52" s="19" t="s">
        <v>272</v>
      </c>
      <c r="L52" s="58" t="s">
        <v>275</v>
      </c>
      <c r="M52" s="58" t="s">
        <v>276</v>
      </c>
      <c r="N52" s="59">
        <v>51</v>
      </c>
      <c r="P52" s="18" t="s">
        <v>326</v>
      </c>
      <c r="Q52" s="19" t="s">
        <v>247</v>
      </c>
      <c r="R52" s="19">
        <v>9</v>
      </c>
      <c r="S52" s="19">
        <v>3</v>
      </c>
      <c r="T52" s="59">
        <v>0</v>
      </c>
      <c r="V52" s="18" t="s">
        <v>327</v>
      </c>
      <c r="W52" s="19" t="s">
        <v>232</v>
      </c>
      <c r="X52" s="19" t="s">
        <v>116</v>
      </c>
      <c r="Y52" s="58" t="s">
        <v>171</v>
      </c>
      <c r="Z52" s="58" t="s">
        <v>172</v>
      </c>
      <c r="AA52" s="59">
        <v>3</v>
      </c>
      <c r="AC52" s="18" t="s">
        <v>325</v>
      </c>
      <c r="AD52" s="19" t="s">
        <v>15</v>
      </c>
      <c r="AE52" s="76">
        <v>43212</v>
      </c>
      <c r="AF52" s="79" t="s">
        <v>356</v>
      </c>
      <c r="AG52" s="80">
        <f>AE52</f>
        <v>43212</v>
      </c>
      <c r="AJ52" s="97" t="s">
        <v>368</v>
      </c>
      <c r="AK52" s="19" t="s">
        <v>327</v>
      </c>
      <c r="AL52" s="19" t="s">
        <v>116</v>
      </c>
      <c r="AM52" s="29">
        <v>800000</v>
      </c>
      <c r="AN52" s="29">
        <v>950000</v>
      </c>
      <c r="AO52" s="29">
        <f>(AN52-AM52)/AN52</f>
        <v>0.15789473684210525</v>
      </c>
      <c r="AP52" s="34">
        <f>AM52/AN52</f>
        <v>0.84210526315789469</v>
      </c>
      <c r="AQ52" s="34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98"/>
    </row>
    <row r="53" spans="1:56" ht="27.75" customHeight="1" thickBot="1" x14ac:dyDescent="0.25">
      <c r="A53" s="18" t="s">
        <v>327</v>
      </c>
      <c r="B53" s="19" t="s">
        <v>118</v>
      </c>
      <c r="C53" s="20">
        <v>650000</v>
      </c>
      <c r="D53" s="20">
        <v>800000</v>
      </c>
      <c r="E53" s="43">
        <f t="shared" si="0"/>
        <v>0.1875</v>
      </c>
      <c r="F53" s="35">
        <f t="shared" si="3"/>
        <v>0.8125</v>
      </c>
      <c r="I53" s="18" t="s">
        <v>327</v>
      </c>
      <c r="J53" s="19" t="s">
        <v>118</v>
      </c>
      <c r="K53" s="19" t="s">
        <v>279</v>
      </c>
      <c r="L53" s="58" t="s">
        <v>278</v>
      </c>
      <c r="M53" s="19" t="s">
        <v>260</v>
      </c>
      <c r="N53" s="59" t="s">
        <v>260</v>
      </c>
      <c r="P53" s="18" t="s">
        <v>327</v>
      </c>
      <c r="Q53" s="19" t="s">
        <v>100</v>
      </c>
      <c r="R53" s="19">
        <v>10</v>
      </c>
      <c r="S53" s="19">
        <v>1</v>
      </c>
      <c r="T53" s="59">
        <v>1</v>
      </c>
      <c r="V53" s="18" t="s">
        <v>327</v>
      </c>
      <c r="W53" s="19" t="s">
        <v>233</v>
      </c>
      <c r="X53" s="19" t="s">
        <v>118</v>
      </c>
      <c r="Y53" s="58" t="s">
        <v>174</v>
      </c>
      <c r="Z53" s="58" t="s">
        <v>175</v>
      </c>
      <c r="AA53" s="59">
        <v>4</v>
      </c>
      <c r="AC53" s="18" t="s">
        <v>327</v>
      </c>
      <c r="AD53" s="19" t="s">
        <v>127</v>
      </c>
      <c r="AE53" s="76">
        <v>43303</v>
      </c>
      <c r="AF53" s="79">
        <v>42580</v>
      </c>
      <c r="AG53" s="80">
        <f>AE53</f>
        <v>43303</v>
      </c>
      <c r="AJ53" s="97" t="s">
        <v>368</v>
      </c>
      <c r="AK53" s="19" t="s">
        <v>327</v>
      </c>
      <c r="AL53" s="19" t="s">
        <v>102</v>
      </c>
      <c r="AM53" s="29">
        <v>500000</v>
      </c>
      <c r="AN53" s="29">
        <v>650000</v>
      </c>
      <c r="AO53" s="29">
        <f>(AN53-AM53)/AN53</f>
        <v>0.23076923076923078</v>
      </c>
      <c r="AP53" s="34">
        <f>AM53/AN53</f>
        <v>0.76923076923076927</v>
      </c>
      <c r="AQ53" s="34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98"/>
    </row>
    <row r="54" spans="1:56" ht="27.75" customHeight="1" thickBot="1" x14ac:dyDescent="0.25">
      <c r="A54" s="18" t="s">
        <v>327</v>
      </c>
      <c r="B54" s="19" t="s">
        <v>119</v>
      </c>
      <c r="C54" s="20">
        <v>450000</v>
      </c>
      <c r="D54" s="20">
        <v>650000</v>
      </c>
      <c r="E54" s="43">
        <f t="shared" si="0"/>
        <v>0.30769230769230771</v>
      </c>
      <c r="F54" s="35">
        <f t="shared" si="3"/>
        <v>0.69230769230769229</v>
      </c>
      <c r="I54" s="18" t="s">
        <v>327</v>
      </c>
      <c r="J54" s="19" t="s">
        <v>119</v>
      </c>
      <c r="K54" s="19" t="s">
        <v>304</v>
      </c>
      <c r="L54" s="58" t="s">
        <v>165</v>
      </c>
      <c r="M54" s="58" t="s">
        <v>280</v>
      </c>
      <c r="N54" s="59">
        <v>30</v>
      </c>
      <c r="P54" s="18" t="s">
        <v>327</v>
      </c>
      <c r="Q54" s="19" t="s">
        <v>102</v>
      </c>
      <c r="R54" s="19">
        <v>9</v>
      </c>
      <c r="S54" s="19">
        <v>3</v>
      </c>
      <c r="T54" s="59">
        <v>0</v>
      </c>
      <c r="V54" s="18" t="s">
        <v>327</v>
      </c>
      <c r="W54" s="19" t="s">
        <v>234</v>
      </c>
      <c r="X54" s="19" t="s">
        <v>119</v>
      </c>
      <c r="Y54" s="58" t="s">
        <v>177</v>
      </c>
      <c r="Z54" s="58" t="s">
        <v>178</v>
      </c>
      <c r="AA54" s="59">
        <v>2</v>
      </c>
      <c r="AC54" s="18" t="s">
        <v>327</v>
      </c>
      <c r="AD54" s="19" t="s">
        <v>133</v>
      </c>
      <c r="AE54" s="76">
        <v>43525</v>
      </c>
      <c r="AF54" s="79" t="s">
        <v>361</v>
      </c>
      <c r="AG54" s="80">
        <f>AE54</f>
        <v>43525</v>
      </c>
      <c r="AJ54" s="97" t="s">
        <v>368</v>
      </c>
      <c r="AK54" s="19" t="s">
        <v>327</v>
      </c>
      <c r="AL54" s="19" t="s">
        <v>107</v>
      </c>
      <c r="AM54" s="29">
        <v>700000</v>
      </c>
      <c r="AN54" s="29">
        <v>850000</v>
      </c>
      <c r="AO54" s="29">
        <f>(AN54-AM54)/AN54</f>
        <v>0.17647058823529413</v>
      </c>
      <c r="AP54" s="34">
        <f>AM54/AN54</f>
        <v>0.82352941176470584</v>
      </c>
      <c r="AQ54" s="34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98"/>
    </row>
    <row r="55" spans="1:56" ht="27.75" customHeight="1" thickBot="1" x14ac:dyDescent="0.25">
      <c r="A55" s="18" t="s">
        <v>327</v>
      </c>
      <c r="B55" s="19" t="s">
        <v>120</v>
      </c>
      <c r="C55" s="20">
        <v>600000</v>
      </c>
      <c r="D55" s="20">
        <v>750000</v>
      </c>
      <c r="E55" s="43">
        <f t="shared" si="0"/>
        <v>0.2</v>
      </c>
      <c r="F55" s="35">
        <f t="shared" si="3"/>
        <v>0.8</v>
      </c>
      <c r="I55" s="18" t="s">
        <v>327</v>
      </c>
      <c r="J55" s="19" t="s">
        <v>120</v>
      </c>
      <c r="K55" s="19" t="s">
        <v>289</v>
      </c>
      <c r="L55" s="58" t="s">
        <v>282</v>
      </c>
      <c r="M55" s="19" t="s">
        <v>260</v>
      </c>
      <c r="N55" s="59" t="s">
        <v>260</v>
      </c>
      <c r="P55" s="18" t="s">
        <v>327</v>
      </c>
      <c r="Q55" s="19" t="s">
        <v>103</v>
      </c>
      <c r="R55" s="19">
        <v>8</v>
      </c>
      <c r="S55" s="19">
        <v>4</v>
      </c>
      <c r="T55" s="59">
        <v>1</v>
      </c>
      <c r="V55" s="18" t="s">
        <v>327</v>
      </c>
      <c r="W55" s="19" t="s">
        <v>235</v>
      </c>
      <c r="X55" s="19" t="s">
        <v>120</v>
      </c>
      <c r="Y55" s="58" t="s">
        <v>180</v>
      </c>
      <c r="Z55" s="58" t="s">
        <v>181</v>
      </c>
      <c r="AA55" s="59">
        <v>3</v>
      </c>
      <c r="AC55" s="18" t="s">
        <v>327</v>
      </c>
      <c r="AD55" s="19" t="s">
        <v>109</v>
      </c>
      <c r="AE55" s="76">
        <v>42988</v>
      </c>
      <c r="AF55" s="79">
        <v>42614</v>
      </c>
      <c r="AG55" s="80">
        <f>AE55</f>
        <v>42988</v>
      </c>
      <c r="AJ55" s="97" t="s">
        <v>368</v>
      </c>
      <c r="AK55" s="19" t="s">
        <v>325</v>
      </c>
      <c r="AL55" s="19" t="s">
        <v>3</v>
      </c>
      <c r="AM55" s="29">
        <v>450000</v>
      </c>
      <c r="AN55" s="29">
        <v>500000</v>
      </c>
      <c r="AO55" s="29">
        <f>(AN55-AM55)/AN55</f>
        <v>0.1</v>
      </c>
      <c r="AP55" s="34">
        <f>AM55/AN55</f>
        <v>0.9</v>
      </c>
      <c r="AQ55" s="34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98"/>
    </row>
    <row r="56" spans="1:56" ht="27.75" customHeight="1" thickBot="1" x14ac:dyDescent="0.25">
      <c r="A56" s="18" t="s">
        <v>327</v>
      </c>
      <c r="B56" s="19" t="s">
        <v>122</v>
      </c>
      <c r="C56" s="20">
        <v>550000</v>
      </c>
      <c r="D56" s="20">
        <v>700000</v>
      </c>
      <c r="E56" s="43">
        <f t="shared" si="0"/>
        <v>0.21428571428571427</v>
      </c>
      <c r="F56" s="35">
        <f t="shared" si="3"/>
        <v>0.7857142857142857</v>
      </c>
      <c r="I56" s="18" t="s">
        <v>327</v>
      </c>
      <c r="J56" s="19" t="s">
        <v>122</v>
      </c>
      <c r="K56" s="19" t="s">
        <v>286</v>
      </c>
      <c r="L56" s="58" t="s">
        <v>284</v>
      </c>
      <c r="M56" s="58" t="s">
        <v>285</v>
      </c>
      <c r="N56" s="59">
        <v>40</v>
      </c>
      <c r="P56" s="18" t="s">
        <v>327</v>
      </c>
      <c r="Q56" s="19" t="s">
        <v>105</v>
      </c>
      <c r="R56" s="19">
        <v>10</v>
      </c>
      <c r="S56" s="19">
        <v>1</v>
      </c>
      <c r="T56" s="59">
        <v>0</v>
      </c>
      <c r="V56" s="18" t="s">
        <v>327</v>
      </c>
      <c r="W56" s="19" t="s">
        <v>236</v>
      </c>
      <c r="X56" s="19" t="s">
        <v>122</v>
      </c>
      <c r="Y56" s="58" t="s">
        <v>183</v>
      </c>
      <c r="Z56" s="58" t="s">
        <v>184</v>
      </c>
      <c r="AA56" s="59">
        <v>4</v>
      </c>
      <c r="AC56" s="18" t="s">
        <v>327</v>
      </c>
      <c r="AD56" s="19" t="s">
        <v>131</v>
      </c>
      <c r="AE56" s="76">
        <v>43636</v>
      </c>
      <c r="AF56" s="79" t="s">
        <v>358</v>
      </c>
      <c r="AG56" s="80">
        <f>AE56</f>
        <v>43636</v>
      </c>
      <c r="AJ56" s="97" t="s">
        <v>368</v>
      </c>
      <c r="AK56" s="19" t="s">
        <v>325</v>
      </c>
      <c r="AL56" s="19" t="s">
        <v>27</v>
      </c>
      <c r="AM56" s="29">
        <v>550000</v>
      </c>
      <c r="AN56" s="29">
        <v>750000</v>
      </c>
      <c r="AO56" s="29">
        <f>(AN56-AM56)/AN56</f>
        <v>0.26666666666666666</v>
      </c>
      <c r="AP56" s="34">
        <f>AM56/AN56</f>
        <v>0.73333333333333328</v>
      </c>
      <c r="AQ56" s="34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98"/>
    </row>
    <row r="57" spans="1:56" ht="27.75" customHeight="1" thickBot="1" x14ac:dyDescent="0.25">
      <c r="A57" s="18" t="s">
        <v>327</v>
      </c>
      <c r="B57" s="19" t="s">
        <v>123</v>
      </c>
      <c r="C57" s="20">
        <v>800000</v>
      </c>
      <c r="D57" s="20">
        <v>900000</v>
      </c>
      <c r="E57" s="43">
        <f t="shared" si="0"/>
        <v>0.1111111111111111</v>
      </c>
      <c r="F57" s="35">
        <f t="shared" si="3"/>
        <v>0.88888888888888884</v>
      </c>
      <c r="I57" s="18" t="s">
        <v>327</v>
      </c>
      <c r="J57" s="19" t="s">
        <v>123</v>
      </c>
      <c r="K57" s="19" t="s">
        <v>269</v>
      </c>
      <c r="L57" s="58" t="s">
        <v>287</v>
      </c>
      <c r="M57" s="58" t="s">
        <v>288</v>
      </c>
      <c r="N57" s="59">
        <v>41</v>
      </c>
      <c r="P57" s="18" t="s">
        <v>327</v>
      </c>
      <c r="Q57" s="19" t="s">
        <v>107</v>
      </c>
      <c r="R57" s="19">
        <v>9</v>
      </c>
      <c r="S57" s="19">
        <v>3</v>
      </c>
      <c r="T57" s="59">
        <v>1</v>
      </c>
      <c r="V57" s="18" t="s">
        <v>327</v>
      </c>
      <c r="W57" s="19" t="s">
        <v>237</v>
      </c>
      <c r="X57" s="19" t="s">
        <v>123</v>
      </c>
      <c r="Y57" s="58" t="s">
        <v>186</v>
      </c>
      <c r="Z57" s="58" t="s">
        <v>187</v>
      </c>
      <c r="AA57" s="59">
        <v>2</v>
      </c>
      <c r="AC57" s="18" t="s">
        <v>327</v>
      </c>
      <c r="AD57" s="19" t="s">
        <v>111</v>
      </c>
      <c r="AE57" s="76">
        <v>43311</v>
      </c>
      <c r="AF57" s="79">
        <v>42554</v>
      </c>
      <c r="AG57" s="80">
        <f>AE57</f>
        <v>43311</v>
      </c>
      <c r="AJ57" s="97" t="s">
        <v>368</v>
      </c>
      <c r="AK57" s="19" t="s">
        <v>326</v>
      </c>
      <c r="AL57" s="19" t="s">
        <v>74</v>
      </c>
      <c r="AM57" s="29">
        <v>500000</v>
      </c>
      <c r="AN57" s="29">
        <v>700000</v>
      </c>
      <c r="AO57" s="29">
        <f>(AN57-AM57)/AN57</f>
        <v>0.2857142857142857</v>
      </c>
      <c r="AP57" s="34">
        <f>AM57/AN57</f>
        <v>0.7142857142857143</v>
      </c>
      <c r="AQ57" s="34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98"/>
    </row>
    <row r="58" spans="1:56" ht="27.75" customHeight="1" thickBot="1" x14ac:dyDescent="0.25">
      <c r="A58" s="18" t="s">
        <v>327</v>
      </c>
      <c r="B58" s="19" t="s">
        <v>125</v>
      </c>
      <c r="C58" s="20">
        <v>1000000</v>
      </c>
      <c r="D58" s="20">
        <v>1100000</v>
      </c>
      <c r="E58" s="43">
        <f t="shared" si="0"/>
        <v>9.0909090909090912E-2</v>
      </c>
      <c r="F58" s="35">
        <f t="shared" si="3"/>
        <v>0.90909090909090906</v>
      </c>
      <c r="I58" s="18" t="s">
        <v>327</v>
      </c>
      <c r="J58" s="19" t="s">
        <v>125</v>
      </c>
      <c r="K58" s="19" t="s">
        <v>292</v>
      </c>
      <c r="L58" s="58" t="s">
        <v>290</v>
      </c>
      <c r="M58" s="58" t="s">
        <v>291</v>
      </c>
      <c r="N58" s="59">
        <v>39</v>
      </c>
      <c r="P58" s="18" t="s">
        <v>327</v>
      </c>
      <c r="Q58" s="19" t="s">
        <v>109</v>
      </c>
      <c r="R58" s="19">
        <v>8</v>
      </c>
      <c r="S58" s="19">
        <v>4</v>
      </c>
      <c r="T58" s="59">
        <v>0</v>
      </c>
      <c r="V58" s="18" t="s">
        <v>327</v>
      </c>
      <c r="W58" s="19" t="s">
        <v>238</v>
      </c>
      <c r="X58" s="19" t="s">
        <v>125</v>
      </c>
      <c r="Y58" s="58" t="s">
        <v>189</v>
      </c>
      <c r="Z58" s="58" t="s">
        <v>190</v>
      </c>
      <c r="AA58" s="59">
        <v>3</v>
      </c>
      <c r="AC58" s="18" t="s">
        <v>327</v>
      </c>
      <c r="AD58" s="19" t="s">
        <v>123</v>
      </c>
      <c r="AE58" s="76">
        <v>43327</v>
      </c>
      <c r="AF58" s="79">
        <v>42583</v>
      </c>
      <c r="AG58" s="80">
        <f>AE58</f>
        <v>43327</v>
      </c>
      <c r="AJ58" s="97" t="s">
        <v>368</v>
      </c>
      <c r="AK58" s="19" t="s">
        <v>326</v>
      </c>
      <c r="AL58" s="19" t="s">
        <v>85</v>
      </c>
      <c r="AM58" s="29">
        <v>450000</v>
      </c>
      <c r="AN58" s="29">
        <v>700000</v>
      </c>
      <c r="AO58" s="29">
        <f>(AN58-AM58)/AN58</f>
        <v>0.35714285714285715</v>
      </c>
      <c r="AP58" s="34">
        <f>AM58/AN58</f>
        <v>0.6428571428571429</v>
      </c>
      <c r="AQ58" s="34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98"/>
    </row>
    <row r="59" spans="1:56" ht="27.75" customHeight="1" thickBot="1" x14ac:dyDescent="0.25">
      <c r="A59" s="18" t="s">
        <v>327</v>
      </c>
      <c r="B59" s="19" t="s">
        <v>127</v>
      </c>
      <c r="C59" s="20">
        <v>750000</v>
      </c>
      <c r="D59" s="20">
        <v>850000</v>
      </c>
      <c r="E59" s="43">
        <f t="shared" si="0"/>
        <v>0.11764705882352941</v>
      </c>
      <c r="F59" s="35">
        <f t="shared" si="3"/>
        <v>0.88235294117647056</v>
      </c>
      <c r="I59" s="18" t="s">
        <v>327</v>
      </c>
      <c r="J59" s="19" t="s">
        <v>127</v>
      </c>
      <c r="K59" s="19" t="s">
        <v>300</v>
      </c>
      <c r="L59" s="58" t="s">
        <v>293</v>
      </c>
      <c r="M59" s="19" t="s">
        <v>260</v>
      </c>
      <c r="N59" s="59" t="s">
        <v>260</v>
      </c>
      <c r="P59" s="18" t="s">
        <v>327</v>
      </c>
      <c r="Q59" s="19" t="s">
        <v>111</v>
      </c>
      <c r="R59" s="19">
        <v>10</v>
      </c>
      <c r="S59" s="19">
        <v>2</v>
      </c>
      <c r="T59" s="59">
        <v>1</v>
      </c>
      <c r="V59" s="18" t="s">
        <v>327</v>
      </c>
      <c r="W59" s="19" t="s">
        <v>239</v>
      </c>
      <c r="X59" s="19" t="s">
        <v>127</v>
      </c>
      <c r="Y59" s="58" t="s">
        <v>192</v>
      </c>
      <c r="Z59" s="58" t="s">
        <v>193</v>
      </c>
      <c r="AA59" s="59">
        <v>4</v>
      </c>
      <c r="AC59" s="18" t="s">
        <v>327</v>
      </c>
      <c r="AD59" s="19" t="s">
        <v>120</v>
      </c>
      <c r="AE59" s="76">
        <v>43038</v>
      </c>
      <c r="AF59" s="79" t="s">
        <v>352</v>
      </c>
      <c r="AG59" s="80">
        <f>AE59</f>
        <v>43038</v>
      </c>
      <c r="AJ59" s="97" t="s">
        <v>368</v>
      </c>
      <c r="AK59" s="19" t="s">
        <v>326</v>
      </c>
      <c r="AL59" s="19" t="s">
        <v>56</v>
      </c>
      <c r="AM59" s="29">
        <v>550000</v>
      </c>
      <c r="AN59" s="29">
        <v>700000</v>
      </c>
      <c r="AO59" s="29">
        <f>(AN59-AM59)/AN59</f>
        <v>0.21428571428571427</v>
      </c>
      <c r="AP59" s="34">
        <f>AM59/AN59</f>
        <v>0.7857142857142857</v>
      </c>
      <c r="AQ59" s="34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98"/>
    </row>
    <row r="60" spans="1:56" ht="27.75" customHeight="1" thickBot="1" x14ac:dyDescent="0.25">
      <c r="A60" s="18" t="s">
        <v>327</v>
      </c>
      <c r="B60" s="19" t="s">
        <v>129</v>
      </c>
      <c r="C60" s="20">
        <v>850000</v>
      </c>
      <c r="D60" s="20">
        <v>950000</v>
      </c>
      <c r="E60" s="43">
        <f t="shared" si="0"/>
        <v>0.10526315789473684</v>
      </c>
      <c r="F60" s="35">
        <f t="shared" si="3"/>
        <v>0.89473684210526316</v>
      </c>
      <c r="I60" s="18" t="s">
        <v>327</v>
      </c>
      <c r="J60" s="19" t="s">
        <v>129</v>
      </c>
      <c r="K60" s="19" t="s">
        <v>271</v>
      </c>
      <c r="L60" s="58" t="s">
        <v>295</v>
      </c>
      <c r="M60" s="58" t="s">
        <v>296</v>
      </c>
      <c r="N60" s="59">
        <v>42</v>
      </c>
      <c r="P60" s="18" t="s">
        <v>327</v>
      </c>
      <c r="Q60" s="19" t="s">
        <v>113</v>
      </c>
      <c r="R60" s="19">
        <v>9</v>
      </c>
      <c r="S60" s="19">
        <v>3</v>
      </c>
      <c r="T60" s="59">
        <v>1</v>
      </c>
      <c r="V60" s="18" t="s">
        <v>327</v>
      </c>
      <c r="W60" s="19" t="s">
        <v>240</v>
      </c>
      <c r="X60" s="19" t="s">
        <v>129</v>
      </c>
      <c r="Y60" s="58" t="s">
        <v>195</v>
      </c>
      <c r="Z60" s="58" t="s">
        <v>196</v>
      </c>
      <c r="AA60" s="59">
        <v>2</v>
      </c>
      <c r="AC60" s="18" t="s">
        <v>327</v>
      </c>
      <c r="AD60" s="19" t="s">
        <v>116</v>
      </c>
      <c r="AE60" s="76">
        <v>43365</v>
      </c>
      <c r="AF60" s="79" t="s">
        <v>353</v>
      </c>
      <c r="AG60" s="80">
        <f>AE60</f>
        <v>43365</v>
      </c>
      <c r="AJ60" s="97" t="s">
        <v>368</v>
      </c>
      <c r="AK60" s="19" t="s">
        <v>326</v>
      </c>
      <c r="AL60" s="19" t="s">
        <v>79</v>
      </c>
      <c r="AM60" s="29">
        <v>900000</v>
      </c>
      <c r="AN60" s="29">
        <v>1200000</v>
      </c>
      <c r="AO60" s="29">
        <f>(AN60-AM60)/AN60</f>
        <v>0.25</v>
      </c>
      <c r="AP60" s="34">
        <f>AM60/AN60</f>
        <v>0.75</v>
      </c>
      <c r="AQ60" s="34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98"/>
    </row>
    <row r="61" spans="1:56" ht="27.75" customHeight="1" thickBot="1" x14ac:dyDescent="0.25">
      <c r="A61" s="18" t="s">
        <v>327</v>
      </c>
      <c r="B61" s="19" t="s">
        <v>131</v>
      </c>
      <c r="C61" s="20">
        <v>700000</v>
      </c>
      <c r="D61" s="20">
        <v>800000</v>
      </c>
      <c r="E61" s="43">
        <f t="shared" si="0"/>
        <v>0.125</v>
      </c>
      <c r="F61" s="35">
        <f t="shared" si="3"/>
        <v>0.875</v>
      </c>
      <c r="I61" s="18" t="s">
        <v>327</v>
      </c>
      <c r="J61" s="19" t="s">
        <v>131</v>
      </c>
      <c r="K61" s="19" t="s">
        <v>274</v>
      </c>
      <c r="L61" s="58" t="s">
        <v>298</v>
      </c>
      <c r="M61" s="58" t="s">
        <v>299</v>
      </c>
      <c r="N61" s="59">
        <v>61</v>
      </c>
      <c r="P61" s="18" t="s">
        <v>327</v>
      </c>
      <c r="Q61" s="19" t="s">
        <v>115</v>
      </c>
      <c r="R61" s="19">
        <v>8</v>
      </c>
      <c r="S61" s="19">
        <v>4</v>
      </c>
      <c r="T61" s="59">
        <v>0</v>
      </c>
      <c r="V61" s="18" t="s">
        <v>327</v>
      </c>
      <c r="W61" s="19" t="s">
        <v>241</v>
      </c>
      <c r="X61" s="19" t="s">
        <v>131</v>
      </c>
      <c r="Y61" s="58" t="s">
        <v>198</v>
      </c>
      <c r="Z61" s="58" t="s">
        <v>199</v>
      </c>
      <c r="AA61" s="59">
        <v>3</v>
      </c>
      <c r="AC61" s="18" t="s">
        <v>327</v>
      </c>
      <c r="AD61" s="19" t="s">
        <v>102</v>
      </c>
      <c r="AE61" s="76">
        <v>43337</v>
      </c>
      <c r="AF61" s="79">
        <v>42584</v>
      </c>
      <c r="AG61" s="80">
        <f>AE61</f>
        <v>43337</v>
      </c>
      <c r="AJ61" s="97" t="s">
        <v>368</v>
      </c>
      <c r="AK61" s="19" t="s">
        <v>326</v>
      </c>
      <c r="AL61" s="19" t="s">
        <v>64</v>
      </c>
      <c r="AM61" s="29">
        <v>700000</v>
      </c>
      <c r="AN61" s="29">
        <v>950000</v>
      </c>
      <c r="AO61" s="29">
        <f>(AN61-AM61)/AN61</f>
        <v>0.26315789473684209</v>
      </c>
      <c r="AP61" s="34">
        <f>AM61/AN61</f>
        <v>0.73684210526315785</v>
      </c>
      <c r="AQ61" s="34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98"/>
    </row>
    <row r="62" spans="1:56" ht="27.75" customHeight="1" thickBot="1" x14ac:dyDescent="0.25">
      <c r="A62" s="21" t="s">
        <v>327</v>
      </c>
      <c r="B62" s="22" t="s">
        <v>132</v>
      </c>
      <c r="C62" s="23">
        <v>500000</v>
      </c>
      <c r="D62" s="23">
        <v>700000</v>
      </c>
      <c r="E62" s="43">
        <f t="shared" si="0"/>
        <v>0.2857142857142857</v>
      </c>
      <c r="F62" s="36">
        <f t="shared" si="3"/>
        <v>0.7142857142857143</v>
      </c>
      <c r="I62" s="21" t="s">
        <v>327</v>
      </c>
      <c r="J62" s="22" t="s">
        <v>132</v>
      </c>
      <c r="K62" s="22" t="s">
        <v>314</v>
      </c>
      <c r="L62" s="60" t="s">
        <v>301</v>
      </c>
      <c r="M62" s="22" t="s">
        <v>260</v>
      </c>
      <c r="N62" s="61" t="s">
        <v>260</v>
      </c>
      <c r="P62" s="18" t="s">
        <v>327</v>
      </c>
      <c r="Q62" s="19" t="s">
        <v>116</v>
      </c>
      <c r="R62" s="19">
        <v>10</v>
      </c>
      <c r="S62" s="19">
        <v>2</v>
      </c>
      <c r="T62" s="59">
        <v>0</v>
      </c>
      <c r="V62" s="21" t="s">
        <v>327</v>
      </c>
      <c r="W62" s="22" t="s">
        <v>242</v>
      </c>
      <c r="X62" s="22" t="s">
        <v>132</v>
      </c>
      <c r="Y62" s="60" t="s">
        <v>201</v>
      </c>
      <c r="Z62" s="60" t="s">
        <v>202</v>
      </c>
      <c r="AA62" s="61">
        <v>4</v>
      </c>
      <c r="AC62" s="18" t="s">
        <v>327</v>
      </c>
      <c r="AD62" s="19" t="s">
        <v>137</v>
      </c>
      <c r="AE62" s="76">
        <v>42967</v>
      </c>
      <c r="AF62" s="79">
        <v>42583</v>
      </c>
      <c r="AG62" s="80">
        <f>AE62</f>
        <v>42967</v>
      </c>
      <c r="AJ62" s="97" t="s">
        <v>368</v>
      </c>
      <c r="AK62" s="19" t="s">
        <v>325</v>
      </c>
      <c r="AL62" s="19" t="s">
        <v>17</v>
      </c>
      <c r="AM62" s="29">
        <v>400000</v>
      </c>
      <c r="AN62" s="29">
        <v>550000</v>
      </c>
      <c r="AO62" s="29">
        <f>(AN62-AM62)/AN62</f>
        <v>0.27272727272727271</v>
      </c>
      <c r="AP62" s="34">
        <f>AM62/AN62</f>
        <v>0.72727272727272729</v>
      </c>
      <c r="AQ62" s="34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98"/>
    </row>
    <row r="63" spans="1:56" ht="26.25" thickBot="1" x14ac:dyDescent="0.25">
      <c r="P63" s="18" t="s">
        <v>327</v>
      </c>
      <c r="Q63" s="19" t="s">
        <v>118</v>
      </c>
      <c r="R63" s="19">
        <v>9</v>
      </c>
      <c r="S63" s="19">
        <v>3</v>
      </c>
      <c r="T63" s="59">
        <v>1</v>
      </c>
      <c r="AC63" s="18" t="s">
        <v>327</v>
      </c>
      <c r="AD63" s="19" t="s">
        <v>107</v>
      </c>
      <c r="AE63" s="76">
        <v>43493</v>
      </c>
      <c r="AF63" s="79" t="s">
        <v>355</v>
      </c>
      <c r="AG63" s="80">
        <f>AE63</f>
        <v>43493</v>
      </c>
      <c r="AJ63" s="99" t="s">
        <v>370</v>
      </c>
      <c r="AK63" s="19" t="s">
        <v>325</v>
      </c>
      <c r="AL63" s="19" t="s">
        <v>21</v>
      </c>
      <c r="AM63" s="91"/>
      <c r="AN63" s="91"/>
      <c r="AO63" s="92"/>
      <c r="AP63" s="92"/>
      <c r="AQ63" s="78">
        <v>43549</v>
      </c>
      <c r="AR63" s="93" t="s">
        <v>361</v>
      </c>
      <c r="AS63" s="94">
        <f>AQ63</f>
        <v>43549</v>
      </c>
      <c r="AT63" s="94"/>
      <c r="AU63" s="94"/>
      <c r="AV63" s="94"/>
      <c r="AW63" s="94"/>
      <c r="AX63" s="94"/>
      <c r="AY63" s="94"/>
      <c r="AZ63" s="94"/>
      <c r="BA63" s="94"/>
      <c r="BB63" s="94"/>
      <c r="BC63" s="94"/>
      <c r="BD63" s="100"/>
    </row>
    <row r="64" spans="1:56" ht="26.25" thickBot="1" x14ac:dyDescent="0.25">
      <c r="P64" s="18" t="s">
        <v>327</v>
      </c>
      <c r="Q64" s="19" t="s">
        <v>119</v>
      </c>
      <c r="R64" s="19">
        <v>8</v>
      </c>
      <c r="S64" s="19">
        <v>5</v>
      </c>
      <c r="T64" s="59">
        <v>0</v>
      </c>
      <c r="AC64" s="18" t="s">
        <v>325</v>
      </c>
      <c r="AD64" s="19" t="s">
        <v>3</v>
      </c>
      <c r="AE64" s="76">
        <v>43586</v>
      </c>
      <c r="AF64" s="79" t="s">
        <v>357</v>
      </c>
      <c r="AG64" s="80">
        <f>AE64</f>
        <v>43586</v>
      </c>
      <c r="AJ64" s="99" t="s">
        <v>370</v>
      </c>
      <c r="AK64" s="19" t="s">
        <v>325</v>
      </c>
      <c r="AL64" s="19" t="s">
        <v>35</v>
      </c>
      <c r="AM64" s="91"/>
      <c r="AN64" s="91"/>
      <c r="AO64" s="92"/>
      <c r="AP64" s="92"/>
      <c r="AQ64" s="78">
        <v>43570</v>
      </c>
      <c r="AR64" s="93" t="s">
        <v>356</v>
      </c>
      <c r="AS64" s="94">
        <f>AQ64</f>
        <v>43570</v>
      </c>
      <c r="AT64" s="94"/>
      <c r="AU64" s="94"/>
      <c r="AV64" s="94"/>
      <c r="AW64" s="94"/>
      <c r="AX64" s="94"/>
      <c r="AY64" s="94"/>
      <c r="AZ64" s="94"/>
      <c r="BA64" s="94"/>
      <c r="BB64" s="94"/>
      <c r="BC64" s="94"/>
      <c r="BD64" s="100"/>
    </row>
    <row r="65" spans="16:56" ht="13.5" thickBot="1" x14ac:dyDescent="0.25">
      <c r="P65" s="18" t="s">
        <v>327</v>
      </c>
      <c r="Q65" s="19" t="s">
        <v>120</v>
      </c>
      <c r="R65" s="19">
        <v>10</v>
      </c>
      <c r="S65" s="19">
        <v>1</v>
      </c>
      <c r="T65" s="59">
        <v>1</v>
      </c>
      <c r="AC65" s="18" t="s">
        <v>325</v>
      </c>
      <c r="AD65" s="19" t="s">
        <v>43</v>
      </c>
      <c r="AE65" s="76">
        <v>43524</v>
      </c>
      <c r="AF65" s="79" t="s">
        <v>360</v>
      </c>
      <c r="AG65" s="80">
        <f>AE65</f>
        <v>43524</v>
      </c>
      <c r="AJ65" s="99" t="s">
        <v>370</v>
      </c>
      <c r="AK65" s="19" t="s">
        <v>327</v>
      </c>
      <c r="AL65" s="19" t="s">
        <v>119</v>
      </c>
      <c r="AM65" s="91"/>
      <c r="AN65" s="91"/>
      <c r="AO65" s="92"/>
      <c r="AP65" s="92"/>
      <c r="AQ65" s="78">
        <v>43261</v>
      </c>
      <c r="AR65" s="93" t="s">
        <v>358</v>
      </c>
      <c r="AS65" s="94">
        <f>AQ65</f>
        <v>43261</v>
      </c>
      <c r="AT65" s="94"/>
      <c r="AU65" s="94"/>
      <c r="AV65" s="94"/>
      <c r="AW65" s="94"/>
      <c r="AX65" s="94"/>
      <c r="AY65" s="94"/>
      <c r="AZ65" s="94"/>
      <c r="BA65" s="94"/>
      <c r="BB65" s="94"/>
      <c r="BC65" s="94"/>
      <c r="BD65" s="100"/>
    </row>
    <row r="66" spans="16:56" ht="13.5" thickBot="1" x14ac:dyDescent="0.25">
      <c r="P66" s="18" t="s">
        <v>327</v>
      </c>
      <c r="Q66" s="19" t="s">
        <v>122</v>
      </c>
      <c r="R66" s="19">
        <v>9</v>
      </c>
      <c r="S66" s="19">
        <v>3</v>
      </c>
      <c r="T66" s="59">
        <v>0</v>
      </c>
      <c r="AC66" s="18" t="s">
        <v>325</v>
      </c>
      <c r="AD66" s="19" t="s">
        <v>27</v>
      </c>
      <c r="AE66" s="76">
        <v>43044</v>
      </c>
      <c r="AF66" s="79" t="s">
        <v>353</v>
      </c>
      <c r="AG66" s="80">
        <f>AE66</f>
        <v>43044</v>
      </c>
      <c r="AJ66" s="99" t="s">
        <v>370</v>
      </c>
      <c r="AK66" s="19" t="s">
        <v>327</v>
      </c>
      <c r="AL66" s="19" t="s">
        <v>135</v>
      </c>
      <c r="AM66" s="91"/>
      <c r="AN66" s="91"/>
      <c r="AO66" s="92"/>
      <c r="AP66" s="92"/>
      <c r="AQ66" s="78">
        <v>43355</v>
      </c>
      <c r="AR66" s="93" t="s">
        <v>352</v>
      </c>
      <c r="AS66" s="94">
        <f>AQ66</f>
        <v>43355</v>
      </c>
      <c r="AT66" s="94"/>
      <c r="AU66" s="94"/>
      <c r="AV66" s="94"/>
      <c r="AW66" s="94"/>
      <c r="AX66" s="94"/>
      <c r="AY66" s="94"/>
      <c r="AZ66" s="94"/>
      <c r="BA66" s="94"/>
      <c r="BB66" s="94"/>
      <c r="BC66" s="94"/>
      <c r="BD66" s="100"/>
    </row>
    <row r="67" spans="16:56" ht="13.5" thickBot="1" x14ac:dyDescent="0.25">
      <c r="P67" s="18" t="s">
        <v>327</v>
      </c>
      <c r="Q67" s="19" t="s">
        <v>123</v>
      </c>
      <c r="R67" s="19">
        <v>8</v>
      </c>
      <c r="S67" s="19">
        <v>4</v>
      </c>
      <c r="T67" s="59">
        <v>1</v>
      </c>
      <c r="AC67" s="18" t="s">
        <v>326</v>
      </c>
      <c r="AD67" s="19" t="s">
        <v>74</v>
      </c>
      <c r="AE67" s="76">
        <v>43470</v>
      </c>
      <c r="AF67" s="79" t="s">
        <v>355</v>
      </c>
      <c r="AG67" s="80">
        <f>AE67</f>
        <v>43470</v>
      </c>
      <c r="AJ67" s="99" t="s">
        <v>370</v>
      </c>
      <c r="AK67" s="19" t="s">
        <v>327</v>
      </c>
      <c r="AL67" s="19" t="s">
        <v>113</v>
      </c>
      <c r="AM67" s="91"/>
      <c r="AN67" s="91"/>
      <c r="AO67" s="92"/>
      <c r="AP67" s="92"/>
      <c r="AQ67" s="78">
        <v>43542</v>
      </c>
      <c r="AR67" s="93" t="s">
        <v>361</v>
      </c>
      <c r="AS67" s="94">
        <f>AQ67</f>
        <v>43542</v>
      </c>
      <c r="AT67" s="94"/>
      <c r="AU67" s="94"/>
      <c r="AV67" s="94"/>
      <c r="AW67" s="94"/>
      <c r="AX67" s="94"/>
      <c r="AY67" s="94"/>
      <c r="AZ67" s="94"/>
      <c r="BA67" s="94"/>
      <c r="BB67" s="94"/>
      <c r="BC67" s="94"/>
      <c r="BD67" s="100"/>
    </row>
    <row r="68" spans="16:56" ht="13.5" thickBot="1" x14ac:dyDescent="0.25">
      <c r="P68" s="18" t="s">
        <v>327</v>
      </c>
      <c r="Q68" s="19" t="s">
        <v>125</v>
      </c>
      <c r="R68" s="19">
        <v>10</v>
      </c>
      <c r="S68" s="19">
        <v>2</v>
      </c>
      <c r="T68" s="59">
        <v>0</v>
      </c>
      <c r="AC68" s="18" t="s">
        <v>326</v>
      </c>
      <c r="AD68" s="19" t="s">
        <v>98</v>
      </c>
      <c r="AE68" s="76">
        <v>42959</v>
      </c>
      <c r="AF68" s="79">
        <v>42583</v>
      </c>
      <c r="AG68" s="80">
        <f>AE68</f>
        <v>42959</v>
      </c>
      <c r="AJ68" s="99" t="s">
        <v>370</v>
      </c>
      <c r="AK68" s="19" t="s">
        <v>327</v>
      </c>
      <c r="AL68" s="19" t="s">
        <v>105</v>
      </c>
      <c r="AM68" s="91"/>
      <c r="AN68" s="91"/>
      <c r="AO68" s="92"/>
      <c r="AP68" s="92"/>
      <c r="AQ68" s="78">
        <v>43235</v>
      </c>
      <c r="AR68" s="93" t="s">
        <v>357</v>
      </c>
      <c r="AS68" s="94">
        <f>AQ68</f>
        <v>43235</v>
      </c>
      <c r="AT68" s="94"/>
      <c r="AU68" s="94"/>
      <c r="AV68" s="94"/>
      <c r="AW68" s="94"/>
      <c r="AX68" s="94"/>
      <c r="AY68" s="94"/>
      <c r="AZ68" s="94"/>
      <c r="BA68" s="94"/>
      <c r="BB68" s="94"/>
      <c r="BC68" s="94"/>
      <c r="BD68" s="100"/>
    </row>
    <row r="69" spans="16:56" ht="13.5" thickBot="1" x14ac:dyDescent="0.25">
      <c r="P69" s="18" t="s">
        <v>327</v>
      </c>
      <c r="Q69" s="19" t="s">
        <v>127</v>
      </c>
      <c r="R69" s="19">
        <v>9</v>
      </c>
      <c r="S69" s="19">
        <v>3</v>
      </c>
      <c r="T69" s="59">
        <v>1</v>
      </c>
      <c r="AC69" s="18" t="s">
        <v>326</v>
      </c>
      <c r="AD69" s="19" t="s">
        <v>85</v>
      </c>
      <c r="AE69" s="76">
        <v>43449</v>
      </c>
      <c r="AF69" s="79" t="s">
        <v>354</v>
      </c>
      <c r="AG69" s="80">
        <f>AE69</f>
        <v>43449</v>
      </c>
      <c r="AJ69" s="99" t="s">
        <v>370</v>
      </c>
      <c r="AK69" s="19" t="s">
        <v>327</v>
      </c>
      <c r="AL69" s="19" t="s">
        <v>100</v>
      </c>
      <c r="AM69" s="91"/>
      <c r="AN69" s="91"/>
      <c r="AO69" s="92"/>
      <c r="AP69" s="92"/>
      <c r="AQ69" s="78">
        <v>42906</v>
      </c>
      <c r="AR69" s="93">
        <v>42551</v>
      </c>
      <c r="AS69" s="94">
        <f>AQ69</f>
        <v>42906</v>
      </c>
      <c r="AT69" s="94"/>
      <c r="AU69" s="94"/>
      <c r="AV69" s="94"/>
      <c r="AW69" s="94"/>
      <c r="AX69" s="94"/>
      <c r="AY69" s="94"/>
      <c r="AZ69" s="94"/>
      <c r="BA69" s="94"/>
      <c r="BB69" s="94"/>
      <c r="BC69" s="94"/>
      <c r="BD69" s="100"/>
    </row>
    <row r="70" spans="16:56" ht="13.5" thickBot="1" x14ac:dyDescent="0.25">
      <c r="P70" s="18" t="s">
        <v>327</v>
      </c>
      <c r="Q70" s="19" t="s">
        <v>129</v>
      </c>
      <c r="R70" s="19">
        <v>8</v>
      </c>
      <c r="S70" s="19">
        <v>4</v>
      </c>
      <c r="T70" s="59">
        <v>0</v>
      </c>
      <c r="AC70" s="18" t="s">
        <v>326</v>
      </c>
      <c r="AD70" s="19" t="s">
        <v>56</v>
      </c>
      <c r="AE70" s="76">
        <v>43054</v>
      </c>
      <c r="AF70" s="79" t="s">
        <v>353</v>
      </c>
      <c r="AG70" s="80">
        <f>AE70</f>
        <v>43054</v>
      </c>
      <c r="AJ70" s="99" t="s">
        <v>370</v>
      </c>
      <c r="AK70" s="19" t="s">
        <v>327</v>
      </c>
      <c r="AL70" s="19" t="s">
        <v>122</v>
      </c>
      <c r="AM70" s="91"/>
      <c r="AN70" s="91"/>
      <c r="AO70" s="92"/>
      <c r="AP70" s="92"/>
      <c r="AQ70" s="78">
        <v>43524</v>
      </c>
      <c r="AR70" s="93" t="s">
        <v>360</v>
      </c>
      <c r="AS70" s="94">
        <f>AQ70</f>
        <v>43524</v>
      </c>
      <c r="AT70" s="94"/>
      <c r="AU70" s="94"/>
      <c r="AV70" s="94"/>
      <c r="AW70" s="94"/>
      <c r="AX70" s="94"/>
      <c r="AY70" s="94"/>
      <c r="AZ70" s="94"/>
      <c r="BA70" s="94"/>
      <c r="BB70" s="94"/>
      <c r="BC70" s="94"/>
      <c r="BD70" s="100"/>
    </row>
    <row r="71" spans="16:56" ht="13.5" thickBot="1" x14ac:dyDescent="0.25">
      <c r="P71" s="18" t="s">
        <v>327</v>
      </c>
      <c r="Q71" s="19" t="s">
        <v>131</v>
      </c>
      <c r="R71" s="19">
        <v>10</v>
      </c>
      <c r="S71" s="19">
        <v>1</v>
      </c>
      <c r="T71" s="59">
        <v>0</v>
      </c>
      <c r="AC71" s="18" t="s">
        <v>326</v>
      </c>
      <c r="AD71" s="19" t="s">
        <v>93</v>
      </c>
      <c r="AE71" s="76">
        <v>43524</v>
      </c>
      <c r="AF71" s="79" t="s">
        <v>360</v>
      </c>
      <c r="AG71" s="80">
        <f>AE71</f>
        <v>43524</v>
      </c>
      <c r="AJ71" s="99" t="s">
        <v>370</v>
      </c>
      <c r="AK71" s="19" t="s">
        <v>327</v>
      </c>
      <c r="AL71" s="19" t="s">
        <v>129</v>
      </c>
      <c r="AM71" s="91"/>
      <c r="AN71" s="91"/>
      <c r="AO71" s="92"/>
      <c r="AP71" s="92"/>
      <c r="AQ71" s="78">
        <v>43074</v>
      </c>
      <c r="AR71" s="93" t="s">
        <v>354</v>
      </c>
      <c r="AS71" s="94">
        <f>AQ71</f>
        <v>43074</v>
      </c>
      <c r="AT71" s="94"/>
      <c r="AU71" s="94"/>
      <c r="AV71" s="94"/>
      <c r="AW71" s="94"/>
      <c r="AX71" s="94"/>
      <c r="AY71" s="94"/>
      <c r="AZ71" s="94"/>
      <c r="BA71" s="94"/>
      <c r="BB71" s="94"/>
      <c r="BC71" s="94"/>
      <c r="BD71" s="100"/>
    </row>
    <row r="72" spans="16:56" ht="13.5" thickBot="1" x14ac:dyDescent="0.25">
      <c r="P72" s="18" t="s">
        <v>327</v>
      </c>
      <c r="Q72" s="19" t="s">
        <v>132</v>
      </c>
      <c r="R72" s="19">
        <v>9</v>
      </c>
      <c r="S72" s="19">
        <v>3</v>
      </c>
      <c r="T72" s="59">
        <v>1</v>
      </c>
      <c r="AC72" s="18" t="s">
        <v>326</v>
      </c>
      <c r="AD72" s="19" t="s">
        <v>79</v>
      </c>
      <c r="AE72" s="76">
        <v>43563</v>
      </c>
      <c r="AF72" s="79" t="s">
        <v>356</v>
      </c>
      <c r="AG72" s="80">
        <f>AE72</f>
        <v>43563</v>
      </c>
      <c r="AJ72" s="99" t="s">
        <v>370</v>
      </c>
      <c r="AK72" s="19" t="s">
        <v>326</v>
      </c>
      <c r="AL72" s="19" t="s">
        <v>66</v>
      </c>
      <c r="AM72" s="91"/>
      <c r="AN72" s="91"/>
      <c r="AO72" s="92"/>
      <c r="AP72" s="92"/>
      <c r="AQ72" s="78">
        <v>43395</v>
      </c>
      <c r="AR72" s="93" t="s">
        <v>354</v>
      </c>
      <c r="AS72" s="94">
        <f>AQ72</f>
        <v>43395</v>
      </c>
      <c r="AT72" s="94"/>
      <c r="AU72" s="94"/>
      <c r="AV72" s="94"/>
      <c r="AW72" s="94"/>
      <c r="AX72" s="94"/>
      <c r="AY72" s="94"/>
      <c r="AZ72" s="94"/>
      <c r="BA72" s="94"/>
      <c r="BB72" s="94"/>
      <c r="BC72" s="94"/>
      <c r="BD72" s="100"/>
    </row>
    <row r="73" spans="16:56" ht="13.5" thickBot="1" x14ac:dyDescent="0.25">
      <c r="P73" s="18" t="s">
        <v>327</v>
      </c>
      <c r="Q73" s="19" t="s">
        <v>133</v>
      </c>
      <c r="R73" s="19">
        <v>8</v>
      </c>
      <c r="S73" s="19">
        <v>4</v>
      </c>
      <c r="T73" s="59">
        <v>0</v>
      </c>
      <c r="AC73" s="18" t="s">
        <v>326</v>
      </c>
      <c r="AD73" s="19" t="s">
        <v>64</v>
      </c>
      <c r="AE73" s="76">
        <v>43099</v>
      </c>
      <c r="AF73" s="79" t="s">
        <v>354</v>
      </c>
      <c r="AG73" s="80">
        <f>AE73</f>
        <v>43099</v>
      </c>
      <c r="AJ73" s="99" t="s">
        <v>370</v>
      </c>
      <c r="AK73" s="19" t="s">
        <v>326</v>
      </c>
      <c r="AL73" s="19" t="s">
        <v>91</v>
      </c>
      <c r="AM73" s="91"/>
      <c r="AN73" s="91"/>
      <c r="AO73" s="92"/>
      <c r="AP73" s="92"/>
      <c r="AQ73" s="78">
        <v>43240</v>
      </c>
      <c r="AR73" s="93" t="s">
        <v>357</v>
      </c>
      <c r="AS73" s="94">
        <f>AQ73</f>
        <v>43240</v>
      </c>
      <c r="AT73" s="94"/>
      <c r="AU73" s="94"/>
      <c r="AV73" s="94"/>
      <c r="AW73" s="94"/>
      <c r="AX73" s="94"/>
      <c r="AY73" s="94"/>
      <c r="AZ73" s="94"/>
      <c r="BA73" s="94"/>
      <c r="BB73" s="94"/>
      <c r="BC73" s="94"/>
      <c r="BD73" s="100"/>
    </row>
    <row r="74" spans="16:56" ht="13.5" thickBot="1" x14ac:dyDescent="0.25">
      <c r="P74" s="18" t="s">
        <v>327</v>
      </c>
      <c r="Q74" s="19" t="s">
        <v>135</v>
      </c>
      <c r="R74" s="19">
        <v>10</v>
      </c>
      <c r="S74" s="19">
        <v>2</v>
      </c>
      <c r="T74" s="59">
        <v>1</v>
      </c>
      <c r="AC74" s="21" t="s">
        <v>325</v>
      </c>
      <c r="AD74" s="22" t="s">
        <v>17</v>
      </c>
      <c r="AE74" s="77">
        <v>44147</v>
      </c>
      <c r="AF74" s="79" t="s">
        <v>353</v>
      </c>
      <c r="AG74" s="80">
        <f>AE74</f>
        <v>44147</v>
      </c>
      <c r="AJ74" s="99" t="s">
        <v>370</v>
      </c>
      <c r="AK74" s="19" t="s">
        <v>326</v>
      </c>
      <c r="AL74" s="19" t="s">
        <v>58</v>
      </c>
      <c r="AM74" s="91"/>
      <c r="AN74" s="91"/>
      <c r="AO74" s="92"/>
      <c r="AP74" s="92"/>
      <c r="AQ74" s="78">
        <v>43544</v>
      </c>
      <c r="AR74" s="93" t="s">
        <v>361</v>
      </c>
      <c r="AS74" s="94">
        <f>AQ74</f>
        <v>43544</v>
      </c>
      <c r="AT74" s="94"/>
      <c r="AU74" s="94"/>
      <c r="AV74" s="94"/>
      <c r="AW74" s="94"/>
      <c r="AX74" s="94"/>
      <c r="AY74" s="94"/>
      <c r="AZ74" s="94"/>
      <c r="BA74" s="94"/>
      <c r="BB74" s="94"/>
      <c r="BC74" s="94"/>
      <c r="BD74" s="100"/>
    </row>
    <row r="75" spans="16:56" ht="25.5" x14ac:dyDescent="0.2">
      <c r="P75" s="18" t="s">
        <v>327</v>
      </c>
      <c r="Q75" s="19" t="s">
        <v>137</v>
      </c>
      <c r="R75" s="19">
        <v>9</v>
      </c>
      <c r="S75" s="19">
        <v>3</v>
      </c>
      <c r="T75" s="59">
        <v>0</v>
      </c>
      <c r="AJ75" s="99" t="s">
        <v>370</v>
      </c>
      <c r="AK75" s="19" t="s">
        <v>325</v>
      </c>
      <c r="AL75" s="19" t="s">
        <v>31</v>
      </c>
      <c r="AM75" s="91"/>
      <c r="AN75" s="91"/>
      <c r="AO75" s="92"/>
      <c r="AP75" s="92"/>
      <c r="AQ75" s="78">
        <v>43342</v>
      </c>
      <c r="AR75" s="93">
        <v>42585</v>
      </c>
      <c r="AS75" s="94">
        <f>AQ75</f>
        <v>43342</v>
      </c>
      <c r="AT75" s="94"/>
      <c r="AU75" s="94"/>
      <c r="AV75" s="94"/>
      <c r="AW75" s="94"/>
      <c r="AX75" s="94"/>
      <c r="AY75" s="94"/>
      <c r="AZ75" s="94"/>
      <c r="BA75" s="94"/>
      <c r="BB75" s="94"/>
      <c r="BC75" s="94"/>
      <c r="BD75" s="100"/>
    </row>
    <row r="76" spans="16:56" ht="25.5" x14ac:dyDescent="0.2">
      <c r="P76" s="18" t="s">
        <v>327</v>
      </c>
      <c r="Q76" s="19" t="s">
        <v>248</v>
      </c>
      <c r="R76" s="19">
        <v>8</v>
      </c>
      <c r="S76" s="19">
        <v>5</v>
      </c>
      <c r="T76" s="59">
        <v>1</v>
      </c>
      <c r="AJ76" s="99" t="s">
        <v>370</v>
      </c>
      <c r="AK76" s="19" t="s">
        <v>325</v>
      </c>
      <c r="AL76" s="19" t="s">
        <v>9</v>
      </c>
      <c r="AM76" s="91"/>
      <c r="AN76" s="91"/>
      <c r="AO76" s="92"/>
      <c r="AP76" s="92"/>
      <c r="AQ76" s="78">
        <v>43079</v>
      </c>
      <c r="AR76" s="93" t="s">
        <v>354</v>
      </c>
      <c r="AS76" s="94">
        <f>AQ76</f>
        <v>43079</v>
      </c>
      <c r="AT76" s="94"/>
      <c r="AU76" s="94"/>
      <c r="AV76" s="94"/>
      <c r="AW76" s="94"/>
      <c r="AX76" s="94"/>
      <c r="AY76" s="94"/>
      <c r="AZ76" s="94"/>
      <c r="BA76" s="94"/>
      <c r="BB76" s="94"/>
      <c r="BC76" s="94"/>
      <c r="BD76" s="100"/>
    </row>
    <row r="77" spans="16:56" ht="26.25" thickBot="1" x14ac:dyDescent="0.25">
      <c r="P77" s="21" t="s">
        <v>327</v>
      </c>
      <c r="Q77" s="22" t="s">
        <v>125</v>
      </c>
      <c r="R77" s="22">
        <v>10</v>
      </c>
      <c r="S77" s="22">
        <v>2</v>
      </c>
      <c r="T77" s="61">
        <v>0</v>
      </c>
      <c r="AJ77" s="99" t="s">
        <v>370</v>
      </c>
      <c r="AK77" s="19" t="s">
        <v>325</v>
      </c>
      <c r="AL77" s="19" t="s">
        <v>39</v>
      </c>
      <c r="AM77" s="91"/>
      <c r="AN77" s="91"/>
      <c r="AO77" s="92"/>
      <c r="AP77" s="92"/>
      <c r="AQ77" s="78">
        <v>43838</v>
      </c>
      <c r="AR77" s="93" t="s">
        <v>355</v>
      </c>
      <c r="AS77" s="94">
        <f>AQ77</f>
        <v>43838</v>
      </c>
      <c r="AT77" s="94"/>
      <c r="AU77" s="94"/>
      <c r="AV77" s="94"/>
      <c r="AW77" s="94"/>
      <c r="AX77" s="94"/>
      <c r="AY77" s="94"/>
      <c r="AZ77" s="94"/>
      <c r="BA77" s="94"/>
      <c r="BB77" s="94"/>
      <c r="BC77" s="94"/>
      <c r="BD77" s="100"/>
    </row>
    <row r="78" spans="16:56" ht="25.5" x14ac:dyDescent="0.2">
      <c r="AJ78" s="99" t="s">
        <v>370</v>
      </c>
      <c r="AK78" s="19" t="s">
        <v>325</v>
      </c>
      <c r="AL78" s="19" t="s">
        <v>49</v>
      </c>
      <c r="AM78" s="91"/>
      <c r="AN78" s="91"/>
      <c r="AO78" s="92"/>
      <c r="AP78" s="92"/>
      <c r="AQ78" s="78">
        <v>43225</v>
      </c>
      <c r="AR78" s="93" t="s">
        <v>357</v>
      </c>
      <c r="AS78" s="94">
        <f>AQ78</f>
        <v>43225</v>
      </c>
      <c r="AT78" s="94"/>
      <c r="AU78" s="94"/>
      <c r="AV78" s="94"/>
      <c r="AW78" s="94"/>
      <c r="AX78" s="94"/>
      <c r="AY78" s="94"/>
      <c r="AZ78" s="94"/>
      <c r="BA78" s="94"/>
      <c r="BB78" s="94"/>
      <c r="BC78" s="94"/>
      <c r="BD78" s="100"/>
    </row>
    <row r="79" spans="16:56" ht="25.5" x14ac:dyDescent="0.2">
      <c r="AJ79" s="99" t="s">
        <v>370</v>
      </c>
      <c r="AK79" s="19" t="s">
        <v>325</v>
      </c>
      <c r="AL79" s="19" t="s">
        <v>7</v>
      </c>
      <c r="AM79" s="91"/>
      <c r="AN79" s="91"/>
      <c r="AO79" s="92"/>
      <c r="AP79" s="92"/>
      <c r="AQ79" s="78">
        <v>43881</v>
      </c>
      <c r="AR79" s="93" t="s">
        <v>360</v>
      </c>
      <c r="AS79" s="94">
        <f>AQ79</f>
        <v>43881</v>
      </c>
      <c r="AT79" s="94"/>
      <c r="AU79" s="94"/>
      <c r="AV79" s="94"/>
      <c r="AW79" s="94"/>
      <c r="AX79" s="94"/>
      <c r="AY79" s="94"/>
      <c r="AZ79" s="94"/>
      <c r="BA79" s="94"/>
      <c r="BB79" s="94"/>
      <c r="BC79" s="94"/>
      <c r="BD79" s="100"/>
    </row>
    <row r="80" spans="16:56" ht="25.5" x14ac:dyDescent="0.2">
      <c r="AJ80" s="99" t="s">
        <v>370</v>
      </c>
      <c r="AK80" s="19" t="s">
        <v>325</v>
      </c>
      <c r="AL80" s="19" t="s">
        <v>5</v>
      </c>
      <c r="AM80" s="91"/>
      <c r="AN80" s="91"/>
      <c r="AO80" s="92"/>
      <c r="AP80" s="92"/>
      <c r="AQ80" s="78">
        <v>43388</v>
      </c>
      <c r="AR80" s="93" t="s">
        <v>352</v>
      </c>
      <c r="AS80" s="94">
        <f>AQ80</f>
        <v>43388</v>
      </c>
      <c r="AT80" s="94"/>
      <c r="AU80" s="94"/>
      <c r="AV80" s="94"/>
      <c r="AW80" s="94"/>
      <c r="AX80" s="94"/>
      <c r="AY80" s="94"/>
      <c r="AZ80" s="94"/>
      <c r="BA80" s="94"/>
      <c r="BB80" s="94"/>
      <c r="BC80" s="94"/>
      <c r="BD80" s="100"/>
    </row>
    <row r="81" spans="36:56" ht="25.5" x14ac:dyDescent="0.2">
      <c r="AJ81" s="99" t="s">
        <v>370</v>
      </c>
      <c r="AK81" s="19" t="s">
        <v>325</v>
      </c>
      <c r="AL81" s="19" t="s">
        <v>29</v>
      </c>
      <c r="AM81" s="91"/>
      <c r="AN81" s="91"/>
      <c r="AO81" s="92"/>
      <c r="AP81" s="92"/>
      <c r="AQ81" s="78">
        <v>43636</v>
      </c>
      <c r="AR81" s="93" t="s">
        <v>358</v>
      </c>
      <c r="AS81" s="94">
        <f>AQ81</f>
        <v>43636</v>
      </c>
      <c r="AT81" s="94"/>
      <c r="AU81" s="94"/>
      <c r="AV81" s="94"/>
      <c r="AW81" s="94"/>
      <c r="AX81" s="94"/>
      <c r="AY81" s="94"/>
      <c r="AZ81" s="94"/>
      <c r="BA81" s="94"/>
      <c r="BB81" s="94"/>
      <c r="BC81" s="94"/>
      <c r="BD81" s="100"/>
    </row>
    <row r="82" spans="36:56" ht="25.5" x14ac:dyDescent="0.2">
      <c r="AJ82" s="99" t="s">
        <v>370</v>
      </c>
      <c r="AK82" s="19" t="s">
        <v>325</v>
      </c>
      <c r="AL82" s="19" t="s">
        <v>45</v>
      </c>
      <c r="AM82" s="91"/>
      <c r="AN82" s="91"/>
      <c r="AO82" s="92"/>
      <c r="AP82" s="92"/>
      <c r="AQ82" s="78">
        <v>43261</v>
      </c>
      <c r="AR82" s="93" t="s">
        <v>358</v>
      </c>
      <c r="AS82" s="94">
        <f>AQ82</f>
        <v>43261</v>
      </c>
      <c r="AT82" s="94"/>
      <c r="AU82" s="94"/>
      <c r="AV82" s="94"/>
      <c r="AW82" s="94"/>
      <c r="AX82" s="94"/>
      <c r="AY82" s="94"/>
      <c r="AZ82" s="94"/>
      <c r="BA82" s="94"/>
      <c r="BB82" s="94"/>
      <c r="BC82" s="94"/>
      <c r="BD82" s="100"/>
    </row>
    <row r="83" spans="36:56" ht="25.5" x14ac:dyDescent="0.2">
      <c r="AJ83" s="99" t="s">
        <v>370</v>
      </c>
      <c r="AK83" s="19" t="s">
        <v>325</v>
      </c>
      <c r="AL83" s="19" t="s">
        <v>19</v>
      </c>
      <c r="AM83" s="91"/>
      <c r="AN83" s="91"/>
      <c r="AO83" s="92"/>
      <c r="AP83" s="92"/>
      <c r="AQ83" s="78">
        <v>42996</v>
      </c>
      <c r="AR83" s="93">
        <v>42614</v>
      </c>
      <c r="AS83" s="94">
        <f>AQ83</f>
        <v>42996</v>
      </c>
      <c r="AT83" s="94"/>
      <c r="AU83" s="94"/>
      <c r="AV83" s="94"/>
      <c r="AW83" s="94"/>
      <c r="AX83" s="94"/>
      <c r="AY83" s="94"/>
      <c r="AZ83" s="94"/>
      <c r="BA83" s="94"/>
      <c r="BB83" s="94"/>
      <c r="BC83" s="94"/>
      <c r="BD83" s="100"/>
    </row>
    <row r="84" spans="36:56" ht="25.5" x14ac:dyDescent="0.2">
      <c r="AJ84" s="99" t="s">
        <v>370</v>
      </c>
      <c r="AK84" s="19" t="s">
        <v>325</v>
      </c>
      <c r="AL84" s="19" t="s">
        <v>11</v>
      </c>
      <c r="AM84" s="91"/>
      <c r="AN84" s="91"/>
      <c r="AO84" s="92"/>
      <c r="AP84" s="92"/>
      <c r="AQ84" s="78">
        <v>43682</v>
      </c>
      <c r="AR84" s="93" t="s">
        <v>362</v>
      </c>
      <c r="AS84" s="94">
        <f>AQ84</f>
        <v>43682</v>
      </c>
      <c r="AT84" s="94"/>
      <c r="AU84" s="94"/>
      <c r="AV84" s="94"/>
      <c r="AW84" s="94"/>
      <c r="AX84" s="94"/>
      <c r="AY84" s="94"/>
      <c r="AZ84" s="94"/>
      <c r="BA84" s="94"/>
      <c r="BB84" s="94"/>
      <c r="BC84" s="94"/>
      <c r="BD84" s="100"/>
    </row>
    <row r="85" spans="36:56" ht="25.5" x14ac:dyDescent="0.2">
      <c r="AJ85" s="99" t="s">
        <v>370</v>
      </c>
      <c r="AK85" s="19" t="s">
        <v>325</v>
      </c>
      <c r="AL85" s="19" t="s">
        <v>51</v>
      </c>
      <c r="AM85" s="91"/>
      <c r="AN85" s="91"/>
      <c r="AO85" s="92"/>
      <c r="AP85" s="92"/>
      <c r="AQ85" s="78">
        <v>42931</v>
      </c>
      <c r="AR85" s="93">
        <v>42553</v>
      </c>
      <c r="AS85" s="94">
        <f>AQ85</f>
        <v>42931</v>
      </c>
      <c r="AT85" s="94"/>
      <c r="AU85" s="94"/>
      <c r="AV85" s="94"/>
      <c r="AW85" s="94"/>
      <c r="AX85" s="94"/>
      <c r="AY85" s="94"/>
      <c r="AZ85" s="94"/>
      <c r="BA85" s="94"/>
      <c r="BB85" s="94"/>
      <c r="BC85" s="94"/>
      <c r="BD85" s="100"/>
    </row>
    <row r="86" spans="36:56" x14ac:dyDescent="0.2">
      <c r="AJ86" s="99" t="s">
        <v>370</v>
      </c>
      <c r="AK86" s="19" t="s">
        <v>326</v>
      </c>
      <c r="AL86" s="19" t="s">
        <v>70</v>
      </c>
      <c r="AM86" s="91"/>
      <c r="AN86" s="91"/>
      <c r="AO86" s="92"/>
      <c r="AP86" s="92"/>
      <c r="AQ86" s="78">
        <v>42975</v>
      </c>
      <c r="AR86" s="93">
        <v>42583</v>
      </c>
      <c r="AS86" s="94">
        <f>AQ86</f>
        <v>42975</v>
      </c>
      <c r="AT86" s="94"/>
      <c r="AU86" s="94"/>
      <c r="AV86" s="94"/>
      <c r="AW86" s="94"/>
      <c r="AX86" s="94"/>
      <c r="AY86" s="94"/>
      <c r="AZ86" s="94"/>
      <c r="BA86" s="94"/>
      <c r="BB86" s="94"/>
      <c r="BC86" s="94"/>
      <c r="BD86" s="100"/>
    </row>
    <row r="87" spans="36:56" ht="25.5" x14ac:dyDescent="0.2">
      <c r="AJ87" s="99" t="s">
        <v>370</v>
      </c>
      <c r="AK87" s="19" t="s">
        <v>325</v>
      </c>
      <c r="AL87" s="19" t="s">
        <v>25</v>
      </c>
      <c r="AM87" s="91"/>
      <c r="AN87" s="91"/>
      <c r="AO87" s="92"/>
      <c r="AP87" s="92"/>
      <c r="AQ87" s="78">
        <v>43807</v>
      </c>
      <c r="AR87" s="93" t="s">
        <v>354</v>
      </c>
      <c r="AS87" s="94">
        <f>AQ87</f>
        <v>43807</v>
      </c>
      <c r="AT87" s="94"/>
      <c r="AU87" s="94"/>
      <c r="AV87" s="94"/>
      <c r="AW87" s="94"/>
      <c r="AX87" s="94"/>
      <c r="AY87" s="94"/>
      <c r="AZ87" s="94"/>
      <c r="BA87" s="94"/>
      <c r="BB87" s="94"/>
      <c r="BC87" s="94"/>
      <c r="BD87" s="100"/>
    </row>
    <row r="88" spans="36:56" ht="25.5" x14ac:dyDescent="0.2">
      <c r="AJ88" s="99" t="s">
        <v>370</v>
      </c>
      <c r="AK88" s="19" t="s">
        <v>325</v>
      </c>
      <c r="AL88" s="19" t="s">
        <v>33</v>
      </c>
      <c r="AM88" s="91"/>
      <c r="AN88" s="91"/>
      <c r="AO88" s="92"/>
      <c r="AP88" s="92"/>
      <c r="AQ88" s="78">
        <v>43018</v>
      </c>
      <c r="AR88" s="93" t="s">
        <v>352</v>
      </c>
      <c r="AS88" s="94">
        <f>AQ88</f>
        <v>43018</v>
      </c>
      <c r="AT88" s="94"/>
      <c r="AU88" s="94"/>
      <c r="AV88" s="94"/>
      <c r="AW88" s="94"/>
      <c r="AX88" s="94"/>
      <c r="AY88" s="94"/>
      <c r="AZ88" s="94"/>
      <c r="BA88" s="94"/>
      <c r="BB88" s="94"/>
      <c r="BC88" s="94"/>
      <c r="BD88" s="100"/>
    </row>
    <row r="89" spans="36:56" x14ac:dyDescent="0.2">
      <c r="AJ89" s="99" t="s">
        <v>370</v>
      </c>
      <c r="AK89" s="19" t="s">
        <v>327</v>
      </c>
      <c r="AL89" s="19" t="s">
        <v>125</v>
      </c>
      <c r="AM89" s="91"/>
      <c r="AN89" s="91"/>
      <c r="AO89" s="92"/>
      <c r="AP89" s="92"/>
      <c r="AQ89" s="78">
        <v>43475</v>
      </c>
      <c r="AR89" s="93" t="s">
        <v>355</v>
      </c>
      <c r="AS89" s="94">
        <f>AQ89</f>
        <v>43475</v>
      </c>
      <c r="AT89" s="94"/>
      <c r="AU89" s="94"/>
      <c r="AV89" s="94"/>
      <c r="AW89" s="94"/>
      <c r="AX89" s="94"/>
      <c r="AY89" s="94"/>
      <c r="AZ89" s="94"/>
      <c r="BA89" s="94"/>
      <c r="BB89" s="94"/>
      <c r="BC89" s="94"/>
      <c r="BD89" s="100"/>
    </row>
    <row r="90" spans="36:56" x14ac:dyDescent="0.2">
      <c r="AJ90" s="99" t="s">
        <v>370</v>
      </c>
      <c r="AK90" s="19" t="s">
        <v>327</v>
      </c>
      <c r="AL90" s="19" t="s">
        <v>132</v>
      </c>
      <c r="AM90" s="91"/>
      <c r="AN90" s="91"/>
      <c r="AO90" s="92"/>
      <c r="AP90" s="92"/>
      <c r="AQ90" s="78">
        <v>43388</v>
      </c>
      <c r="AR90" s="93" t="s">
        <v>353</v>
      </c>
      <c r="AS90" s="94">
        <f>AQ90</f>
        <v>43388</v>
      </c>
      <c r="AT90" s="94"/>
      <c r="AU90" s="94"/>
      <c r="AV90" s="94"/>
      <c r="AW90" s="94"/>
      <c r="AX90" s="94"/>
      <c r="AY90" s="94"/>
      <c r="AZ90" s="94"/>
      <c r="BA90" s="94"/>
      <c r="BB90" s="94"/>
      <c r="BC90" s="94"/>
      <c r="BD90" s="100"/>
    </row>
    <row r="91" spans="36:56" x14ac:dyDescent="0.2">
      <c r="AJ91" s="99" t="s">
        <v>370</v>
      </c>
      <c r="AK91" s="19" t="s">
        <v>327</v>
      </c>
      <c r="AL91" s="19" t="s">
        <v>118</v>
      </c>
      <c r="AM91" s="91"/>
      <c r="AN91" s="91"/>
      <c r="AO91" s="92"/>
      <c r="AP91" s="92"/>
      <c r="AQ91" s="78">
        <v>43570</v>
      </c>
      <c r="AR91" s="93" t="s">
        <v>356</v>
      </c>
      <c r="AS91" s="94">
        <f>AQ91</f>
        <v>43570</v>
      </c>
      <c r="AT91" s="94"/>
      <c r="AU91" s="94"/>
      <c r="AV91" s="94"/>
      <c r="AW91" s="94"/>
      <c r="AX91" s="94"/>
      <c r="AY91" s="94"/>
      <c r="AZ91" s="94"/>
      <c r="BA91" s="94"/>
      <c r="BB91" s="94"/>
      <c r="BC91" s="94"/>
      <c r="BD91" s="100"/>
    </row>
    <row r="92" spans="36:56" x14ac:dyDescent="0.2">
      <c r="AJ92" s="99" t="s">
        <v>370</v>
      </c>
      <c r="AK92" s="19" t="s">
        <v>327</v>
      </c>
      <c r="AL92" s="19" t="s">
        <v>103</v>
      </c>
      <c r="AM92" s="91"/>
      <c r="AN92" s="91"/>
      <c r="AO92" s="92"/>
      <c r="AP92" s="92"/>
      <c r="AQ92" s="78">
        <v>43506</v>
      </c>
      <c r="AR92" s="93" t="s">
        <v>360</v>
      </c>
      <c r="AS92" s="94">
        <f>AQ92</f>
        <v>43506</v>
      </c>
      <c r="AT92" s="94"/>
      <c r="AU92" s="94"/>
      <c r="AV92" s="94"/>
      <c r="AW92" s="94"/>
      <c r="AX92" s="94"/>
      <c r="AY92" s="94"/>
      <c r="AZ92" s="94"/>
      <c r="BA92" s="94"/>
      <c r="BB92" s="94"/>
      <c r="BC92" s="94"/>
      <c r="BD92" s="100"/>
    </row>
    <row r="93" spans="36:56" x14ac:dyDescent="0.2">
      <c r="AJ93" s="99" t="s">
        <v>370</v>
      </c>
      <c r="AK93" s="19" t="s">
        <v>326</v>
      </c>
      <c r="AL93" s="19" t="s">
        <v>54</v>
      </c>
      <c r="AM93" s="91"/>
      <c r="AN93" s="91"/>
      <c r="AO93" s="92"/>
      <c r="AP93" s="92"/>
      <c r="AQ93" s="78">
        <v>43353</v>
      </c>
      <c r="AR93" s="93" t="s">
        <v>359</v>
      </c>
      <c r="AS93" s="94">
        <f>AQ93</f>
        <v>43353</v>
      </c>
      <c r="AT93" s="94"/>
      <c r="AU93" s="94"/>
      <c r="AV93" s="94"/>
      <c r="AW93" s="94"/>
      <c r="AX93" s="94"/>
      <c r="AY93" s="94"/>
      <c r="AZ93" s="94"/>
      <c r="BA93" s="94"/>
      <c r="BB93" s="94"/>
      <c r="BC93" s="94"/>
      <c r="BD93" s="100"/>
    </row>
    <row r="94" spans="36:56" x14ac:dyDescent="0.2">
      <c r="AJ94" s="99" t="s">
        <v>370</v>
      </c>
      <c r="AK94" s="19" t="s">
        <v>326</v>
      </c>
      <c r="AL94" s="19" t="s">
        <v>87</v>
      </c>
      <c r="AM94" s="91"/>
      <c r="AN94" s="91"/>
      <c r="AO94" s="92"/>
      <c r="AP94" s="92"/>
      <c r="AQ94" s="78">
        <v>42983</v>
      </c>
      <c r="AR94" s="93">
        <v>42614</v>
      </c>
      <c r="AS94" s="94">
        <f>AQ94</f>
        <v>42983</v>
      </c>
      <c r="AT94" s="94"/>
      <c r="AU94" s="94"/>
      <c r="AV94" s="94"/>
      <c r="AW94" s="94"/>
      <c r="AX94" s="94"/>
      <c r="AY94" s="94"/>
      <c r="AZ94" s="94"/>
      <c r="BA94" s="94"/>
      <c r="BB94" s="94"/>
      <c r="BC94" s="94"/>
      <c r="BD94" s="100"/>
    </row>
    <row r="95" spans="36:56" x14ac:dyDescent="0.2">
      <c r="AJ95" s="99" t="s">
        <v>370</v>
      </c>
      <c r="AK95" s="19" t="s">
        <v>326</v>
      </c>
      <c r="AL95" s="19" t="s">
        <v>68</v>
      </c>
      <c r="AM95" s="91"/>
      <c r="AN95" s="91"/>
      <c r="AO95" s="92"/>
      <c r="AP95" s="92"/>
      <c r="AQ95" s="78">
        <v>43597</v>
      </c>
      <c r="AR95" s="93" t="s">
        <v>357</v>
      </c>
      <c r="AS95" s="94">
        <f>AQ95</f>
        <v>43597</v>
      </c>
      <c r="AT95" s="94"/>
      <c r="AU95" s="94"/>
      <c r="AV95" s="94"/>
      <c r="AW95" s="94"/>
      <c r="AX95" s="94"/>
      <c r="AY95" s="94"/>
      <c r="AZ95" s="94"/>
      <c r="BA95" s="94"/>
      <c r="BB95" s="94"/>
      <c r="BC95" s="94"/>
      <c r="BD95" s="100"/>
    </row>
    <row r="96" spans="36:56" x14ac:dyDescent="0.2">
      <c r="AJ96" s="99" t="s">
        <v>370</v>
      </c>
      <c r="AK96" s="19" t="s">
        <v>326</v>
      </c>
      <c r="AL96" s="19" t="s">
        <v>81</v>
      </c>
      <c r="AM96" s="91"/>
      <c r="AN96" s="91"/>
      <c r="AO96" s="92"/>
      <c r="AP96" s="92"/>
      <c r="AQ96" s="78">
        <v>43337</v>
      </c>
      <c r="AR96" s="93">
        <v>42583</v>
      </c>
      <c r="AS96" s="94">
        <f>AQ96</f>
        <v>43337</v>
      </c>
      <c r="AT96" s="94"/>
      <c r="AU96" s="94"/>
      <c r="AV96" s="94"/>
      <c r="AW96" s="94"/>
      <c r="AX96" s="94"/>
      <c r="AY96" s="94"/>
      <c r="AZ96" s="94"/>
      <c r="BA96" s="94"/>
      <c r="BB96" s="94"/>
      <c r="BC96" s="94"/>
      <c r="BD96" s="100"/>
    </row>
    <row r="97" spans="36:56" x14ac:dyDescent="0.2">
      <c r="AJ97" s="99" t="s">
        <v>370</v>
      </c>
      <c r="AK97" s="19" t="s">
        <v>326</v>
      </c>
      <c r="AL97" s="19" t="s">
        <v>96</v>
      </c>
      <c r="AM97" s="91"/>
      <c r="AN97" s="91"/>
      <c r="AO97" s="92"/>
      <c r="AP97" s="92"/>
      <c r="AQ97" s="78">
        <v>43466</v>
      </c>
      <c r="AR97" s="93" t="s">
        <v>355</v>
      </c>
      <c r="AS97" s="94">
        <f>AQ97</f>
        <v>43466</v>
      </c>
      <c r="AT97" s="94"/>
      <c r="AU97" s="94"/>
      <c r="AV97" s="94"/>
      <c r="AW97" s="94"/>
      <c r="AX97" s="94"/>
      <c r="AY97" s="94"/>
      <c r="AZ97" s="94"/>
      <c r="BA97" s="94"/>
      <c r="BB97" s="94"/>
      <c r="BC97" s="94"/>
      <c r="BD97" s="100"/>
    </row>
    <row r="98" spans="36:56" x14ac:dyDescent="0.2">
      <c r="AJ98" s="99" t="s">
        <v>370</v>
      </c>
      <c r="AK98" s="19" t="s">
        <v>327</v>
      </c>
      <c r="AL98" s="19" t="s">
        <v>115</v>
      </c>
      <c r="AM98" s="91"/>
      <c r="AN98" s="91"/>
      <c r="AO98" s="92"/>
      <c r="AP98" s="92"/>
      <c r="AQ98" s="78">
        <v>43044</v>
      </c>
      <c r="AR98" s="93" t="s">
        <v>353</v>
      </c>
      <c r="AS98" s="94">
        <f>AQ98</f>
        <v>43044</v>
      </c>
      <c r="AT98" s="94"/>
      <c r="AU98" s="94"/>
      <c r="AV98" s="94"/>
      <c r="AW98" s="94"/>
      <c r="AX98" s="94"/>
      <c r="AY98" s="94"/>
      <c r="AZ98" s="94"/>
      <c r="BA98" s="94"/>
      <c r="BB98" s="94"/>
      <c r="BC98" s="94"/>
      <c r="BD98" s="100"/>
    </row>
    <row r="99" spans="36:56" ht="25.5" x14ac:dyDescent="0.2">
      <c r="AJ99" s="99" t="s">
        <v>370</v>
      </c>
      <c r="AK99" s="19" t="s">
        <v>325</v>
      </c>
      <c r="AL99" s="19" t="s">
        <v>47</v>
      </c>
      <c r="AM99" s="91"/>
      <c r="AN99" s="91"/>
      <c r="AO99" s="92"/>
      <c r="AP99" s="92"/>
      <c r="AQ99" s="78">
        <v>43758</v>
      </c>
      <c r="AR99" s="93" t="s">
        <v>352</v>
      </c>
      <c r="AS99" s="94">
        <f>AQ99</f>
        <v>43758</v>
      </c>
      <c r="AT99" s="94"/>
      <c r="AU99" s="94"/>
      <c r="AV99" s="94"/>
      <c r="AW99" s="94"/>
      <c r="AX99" s="94"/>
      <c r="AY99" s="94"/>
      <c r="AZ99" s="94"/>
      <c r="BA99" s="94"/>
      <c r="BB99" s="94"/>
      <c r="BC99" s="94"/>
      <c r="BD99" s="100"/>
    </row>
    <row r="100" spans="36:56" ht="25.5" x14ac:dyDescent="0.2">
      <c r="AJ100" s="99" t="s">
        <v>370</v>
      </c>
      <c r="AK100" s="19" t="s">
        <v>325</v>
      </c>
      <c r="AL100" s="19" t="s">
        <v>37</v>
      </c>
      <c r="AM100" s="91"/>
      <c r="AN100" s="91"/>
      <c r="AO100" s="92"/>
      <c r="AP100" s="92"/>
      <c r="AQ100" s="78">
        <v>43368</v>
      </c>
      <c r="AR100" s="93" t="s">
        <v>354</v>
      </c>
      <c r="AS100" s="94">
        <f>AQ100</f>
        <v>43368</v>
      </c>
      <c r="AT100" s="94"/>
      <c r="AU100" s="94"/>
      <c r="AV100" s="94"/>
      <c r="AW100" s="94"/>
      <c r="AX100" s="94"/>
      <c r="AY100" s="94"/>
      <c r="AZ100" s="94"/>
      <c r="BA100" s="94"/>
      <c r="BB100" s="94"/>
      <c r="BC100" s="94"/>
      <c r="BD100" s="100"/>
    </row>
    <row r="101" spans="36:56" ht="25.5" x14ac:dyDescent="0.2">
      <c r="AJ101" s="99" t="s">
        <v>370</v>
      </c>
      <c r="AK101" s="19" t="s">
        <v>325</v>
      </c>
      <c r="AL101" s="19" t="s">
        <v>23</v>
      </c>
      <c r="AM101" s="91"/>
      <c r="AN101" s="91"/>
      <c r="AO101" s="92"/>
      <c r="AP101" s="92"/>
      <c r="AQ101" s="78">
        <v>43296</v>
      </c>
      <c r="AR101" s="93">
        <v>42579</v>
      </c>
      <c r="AS101" s="94">
        <f>AQ101</f>
        <v>43296</v>
      </c>
      <c r="AT101" s="94"/>
      <c r="AU101" s="94"/>
      <c r="AV101" s="94"/>
      <c r="AW101" s="94"/>
      <c r="AX101" s="94"/>
      <c r="AY101" s="94"/>
      <c r="AZ101" s="94"/>
      <c r="BA101" s="94"/>
      <c r="BB101" s="94"/>
      <c r="BC101" s="94"/>
      <c r="BD101" s="100"/>
    </row>
    <row r="102" spans="36:56" x14ac:dyDescent="0.2">
      <c r="AJ102" s="99" t="s">
        <v>370</v>
      </c>
      <c r="AK102" s="19" t="s">
        <v>326</v>
      </c>
      <c r="AL102" s="19" t="s">
        <v>62</v>
      </c>
      <c r="AM102" s="91"/>
      <c r="AN102" s="91"/>
      <c r="AO102" s="92"/>
      <c r="AP102" s="92"/>
      <c r="AQ102" s="78">
        <v>43514</v>
      </c>
      <c r="AR102" s="93" t="s">
        <v>360</v>
      </c>
      <c r="AS102" s="94">
        <f>AQ102</f>
        <v>43514</v>
      </c>
      <c r="AT102" s="94"/>
      <c r="AU102" s="94"/>
      <c r="AV102" s="94"/>
      <c r="AW102" s="94"/>
      <c r="AX102" s="94"/>
      <c r="AY102" s="94"/>
      <c r="AZ102" s="94"/>
      <c r="BA102" s="94"/>
      <c r="BB102" s="94"/>
      <c r="BC102" s="94"/>
      <c r="BD102" s="100"/>
    </row>
    <row r="103" spans="36:56" x14ac:dyDescent="0.2">
      <c r="AJ103" s="99" t="s">
        <v>370</v>
      </c>
      <c r="AK103" s="19" t="s">
        <v>326</v>
      </c>
      <c r="AL103" s="19" t="s">
        <v>76</v>
      </c>
      <c r="AM103" s="91"/>
      <c r="AN103" s="91"/>
      <c r="AO103" s="92"/>
      <c r="AP103" s="92"/>
      <c r="AQ103" s="78">
        <v>43424</v>
      </c>
      <c r="AR103" s="93" t="s">
        <v>353</v>
      </c>
      <c r="AS103" s="94">
        <f>AQ103</f>
        <v>43424</v>
      </c>
      <c r="AT103" s="94"/>
      <c r="AU103" s="94"/>
      <c r="AV103" s="94"/>
      <c r="AW103" s="94"/>
      <c r="AX103" s="94"/>
      <c r="AY103" s="94"/>
      <c r="AZ103" s="94"/>
      <c r="BA103" s="94"/>
      <c r="BB103" s="94"/>
      <c r="BC103" s="94"/>
      <c r="BD103" s="100"/>
    </row>
    <row r="104" spans="36:56" ht="25.5" x14ac:dyDescent="0.2">
      <c r="AJ104" s="99" t="s">
        <v>370</v>
      </c>
      <c r="AK104" s="19" t="s">
        <v>325</v>
      </c>
      <c r="AL104" s="19" t="s">
        <v>13</v>
      </c>
      <c r="AM104" s="91"/>
      <c r="AN104" s="91"/>
      <c r="AO104" s="92"/>
      <c r="AP104" s="92"/>
      <c r="AQ104" s="78">
        <v>42551</v>
      </c>
      <c r="AR104" s="93">
        <v>42551</v>
      </c>
      <c r="AS104" s="94">
        <f>AQ104</f>
        <v>42551</v>
      </c>
      <c r="AT104" s="94"/>
      <c r="AU104" s="94"/>
      <c r="AV104" s="94"/>
      <c r="AW104" s="94"/>
      <c r="AX104" s="94"/>
      <c r="AY104" s="94"/>
      <c r="AZ104" s="94"/>
      <c r="BA104" s="94"/>
      <c r="BB104" s="94"/>
      <c r="BC104" s="94"/>
      <c r="BD104" s="100"/>
    </row>
    <row r="105" spans="36:56" x14ac:dyDescent="0.2">
      <c r="AJ105" s="99" t="s">
        <v>370</v>
      </c>
      <c r="AK105" s="19" t="s">
        <v>326</v>
      </c>
      <c r="AL105" s="19" t="s">
        <v>94</v>
      </c>
      <c r="AM105" s="91"/>
      <c r="AN105" s="91"/>
      <c r="AO105" s="92"/>
      <c r="AP105" s="92"/>
      <c r="AQ105" s="78">
        <v>43205</v>
      </c>
      <c r="AR105" s="93" t="s">
        <v>356</v>
      </c>
      <c r="AS105" s="94">
        <f>AQ105</f>
        <v>43205</v>
      </c>
      <c r="AT105" s="94"/>
      <c r="AU105" s="94"/>
      <c r="AV105" s="94"/>
      <c r="AW105" s="94"/>
      <c r="AX105" s="94"/>
      <c r="AY105" s="94"/>
      <c r="AZ105" s="94"/>
      <c r="BA105" s="94"/>
      <c r="BB105" s="94"/>
      <c r="BC105" s="94"/>
      <c r="BD105" s="100"/>
    </row>
    <row r="106" spans="36:56" x14ac:dyDescent="0.2">
      <c r="AJ106" s="99" t="s">
        <v>370</v>
      </c>
      <c r="AK106" s="19" t="s">
        <v>326</v>
      </c>
      <c r="AL106" s="19" t="s">
        <v>72</v>
      </c>
      <c r="AM106" s="91"/>
      <c r="AN106" s="91"/>
      <c r="AO106" s="92"/>
      <c r="AP106" s="92"/>
      <c r="AQ106" s="78">
        <v>43266</v>
      </c>
      <c r="AR106" s="93" t="s">
        <v>358</v>
      </c>
      <c r="AS106" s="94">
        <f>AQ106</f>
        <v>43266</v>
      </c>
      <c r="AT106" s="94"/>
      <c r="AU106" s="94"/>
      <c r="AV106" s="94"/>
      <c r="AW106" s="94"/>
      <c r="AX106" s="94"/>
      <c r="AY106" s="94"/>
      <c r="AZ106" s="94"/>
      <c r="BA106" s="94"/>
      <c r="BB106" s="94"/>
      <c r="BC106" s="94"/>
      <c r="BD106" s="100"/>
    </row>
    <row r="107" spans="36:56" x14ac:dyDescent="0.2">
      <c r="AJ107" s="99" t="s">
        <v>370</v>
      </c>
      <c r="AK107" s="19" t="s">
        <v>326</v>
      </c>
      <c r="AL107" s="19" t="s">
        <v>83</v>
      </c>
      <c r="AM107" s="91"/>
      <c r="AN107" s="91"/>
      <c r="AO107" s="92"/>
      <c r="AP107" s="92"/>
      <c r="AQ107" s="78">
        <v>43646</v>
      </c>
      <c r="AR107" s="93" t="s">
        <v>358</v>
      </c>
      <c r="AS107" s="94">
        <f>AQ107</f>
        <v>43646</v>
      </c>
      <c r="AT107" s="94"/>
      <c r="AU107" s="94"/>
      <c r="AV107" s="94"/>
      <c r="AW107" s="94"/>
      <c r="AX107" s="94"/>
      <c r="AY107" s="94"/>
      <c r="AZ107" s="94"/>
      <c r="BA107" s="94"/>
      <c r="BB107" s="94"/>
      <c r="BC107" s="94"/>
      <c r="BD107" s="100"/>
    </row>
    <row r="108" spans="36:56" x14ac:dyDescent="0.2">
      <c r="AJ108" s="99" t="s">
        <v>370</v>
      </c>
      <c r="AK108" s="19" t="s">
        <v>326</v>
      </c>
      <c r="AL108" s="19" t="s">
        <v>89</v>
      </c>
      <c r="AM108" s="91"/>
      <c r="AN108" s="91"/>
      <c r="AO108" s="92"/>
      <c r="AP108" s="92"/>
      <c r="AQ108" s="78">
        <v>43534</v>
      </c>
      <c r="AR108" s="93" t="s">
        <v>361</v>
      </c>
      <c r="AS108" s="94">
        <f>AQ108</f>
        <v>43534</v>
      </c>
      <c r="AT108" s="94"/>
      <c r="AU108" s="94"/>
      <c r="AV108" s="94"/>
      <c r="AW108" s="94"/>
      <c r="AX108" s="94"/>
      <c r="AY108" s="94"/>
      <c r="AZ108" s="94"/>
      <c r="BA108" s="94"/>
      <c r="BB108" s="94"/>
      <c r="BC108" s="94"/>
      <c r="BD108" s="100"/>
    </row>
    <row r="109" spans="36:56" x14ac:dyDescent="0.2">
      <c r="AJ109" s="99" t="s">
        <v>370</v>
      </c>
      <c r="AK109" s="19" t="s">
        <v>326</v>
      </c>
      <c r="AL109" s="19" t="s">
        <v>60</v>
      </c>
      <c r="AM109" s="91"/>
      <c r="AN109" s="91"/>
      <c r="AO109" s="92"/>
      <c r="AP109" s="92"/>
      <c r="AQ109" s="78">
        <v>43286</v>
      </c>
      <c r="AR109" s="93">
        <v>42578</v>
      </c>
      <c r="AS109" s="94">
        <f>AQ109</f>
        <v>43286</v>
      </c>
      <c r="AT109" s="94"/>
      <c r="AU109" s="94"/>
      <c r="AV109" s="94"/>
      <c r="AW109" s="94"/>
      <c r="AX109" s="94"/>
      <c r="AY109" s="94"/>
      <c r="AZ109" s="94"/>
      <c r="BA109" s="94"/>
      <c r="BB109" s="94"/>
      <c r="BC109" s="94"/>
      <c r="BD109" s="100"/>
    </row>
    <row r="110" spans="36:56" x14ac:dyDescent="0.2">
      <c r="AJ110" s="99" t="s">
        <v>370</v>
      </c>
      <c r="AK110" s="19" t="s">
        <v>326</v>
      </c>
      <c r="AL110" s="19" t="s">
        <v>78</v>
      </c>
      <c r="AM110" s="91"/>
      <c r="AN110" s="91"/>
      <c r="AO110" s="92"/>
      <c r="AP110" s="92"/>
      <c r="AQ110" s="78">
        <v>43018</v>
      </c>
      <c r="AR110" s="93" t="s">
        <v>352</v>
      </c>
      <c r="AS110" s="94">
        <f>AQ110</f>
        <v>43018</v>
      </c>
      <c r="AT110" s="94"/>
      <c r="AU110" s="94"/>
      <c r="AV110" s="94"/>
      <c r="AW110" s="94"/>
      <c r="AX110" s="94"/>
      <c r="AY110" s="94"/>
      <c r="AZ110" s="94"/>
      <c r="BA110" s="94"/>
      <c r="BB110" s="94"/>
      <c r="BC110" s="94"/>
      <c r="BD110" s="100"/>
    </row>
    <row r="111" spans="36:56" ht="25.5" x14ac:dyDescent="0.2">
      <c r="AJ111" s="99" t="s">
        <v>370</v>
      </c>
      <c r="AK111" s="19" t="s">
        <v>325</v>
      </c>
      <c r="AL111" s="19" t="s">
        <v>41</v>
      </c>
      <c r="AM111" s="91"/>
      <c r="AN111" s="91"/>
      <c r="AO111" s="92"/>
      <c r="AP111" s="92"/>
      <c r="AQ111" s="78">
        <v>42959</v>
      </c>
      <c r="AR111" s="93">
        <v>42554</v>
      </c>
      <c r="AS111" s="94">
        <f>AQ111</f>
        <v>42959</v>
      </c>
      <c r="AT111" s="94"/>
      <c r="AU111" s="94"/>
      <c r="AV111" s="94"/>
      <c r="AW111" s="94"/>
      <c r="AX111" s="94"/>
      <c r="AY111" s="94"/>
      <c r="AZ111" s="94"/>
      <c r="BA111" s="94"/>
      <c r="BB111" s="94"/>
      <c r="BC111" s="94"/>
      <c r="BD111" s="100"/>
    </row>
    <row r="112" spans="36:56" ht="25.5" x14ac:dyDescent="0.2">
      <c r="AJ112" s="99" t="s">
        <v>370</v>
      </c>
      <c r="AK112" s="19" t="s">
        <v>325</v>
      </c>
      <c r="AL112" s="19" t="s">
        <v>15</v>
      </c>
      <c r="AM112" s="91"/>
      <c r="AN112" s="91"/>
      <c r="AO112" s="92"/>
      <c r="AP112" s="92"/>
      <c r="AQ112" s="78">
        <v>43212</v>
      </c>
      <c r="AR112" s="93" t="s">
        <v>356</v>
      </c>
      <c r="AS112" s="94">
        <f>AQ112</f>
        <v>43212</v>
      </c>
      <c r="AT112" s="94"/>
      <c r="AU112" s="94"/>
      <c r="AV112" s="94"/>
      <c r="AW112" s="94"/>
      <c r="AX112" s="94"/>
      <c r="AY112" s="94"/>
      <c r="AZ112" s="94"/>
      <c r="BA112" s="94"/>
      <c r="BB112" s="94"/>
      <c r="BC112" s="94"/>
      <c r="BD112" s="100"/>
    </row>
    <row r="113" spans="36:56" x14ac:dyDescent="0.2">
      <c r="AJ113" s="99" t="s">
        <v>370</v>
      </c>
      <c r="AK113" s="19" t="s">
        <v>327</v>
      </c>
      <c r="AL113" s="19" t="s">
        <v>127</v>
      </c>
      <c r="AM113" s="91"/>
      <c r="AN113" s="91"/>
      <c r="AO113" s="92"/>
      <c r="AP113" s="92"/>
      <c r="AQ113" s="78">
        <v>43303</v>
      </c>
      <c r="AR113" s="93">
        <v>42580</v>
      </c>
      <c r="AS113" s="94">
        <f>AQ113</f>
        <v>43303</v>
      </c>
      <c r="AT113" s="94"/>
      <c r="AU113" s="94"/>
      <c r="AV113" s="94"/>
      <c r="AW113" s="94"/>
      <c r="AX113" s="94"/>
      <c r="AY113" s="94"/>
      <c r="AZ113" s="94"/>
      <c r="BA113" s="94"/>
      <c r="BB113" s="94"/>
      <c r="BC113" s="94"/>
      <c r="BD113" s="100"/>
    </row>
    <row r="114" spans="36:56" x14ac:dyDescent="0.2">
      <c r="AJ114" s="99" t="s">
        <v>370</v>
      </c>
      <c r="AK114" s="19" t="s">
        <v>327</v>
      </c>
      <c r="AL114" s="19" t="s">
        <v>133</v>
      </c>
      <c r="AM114" s="91"/>
      <c r="AN114" s="91"/>
      <c r="AO114" s="92"/>
      <c r="AP114" s="92"/>
      <c r="AQ114" s="78">
        <v>43525</v>
      </c>
      <c r="AR114" s="93" t="s">
        <v>361</v>
      </c>
      <c r="AS114" s="94">
        <f>AQ114</f>
        <v>43525</v>
      </c>
      <c r="AT114" s="94"/>
      <c r="AU114" s="94"/>
      <c r="AV114" s="94"/>
      <c r="AW114" s="94"/>
      <c r="AX114" s="94"/>
      <c r="AY114" s="94"/>
      <c r="AZ114" s="94"/>
      <c r="BA114" s="94"/>
      <c r="BB114" s="94"/>
      <c r="BC114" s="94"/>
      <c r="BD114" s="100"/>
    </row>
    <row r="115" spans="36:56" x14ac:dyDescent="0.2">
      <c r="AJ115" s="99" t="s">
        <v>370</v>
      </c>
      <c r="AK115" s="19" t="s">
        <v>327</v>
      </c>
      <c r="AL115" s="19" t="s">
        <v>109</v>
      </c>
      <c r="AM115" s="91"/>
      <c r="AN115" s="91"/>
      <c r="AO115" s="92"/>
      <c r="AP115" s="92"/>
      <c r="AQ115" s="78">
        <v>42988</v>
      </c>
      <c r="AR115" s="93">
        <v>42614</v>
      </c>
      <c r="AS115" s="94">
        <f>AQ115</f>
        <v>42988</v>
      </c>
      <c r="AT115" s="94"/>
      <c r="AU115" s="94"/>
      <c r="AV115" s="94"/>
      <c r="AW115" s="94"/>
      <c r="AX115" s="94"/>
      <c r="AY115" s="94"/>
      <c r="AZ115" s="94"/>
      <c r="BA115" s="94"/>
      <c r="BB115" s="94"/>
      <c r="BC115" s="94"/>
      <c r="BD115" s="100"/>
    </row>
    <row r="116" spans="36:56" x14ac:dyDescent="0.2">
      <c r="AJ116" s="99" t="s">
        <v>370</v>
      </c>
      <c r="AK116" s="19" t="s">
        <v>327</v>
      </c>
      <c r="AL116" s="19" t="s">
        <v>131</v>
      </c>
      <c r="AM116" s="91"/>
      <c r="AN116" s="91"/>
      <c r="AO116" s="92"/>
      <c r="AP116" s="92"/>
      <c r="AQ116" s="78">
        <v>43636</v>
      </c>
      <c r="AR116" s="93" t="s">
        <v>358</v>
      </c>
      <c r="AS116" s="94">
        <f>AQ116</f>
        <v>43636</v>
      </c>
      <c r="AT116" s="94"/>
      <c r="AU116" s="94"/>
      <c r="AV116" s="94"/>
      <c r="AW116" s="94"/>
      <c r="AX116" s="94"/>
      <c r="AY116" s="94"/>
      <c r="AZ116" s="94"/>
      <c r="BA116" s="94"/>
      <c r="BB116" s="94"/>
      <c r="BC116" s="94"/>
      <c r="BD116" s="100"/>
    </row>
    <row r="117" spans="36:56" x14ac:dyDescent="0.2">
      <c r="AJ117" s="99" t="s">
        <v>370</v>
      </c>
      <c r="AK117" s="19" t="s">
        <v>327</v>
      </c>
      <c r="AL117" s="19" t="s">
        <v>111</v>
      </c>
      <c r="AM117" s="91"/>
      <c r="AN117" s="91"/>
      <c r="AO117" s="92"/>
      <c r="AP117" s="92"/>
      <c r="AQ117" s="78">
        <v>43311</v>
      </c>
      <c r="AR117" s="93">
        <v>42554</v>
      </c>
      <c r="AS117" s="94">
        <f>AQ117</f>
        <v>43311</v>
      </c>
      <c r="AT117" s="94"/>
      <c r="AU117" s="94"/>
      <c r="AV117" s="94"/>
      <c r="AW117" s="94"/>
      <c r="AX117" s="94"/>
      <c r="AY117" s="94"/>
      <c r="AZ117" s="94"/>
      <c r="BA117" s="94"/>
      <c r="BB117" s="94"/>
      <c r="BC117" s="94"/>
      <c r="BD117" s="100"/>
    </row>
    <row r="118" spans="36:56" x14ac:dyDescent="0.2">
      <c r="AJ118" s="99" t="s">
        <v>370</v>
      </c>
      <c r="AK118" s="19" t="s">
        <v>327</v>
      </c>
      <c r="AL118" s="19" t="s">
        <v>123</v>
      </c>
      <c r="AM118" s="91"/>
      <c r="AN118" s="91"/>
      <c r="AO118" s="92"/>
      <c r="AP118" s="92"/>
      <c r="AQ118" s="78">
        <v>43327</v>
      </c>
      <c r="AR118" s="93">
        <v>42583</v>
      </c>
      <c r="AS118" s="94">
        <f>AQ118</f>
        <v>43327</v>
      </c>
      <c r="AT118" s="94"/>
      <c r="AU118" s="94"/>
      <c r="AV118" s="94"/>
      <c r="AW118" s="94"/>
      <c r="AX118" s="94"/>
      <c r="AY118" s="94"/>
      <c r="AZ118" s="94"/>
      <c r="BA118" s="94"/>
      <c r="BB118" s="94"/>
      <c r="BC118" s="94"/>
      <c r="BD118" s="100"/>
    </row>
    <row r="119" spans="36:56" x14ac:dyDescent="0.2">
      <c r="AJ119" s="99" t="s">
        <v>370</v>
      </c>
      <c r="AK119" s="19" t="s">
        <v>327</v>
      </c>
      <c r="AL119" s="19" t="s">
        <v>120</v>
      </c>
      <c r="AM119" s="91"/>
      <c r="AN119" s="91"/>
      <c r="AO119" s="92"/>
      <c r="AP119" s="92"/>
      <c r="AQ119" s="78">
        <v>43038</v>
      </c>
      <c r="AR119" s="93" t="s">
        <v>352</v>
      </c>
      <c r="AS119" s="94">
        <f>AQ119</f>
        <v>43038</v>
      </c>
      <c r="AT119" s="94"/>
      <c r="AU119" s="94"/>
      <c r="AV119" s="94"/>
      <c r="AW119" s="94"/>
      <c r="AX119" s="94"/>
      <c r="AY119" s="94"/>
      <c r="AZ119" s="94"/>
      <c r="BA119" s="94"/>
      <c r="BB119" s="94"/>
      <c r="BC119" s="94"/>
      <c r="BD119" s="100"/>
    </row>
    <row r="120" spans="36:56" x14ac:dyDescent="0.2">
      <c r="AJ120" s="99" t="s">
        <v>370</v>
      </c>
      <c r="AK120" s="19" t="s">
        <v>327</v>
      </c>
      <c r="AL120" s="19" t="s">
        <v>116</v>
      </c>
      <c r="AM120" s="91"/>
      <c r="AN120" s="91"/>
      <c r="AO120" s="92"/>
      <c r="AP120" s="92"/>
      <c r="AQ120" s="78">
        <v>43365</v>
      </c>
      <c r="AR120" s="93" t="s">
        <v>353</v>
      </c>
      <c r="AS120" s="94">
        <f>AQ120</f>
        <v>43365</v>
      </c>
      <c r="AT120" s="94"/>
      <c r="AU120" s="94"/>
      <c r="AV120" s="94"/>
      <c r="AW120" s="94"/>
      <c r="AX120" s="94"/>
      <c r="AY120" s="94"/>
      <c r="AZ120" s="94"/>
      <c r="BA120" s="94"/>
      <c r="BB120" s="94"/>
      <c r="BC120" s="94"/>
      <c r="BD120" s="100"/>
    </row>
    <row r="121" spans="36:56" x14ac:dyDescent="0.2">
      <c r="AJ121" s="99" t="s">
        <v>370</v>
      </c>
      <c r="AK121" s="19" t="s">
        <v>327</v>
      </c>
      <c r="AL121" s="19" t="s">
        <v>102</v>
      </c>
      <c r="AM121" s="91"/>
      <c r="AN121" s="91"/>
      <c r="AO121" s="92"/>
      <c r="AP121" s="92"/>
      <c r="AQ121" s="78">
        <v>43337</v>
      </c>
      <c r="AR121" s="93">
        <v>42584</v>
      </c>
      <c r="AS121" s="94">
        <f>AQ121</f>
        <v>43337</v>
      </c>
      <c r="AT121" s="94"/>
      <c r="AU121" s="94"/>
      <c r="AV121" s="94"/>
      <c r="AW121" s="94"/>
      <c r="AX121" s="94"/>
      <c r="AY121" s="94"/>
      <c r="AZ121" s="94"/>
      <c r="BA121" s="94"/>
      <c r="BB121" s="94"/>
      <c r="BC121" s="94"/>
      <c r="BD121" s="100"/>
    </row>
    <row r="122" spans="36:56" x14ac:dyDescent="0.2">
      <c r="AJ122" s="99" t="s">
        <v>370</v>
      </c>
      <c r="AK122" s="19" t="s">
        <v>327</v>
      </c>
      <c r="AL122" s="19" t="s">
        <v>137</v>
      </c>
      <c r="AM122" s="91"/>
      <c r="AN122" s="91"/>
      <c r="AO122" s="92"/>
      <c r="AP122" s="92"/>
      <c r="AQ122" s="78">
        <v>42967</v>
      </c>
      <c r="AR122" s="93">
        <v>42583</v>
      </c>
      <c r="AS122" s="94">
        <f>AQ122</f>
        <v>42967</v>
      </c>
      <c r="AT122" s="94"/>
      <c r="AU122" s="94"/>
      <c r="AV122" s="94"/>
      <c r="AW122" s="94"/>
      <c r="AX122" s="94"/>
      <c r="AY122" s="94"/>
      <c r="AZ122" s="94"/>
      <c r="BA122" s="94"/>
      <c r="BB122" s="94"/>
      <c r="BC122" s="94"/>
      <c r="BD122" s="100"/>
    </row>
    <row r="123" spans="36:56" x14ac:dyDescent="0.2">
      <c r="AJ123" s="99" t="s">
        <v>370</v>
      </c>
      <c r="AK123" s="19" t="s">
        <v>327</v>
      </c>
      <c r="AL123" s="19" t="s">
        <v>107</v>
      </c>
      <c r="AM123" s="91"/>
      <c r="AN123" s="91"/>
      <c r="AO123" s="92"/>
      <c r="AP123" s="92"/>
      <c r="AQ123" s="78">
        <v>43493</v>
      </c>
      <c r="AR123" s="93" t="s">
        <v>355</v>
      </c>
      <c r="AS123" s="94">
        <f>AQ123</f>
        <v>43493</v>
      </c>
      <c r="AT123" s="94"/>
      <c r="AU123" s="94"/>
      <c r="AV123" s="94"/>
      <c r="AW123" s="94"/>
      <c r="AX123" s="94"/>
      <c r="AY123" s="94"/>
      <c r="AZ123" s="94"/>
      <c r="BA123" s="94"/>
      <c r="BB123" s="94"/>
      <c r="BC123" s="94"/>
      <c r="BD123" s="100"/>
    </row>
    <row r="124" spans="36:56" ht="25.5" x14ac:dyDescent="0.2">
      <c r="AJ124" s="99" t="s">
        <v>370</v>
      </c>
      <c r="AK124" s="19" t="s">
        <v>325</v>
      </c>
      <c r="AL124" s="19" t="s">
        <v>3</v>
      </c>
      <c r="AM124" s="91"/>
      <c r="AN124" s="91"/>
      <c r="AO124" s="92"/>
      <c r="AP124" s="92"/>
      <c r="AQ124" s="78">
        <v>43586</v>
      </c>
      <c r="AR124" s="93" t="s">
        <v>357</v>
      </c>
      <c r="AS124" s="94">
        <f>AQ124</f>
        <v>43586</v>
      </c>
      <c r="AT124" s="94"/>
      <c r="AU124" s="94"/>
      <c r="AV124" s="94"/>
      <c r="AW124" s="94"/>
      <c r="AX124" s="94"/>
      <c r="AY124" s="94"/>
      <c r="AZ124" s="94"/>
      <c r="BA124" s="94"/>
      <c r="BB124" s="94"/>
      <c r="BC124" s="94"/>
      <c r="BD124" s="100"/>
    </row>
    <row r="125" spans="36:56" ht="25.5" x14ac:dyDescent="0.2">
      <c r="AJ125" s="99" t="s">
        <v>370</v>
      </c>
      <c r="AK125" s="19" t="s">
        <v>325</v>
      </c>
      <c r="AL125" s="19" t="s">
        <v>43</v>
      </c>
      <c r="AM125" s="91"/>
      <c r="AN125" s="91"/>
      <c r="AO125" s="92"/>
      <c r="AP125" s="92"/>
      <c r="AQ125" s="78">
        <v>43524</v>
      </c>
      <c r="AR125" s="93" t="s">
        <v>360</v>
      </c>
      <c r="AS125" s="94">
        <f>AQ125</f>
        <v>43524</v>
      </c>
      <c r="AT125" s="94"/>
      <c r="AU125" s="94"/>
      <c r="AV125" s="94"/>
      <c r="AW125" s="94"/>
      <c r="AX125" s="94"/>
      <c r="AY125" s="94"/>
      <c r="AZ125" s="94"/>
      <c r="BA125" s="94"/>
      <c r="BB125" s="94"/>
      <c r="BC125" s="94"/>
      <c r="BD125" s="100"/>
    </row>
    <row r="126" spans="36:56" ht="25.5" x14ac:dyDescent="0.2">
      <c r="AJ126" s="99" t="s">
        <v>370</v>
      </c>
      <c r="AK126" s="19" t="s">
        <v>325</v>
      </c>
      <c r="AL126" s="19" t="s">
        <v>27</v>
      </c>
      <c r="AM126" s="91"/>
      <c r="AN126" s="91"/>
      <c r="AO126" s="92"/>
      <c r="AP126" s="92"/>
      <c r="AQ126" s="78">
        <v>43044</v>
      </c>
      <c r="AR126" s="93" t="s">
        <v>353</v>
      </c>
      <c r="AS126" s="94">
        <f>AQ126</f>
        <v>43044</v>
      </c>
      <c r="AT126" s="94"/>
      <c r="AU126" s="94"/>
      <c r="AV126" s="94"/>
      <c r="AW126" s="94"/>
      <c r="AX126" s="94"/>
      <c r="AY126" s="94"/>
      <c r="AZ126" s="94"/>
      <c r="BA126" s="94"/>
      <c r="BB126" s="94"/>
      <c r="BC126" s="94"/>
      <c r="BD126" s="100"/>
    </row>
    <row r="127" spans="36:56" x14ac:dyDescent="0.2">
      <c r="AJ127" s="99" t="s">
        <v>370</v>
      </c>
      <c r="AK127" s="19" t="s">
        <v>326</v>
      </c>
      <c r="AL127" s="19" t="s">
        <v>74</v>
      </c>
      <c r="AM127" s="91"/>
      <c r="AN127" s="91"/>
      <c r="AO127" s="92"/>
      <c r="AP127" s="92"/>
      <c r="AQ127" s="78">
        <v>43470</v>
      </c>
      <c r="AR127" s="93" t="s">
        <v>355</v>
      </c>
      <c r="AS127" s="94">
        <f>AQ127</f>
        <v>43470</v>
      </c>
      <c r="AT127" s="94"/>
      <c r="AU127" s="94"/>
      <c r="AV127" s="94"/>
      <c r="AW127" s="94"/>
      <c r="AX127" s="94"/>
      <c r="AY127" s="94"/>
      <c r="AZ127" s="94"/>
      <c r="BA127" s="94"/>
      <c r="BB127" s="94"/>
      <c r="BC127" s="94"/>
      <c r="BD127" s="100"/>
    </row>
    <row r="128" spans="36:56" x14ac:dyDescent="0.2">
      <c r="AJ128" s="99" t="s">
        <v>370</v>
      </c>
      <c r="AK128" s="19" t="s">
        <v>326</v>
      </c>
      <c r="AL128" s="19" t="s">
        <v>98</v>
      </c>
      <c r="AM128" s="91"/>
      <c r="AN128" s="91"/>
      <c r="AO128" s="92"/>
      <c r="AP128" s="92"/>
      <c r="AQ128" s="78">
        <v>42959</v>
      </c>
      <c r="AR128" s="93">
        <v>42583</v>
      </c>
      <c r="AS128" s="94">
        <f>AQ128</f>
        <v>42959</v>
      </c>
      <c r="AT128" s="94"/>
      <c r="AU128" s="94"/>
      <c r="AV128" s="94"/>
      <c r="AW128" s="94"/>
      <c r="AX128" s="94"/>
      <c r="AY128" s="94"/>
      <c r="AZ128" s="94"/>
      <c r="BA128" s="94"/>
      <c r="BB128" s="94"/>
      <c r="BC128" s="94"/>
      <c r="BD128" s="100"/>
    </row>
    <row r="129" spans="36:56" x14ac:dyDescent="0.2">
      <c r="AJ129" s="99" t="s">
        <v>370</v>
      </c>
      <c r="AK129" s="19" t="s">
        <v>326</v>
      </c>
      <c r="AL129" s="19" t="s">
        <v>85</v>
      </c>
      <c r="AM129" s="91"/>
      <c r="AN129" s="91"/>
      <c r="AO129" s="92"/>
      <c r="AP129" s="92"/>
      <c r="AQ129" s="78">
        <v>43449</v>
      </c>
      <c r="AR129" s="93" t="s">
        <v>354</v>
      </c>
      <c r="AS129" s="94">
        <f>AQ129</f>
        <v>43449</v>
      </c>
      <c r="AT129" s="94"/>
      <c r="AU129" s="94"/>
      <c r="AV129" s="94"/>
      <c r="AW129" s="94"/>
      <c r="AX129" s="94"/>
      <c r="AY129" s="94"/>
      <c r="AZ129" s="94"/>
      <c r="BA129" s="94"/>
      <c r="BB129" s="94"/>
      <c r="BC129" s="94"/>
      <c r="BD129" s="100"/>
    </row>
    <row r="130" spans="36:56" x14ac:dyDescent="0.2">
      <c r="AJ130" s="99" t="s">
        <v>370</v>
      </c>
      <c r="AK130" s="19" t="s">
        <v>326</v>
      </c>
      <c r="AL130" s="19" t="s">
        <v>56</v>
      </c>
      <c r="AM130" s="91"/>
      <c r="AN130" s="91"/>
      <c r="AO130" s="92"/>
      <c r="AP130" s="92"/>
      <c r="AQ130" s="78">
        <v>43054</v>
      </c>
      <c r="AR130" s="93" t="s">
        <v>353</v>
      </c>
      <c r="AS130" s="94">
        <f>AQ130</f>
        <v>43054</v>
      </c>
      <c r="AT130" s="94"/>
      <c r="AU130" s="94"/>
      <c r="AV130" s="94"/>
      <c r="AW130" s="94"/>
      <c r="AX130" s="94"/>
      <c r="AY130" s="94"/>
      <c r="AZ130" s="94"/>
      <c r="BA130" s="94"/>
      <c r="BB130" s="94"/>
      <c r="BC130" s="94"/>
      <c r="BD130" s="100"/>
    </row>
    <row r="131" spans="36:56" x14ac:dyDescent="0.2">
      <c r="AJ131" s="99" t="s">
        <v>370</v>
      </c>
      <c r="AK131" s="19" t="s">
        <v>326</v>
      </c>
      <c r="AL131" s="19" t="s">
        <v>93</v>
      </c>
      <c r="AM131" s="91"/>
      <c r="AN131" s="91"/>
      <c r="AO131" s="92"/>
      <c r="AP131" s="92"/>
      <c r="AQ131" s="78">
        <v>43524</v>
      </c>
      <c r="AR131" s="93" t="s">
        <v>360</v>
      </c>
      <c r="AS131" s="94">
        <f>AQ131</f>
        <v>43524</v>
      </c>
      <c r="AT131" s="94"/>
      <c r="AU131" s="94"/>
      <c r="AV131" s="94"/>
      <c r="AW131" s="94"/>
      <c r="AX131" s="94"/>
      <c r="AY131" s="94"/>
      <c r="AZ131" s="94"/>
      <c r="BA131" s="94"/>
      <c r="BB131" s="94"/>
      <c r="BC131" s="94"/>
      <c r="BD131" s="100"/>
    </row>
    <row r="132" spans="36:56" x14ac:dyDescent="0.2">
      <c r="AJ132" s="99" t="s">
        <v>370</v>
      </c>
      <c r="AK132" s="19" t="s">
        <v>326</v>
      </c>
      <c r="AL132" s="19" t="s">
        <v>79</v>
      </c>
      <c r="AM132" s="91"/>
      <c r="AN132" s="91"/>
      <c r="AO132" s="92"/>
      <c r="AP132" s="92"/>
      <c r="AQ132" s="78">
        <v>43563</v>
      </c>
      <c r="AR132" s="93" t="s">
        <v>356</v>
      </c>
      <c r="AS132" s="94">
        <f>AQ132</f>
        <v>43563</v>
      </c>
      <c r="AT132" s="94"/>
      <c r="AU132" s="94"/>
      <c r="AV132" s="94"/>
      <c r="AW132" s="94"/>
      <c r="AX132" s="94"/>
      <c r="AY132" s="94"/>
      <c r="AZ132" s="94"/>
      <c r="BA132" s="94"/>
      <c r="BB132" s="94"/>
      <c r="BC132" s="94"/>
      <c r="BD132" s="100"/>
    </row>
    <row r="133" spans="36:56" x14ac:dyDescent="0.2">
      <c r="AJ133" s="99" t="s">
        <v>370</v>
      </c>
      <c r="AK133" s="19" t="s">
        <v>326</v>
      </c>
      <c r="AL133" s="19" t="s">
        <v>64</v>
      </c>
      <c r="AM133" s="91"/>
      <c r="AN133" s="91"/>
      <c r="AO133" s="92"/>
      <c r="AP133" s="92"/>
      <c r="AQ133" s="78">
        <v>43099</v>
      </c>
      <c r="AR133" s="93" t="s">
        <v>354</v>
      </c>
      <c r="AS133" s="94">
        <f>AQ133</f>
        <v>43099</v>
      </c>
      <c r="AT133" s="94"/>
      <c r="AU133" s="94"/>
      <c r="AV133" s="94"/>
      <c r="AW133" s="94"/>
      <c r="AX133" s="94"/>
      <c r="AY133" s="94"/>
      <c r="AZ133" s="94"/>
      <c r="BA133" s="94"/>
      <c r="BB133" s="94"/>
      <c r="BC133" s="94"/>
      <c r="BD133" s="100"/>
    </row>
    <row r="134" spans="36:56" ht="25.5" x14ac:dyDescent="0.2">
      <c r="AJ134" s="99" t="s">
        <v>370</v>
      </c>
      <c r="AK134" s="19" t="s">
        <v>325</v>
      </c>
      <c r="AL134" s="19" t="s">
        <v>17</v>
      </c>
      <c r="AM134" s="91"/>
      <c r="AN134" s="91"/>
      <c r="AO134" s="92"/>
      <c r="AP134" s="92"/>
      <c r="AQ134" s="78">
        <v>44147</v>
      </c>
      <c r="AR134" s="93" t="s">
        <v>353</v>
      </c>
      <c r="AS134" s="94">
        <f>AQ134</f>
        <v>44147</v>
      </c>
      <c r="AT134" s="94"/>
      <c r="AU134" s="94"/>
      <c r="AV134" s="94"/>
      <c r="AW134" s="94"/>
      <c r="AX134" s="94"/>
      <c r="AY134" s="94"/>
      <c r="AZ134" s="94"/>
      <c r="BA134" s="94"/>
      <c r="BB134" s="94"/>
      <c r="BC134" s="94"/>
      <c r="BD134" s="100"/>
    </row>
    <row r="135" spans="36:56" ht="25.5" x14ac:dyDescent="0.2">
      <c r="AJ135" s="101" t="s">
        <v>344</v>
      </c>
      <c r="AK135" s="19" t="s">
        <v>325</v>
      </c>
      <c r="AL135" s="19" t="s">
        <v>3</v>
      </c>
      <c r="AM135" s="91"/>
      <c r="AN135" s="91"/>
      <c r="AO135" s="92"/>
      <c r="AP135" s="92"/>
      <c r="AQ135" s="92"/>
      <c r="AR135" s="92"/>
      <c r="AS135" s="92"/>
      <c r="AT135" s="19" t="s">
        <v>143</v>
      </c>
      <c r="AU135" s="58" t="s">
        <v>144</v>
      </c>
      <c r="AV135" s="58" t="s">
        <v>145</v>
      </c>
      <c r="AW135" s="19">
        <v>2</v>
      </c>
      <c r="AX135" s="19"/>
      <c r="AY135" s="19"/>
      <c r="AZ135" s="19"/>
      <c r="BA135" s="19"/>
      <c r="BB135" s="19"/>
      <c r="BC135" s="19"/>
      <c r="BD135" s="59"/>
    </row>
    <row r="136" spans="36:56" ht="25.5" x14ac:dyDescent="0.2">
      <c r="AJ136" s="101" t="s">
        <v>344</v>
      </c>
      <c r="AK136" s="19" t="s">
        <v>325</v>
      </c>
      <c r="AL136" s="19" t="s">
        <v>5</v>
      </c>
      <c r="AM136" s="91"/>
      <c r="AN136" s="91"/>
      <c r="AO136" s="92"/>
      <c r="AP136" s="92"/>
      <c r="AQ136" s="92"/>
      <c r="AR136" s="92"/>
      <c r="AS136" s="92"/>
      <c r="AT136" s="19" t="s">
        <v>146</v>
      </c>
      <c r="AU136" s="58" t="s">
        <v>147</v>
      </c>
      <c r="AV136" s="58" t="s">
        <v>148</v>
      </c>
      <c r="AW136" s="19">
        <v>3</v>
      </c>
      <c r="AX136" s="19"/>
      <c r="AY136" s="19"/>
      <c r="AZ136" s="19"/>
      <c r="BA136" s="19"/>
      <c r="BB136" s="19"/>
      <c r="BC136" s="19"/>
      <c r="BD136" s="59"/>
    </row>
    <row r="137" spans="36:56" ht="25.5" x14ac:dyDescent="0.2">
      <c r="AJ137" s="101" t="s">
        <v>344</v>
      </c>
      <c r="AK137" s="19" t="s">
        <v>325</v>
      </c>
      <c r="AL137" s="19" t="s">
        <v>7</v>
      </c>
      <c r="AM137" s="91"/>
      <c r="AN137" s="91"/>
      <c r="AO137" s="92"/>
      <c r="AP137" s="92"/>
      <c r="AQ137" s="92"/>
      <c r="AR137" s="92"/>
      <c r="AS137" s="92"/>
      <c r="AT137" s="19" t="s">
        <v>149</v>
      </c>
      <c r="AU137" s="58" t="s">
        <v>150</v>
      </c>
      <c r="AV137" s="58" t="s">
        <v>151</v>
      </c>
      <c r="AW137" s="19">
        <v>4</v>
      </c>
      <c r="AX137" s="19"/>
      <c r="AY137" s="19"/>
      <c r="AZ137" s="19"/>
      <c r="BA137" s="19"/>
      <c r="BB137" s="19"/>
      <c r="BC137" s="19"/>
      <c r="BD137" s="59"/>
    </row>
    <row r="138" spans="36:56" ht="25.5" x14ac:dyDescent="0.2">
      <c r="AJ138" s="101" t="s">
        <v>344</v>
      </c>
      <c r="AK138" s="19" t="s">
        <v>325</v>
      </c>
      <c r="AL138" s="19" t="s">
        <v>9</v>
      </c>
      <c r="AM138" s="91"/>
      <c r="AN138" s="91"/>
      <c r="AO138" s="92"/>
      <c r="AP138" s="92"/>
      <c r="AQ138" s="92"/>
      <c r="AR138" s="92"/>
      <c r="AS138" s="92"/>
      <c r="AT138" s="19" t="s">
        <v>152</v>
      </c>
      <c r="AU138" s="58" t="s">
        <v>153</v>
      </c>
      <c r="AV138" s="58" t="s">
        <v>154</v>
      </c>
      <c r="AW138" s="19">
        <v>2</v>
      </c>
      <c r="AX138" s="19"/>
      <c r="AY138" s="19"/>
      <c r="AZ138" s="19"/>
      <c r="BA138" s="19"/>
      <c r="BB138" s="19"/>
      <c r="BC138" s="19"/>
      <c r="BD138" s="59"/>
    </row>
    <row r="139" spans="36:56" ht="25.5" x14ac:dyDescent="0.2">
      <c r="AJ139" s="101" t="s">
        <v>344</v>
      </c>
      <c r="AK139" s="19" t="s">
        <v>325</v>
      </c>
      <c r="AL139" s="19" t="s">
        <v>11</v>
      </c>
      <c r="AM139" s="91"/>
      <c r="AN139" s="91"/>
      <c r="AO139" s="92"/>
      <c r="AP139" s="92"/>
      <c r="AQ139" s="92"/>
      <c r="AR139" s="92"/>
      <c r="AS139" s="92"/>
      <c r="AT139" s="19" t="s">
        <v>155</v>
      </c>
      <c r="AU139" s="58" t="s">
        <v>156</v>
      </c>
      <c r="AV139" s="58" t="s">
        <v>157</v>
      </c>
      <c r="AW139" s="19">
        <v>3</v>
      </c>
      <c r="AX139" s="19"/>
      <c r="AY139" s="19"/>
      <c r="AZ139" s="19"/>
      <c r="BA139" s="19"/>
      <c r="BB139" s="19"/>
      <c r="BC139" s="19"/>
      <c r="BD139" s="59"/>
    </row>
    <row r="140" spans="36:56" ht="25.5" x14ac:dyDescent="0.2">
      <c r="AJ140" s="101" t="s">
        <v>344</v>
      </c>
      <c r="AK140" s="19" t="s">
        <v>325</v>
      </c>
      <c r="AL140" s="19" t="s">
        <v>13</v>
      </c>
      <c r="AM140" s="91"/>
      <c r="AN140" s="91"/>
      <c r="AO140" s="92"/>
      <c r="AP140" s="92"/>
      <c r="AQ140" s="92"/>
      <c r="AR140" s="92"/>
      <c r="AS140" s="92"/>
      <c r="AT140" s="19" t="s">
        <v>158</v>
      </c>
      <c r="AU140" s="58" t="s">
        <v>159</v>
      </c>
      <c r="AV140" s="58" t="s">
        <v>160</v>
      </c>
      <c r="AW140" s="19">
        <v>3</v>
      </c>
      <c r="AX140" s="19"/>
      <c r="AY140" s="19"/>
      <c r="AZ140" s="19"/>
      <c r="BA140" s="19"/>
      <c r="BB140" s="19"/>
      <c r="BC140" s="19"/>
      <c r="BD140" s="59"/>
    </row>
    <row r="141" spans="36:56" ht="25.5" x14ac:dyDescent="0.2">
      <c r="AJ141" s="101" t="s">
        <v>344</v>
      </c>
      <c r="AK141" s="19" t="s">
        <v>325</v>
      </c>
      <c r="AL141" s="19" t="s">
        <v>15</v>
      </c>
      <c r="AM141" s="91"/>
      <c r="AN141" s="91"/>
      <c r="AO141" s="92"/>
      <c r="AP141" s="92"/>
      <c r="AQ141" s="92"/>
      <c r="AR141" s="92"/>
      <c r="AS141" s="92"/>
      <c r="AT141" s="19" t="s">
        <v>161</v>
      </c>
      <c r="AU141" s="58" t="s">
        <v>162</v>
      </c>
      <c r="AV141" s="58" t="s">
        <v>163</v>
      </c>
      <c r="AW141" s="19">
        <v>4</v>
      </c>
      <c r="AX141" s="19"/>
      <c r="AY141" s="19"/>
      <c r="AZ141" s="19"/>
      <c r="BA141" s="19"/>
      <c r="BB141" s="19"/>
      <c r="BC141" s="19"/>
      <c r="BD141" s="59"/>
    </row>
    <row r="142" spans="36:56" ht="25.5" x14ac:dyDescent="0.2">
      <c r="AJ142" s="101" t="s">
        <v>344</v>
      </c>
      <c r="AK142" s="19" t="s">
        <v>325</v>
      </c>
      <c r="AL142" s="19" t="s">
        <v>17</v>
      </c>
      <c r="AM142" s="91"/>
      <c r="AN142" s="91"/>
      <c r="AO142" s="92"/>
      <c r="AP142" s="92"/>
      <c r="AQ142" s="92"/>
      <c r="AR142" s="92"/>
      <c r="AS142" s="92"/>
      <c r="AT142" s="19" t="s">
        <v>164</v>
      </c>
      <c r="AU142" s="58" t="s">
        <v>165</v>
      </c>
      <c r="AV142" s="58" t="s">
        <v>166</v>
      </c>
      <c r="AW142" s="19">
        <v>2</v>
      </c>
      <c r="AX142" s="19"/>
      <c r="AY142" s="19"/>
      <c r="AZ142" s="19"/>
      <c r="BA142" s="19"/>
      <c r="BB142" s="19"/>
      <c r="BC142" s="19"/>
      <c r="BD142" s="59"/>
    </row>
    <row r="143" spans="36:56" ht="25.5" x14ac:dyDescent="0.2">
      <c r="AJ143" s="101" t="s">
        <v>344</v>
      </c>
      <c r="AK143" s="19" t="s">
        <v>325</v>
      </c>
      <c r="AL143" s="19" t="s">
        <v>19</v>
      </c>
      <c r="AM143" s="91"/>
      <c r="AN143" s="91"/>
      <c r="AO143" s="92"/>
      <c r="AP143" s="92"/>
      <c r="AQ143" s="92"/>
      <c r="AR143" s="92"/>
      <c r="AS143" s="92"/>
      <c r="AT143" s="19" t="s">
        <v>167</v>
      </c>
      <c r="AU143" s="58" t="s">
        <v>168</v>
      </c>
      <c r="AV143" s="58" t="s">
        <v>169</v>
      </c>
      <c r="AW143" s="19">
        <v>4</v>
      </c>
      <c r="AX143" s="19"/>
      <c r="AY143" s="19"/>
      <c r="AZ143" s="19"/>
      <c r="BA143" s="19"/>
      <c r="BB143" s="19"/>
      <c r="BC143" s="19"/>
      <c r="BD143" s="59"/>
    </row>
    <row r="144" spans="36:56" ht="25.5" x14ac:dyDescent="0.2">
      <c r="AJ144" s="101" t="s">
        <v>344</v>
      </c>
      <c r="AK144" s="19" t="s">
        <v>325</v>
      </c>
      <c r="AL144" s="19" t="s">
        <v>21</v>
      </c>
      <c r="AM144" s="91"/>
      <c r="AN144" s="91"/>
      <c r="AO144" s="92"/>
      <c r="AP144" s="92"/>
      <c r="AQ144" s="92"/>
      <c r="AR144" s="92"/>
      <c r="AS144" s="92"/>
      <c r="AT144" s="19" t="s">
        <v>170</v>
      </c>
      <c r="AU144" s="58" t="s">
        <v>171</v>
      </c>
      <c r="AV144" s="58" t="s">
        <v>172</v>
      </c>
      <c r="AW144" s="19">
        <v>3</v>
      </c>
      <c r="AX144" s="19"/>
      <c r="AY144" s="19"/>
      <c r="AZ144" s="19"/>
      <c r="BA144" s="19"/>
      <c r="BB144" s="19"/>
      <c r="BC144" s="19"/>
      <c r="BD144" s="59"/>
    </row>
    <row r="145" spans="36:56" ht="25.5" x14ac:dyDescent="0.2">
      <c r="AJ145" s="101" t="s">
        <v>344</v>
      </c>
      <c r="AK145" s="19" t="s">
        <v>325</v>
      </c>
      <c r="AL145" s="19" t="s">
        <v>23</v>
      </c>
      <c r="AM145" s="91"/>
      <c r="AN145" s="91"/>
      <c r="AO145" s="92"/>
      <c r="AP145" s="92"/>
      <c r="AQ145" s="92"/>
      <c r="AR145" s="92"/>
      <c r="AS145" s="92"/>
      <c r="AT145" s="19" t="s">
        <v>173</v>
      </c>
      <c r="AU145" s="58" t="s">
        <v>174</v>
      </c>
      <c r="AV145" s="58" t="s">
        <v>175</v>
      </c>
      <c r="AW145" s="19">
        <v>2</v>
      </c>
      <c r="AX145" s="19"/>
      <c r="AY145" s="19"/>
      <c r="AZ145" s="19"/>
      <c r="BA145" s="19"/>
      <c r="BB145" s="19"/>
      <c r="BC145" s="19"/>
      <c r="BD145" s="59"/>
    </row>
    <row r="146" spans="36:56" ht="25.5" x14ac:dyDescent="0.2">
      <c r="AJ146" s="101" t="s">
        <v>344</v>
      </c>
      <c r="AK146" s="19" t="s">
        <v>325</v>
      </c>
      <c r="AL146" s="19" t="s">
        <v>25</v>
      </c>
      <c r="AM146" s="91"/>
      <c r="AN146" s="91"/>
      <c r="AO146" s="92"/>
      <c r="AP146" s="92"/>
      <c r="AQ146" s="92"/>
      <c r="AR146" s="92"/>
      <c r="AS146" s="92"/>
      <c r="AT146" s="19" t="s">
        <v>176</v>
      </c>
      <c r="AU146" s="58" t="s">
        <v>177</v>
      </c>
      <c r="AV146" s="58" t="s">
        <v>178</v>
      </c>
      <c r="AW146" s="19">
        <v>3</v>
      </c>
      <c r="AX146" s="19"/>
      <c r="AY146" s="19"/>
      <c r="AZ146" s="19"/>
      <c r="BA146" s="19"/>
      <c r="BB146" s="19"/>
      <c r="BC146" s="19"/>
      <c r="BD146" s="59"/>
    </row>
    <row r="147" spans="36:56" ht="25.5" x14ac:dyDescent="0.2">
      <c r="AJ147" s="101" t="s">
        <v>344</v>
      </c>
      <c r="AK147" s="19" t="s">
        <v>325</v>
      </c>
      <c r="AL147" s="19" t="s">
        <v>27</v>
      </c>
      <c r="AM147" s="91"/>
      <c r="AN147" s="91"/>
      <c r="AO147" s="92"/>
      <c r="AP147" s="92"/>
      <c r="AQ147" s="92"/>
      <c r="AR147" s="92"/>
      <c r="AS147" s="92"/>
      <c r="AT147" s="19" t="s">
        <v>179</v>
      </c>
      <c r="AU147" s="58" t="s">
        <v>180</v>
      </c>
      <c r="AV147" s="58" t="s">
        <v>181</v>
      </c>
      <c r="AW147" s="19">
        <v>4</v>
      </c>
      <c r="AX147" s="19"/>
      <c r="AY147" s="19"/>
      <c r="AZ147" s="19"/>
      <c r="BA147" s="19"/>
      <c r="BB147" s="19"/>
      <c r="BC147" s="19"/>
      <c r="BD147" s="59"/>
    </row>
    <row r="148" spans="36:56" ht="25.5" x14ac:dyDescent="0.2">
      <c r="AJ148" s="101" t="s">
        <v>344</v>
      </c>
      <c r="AK148" s="19" t="s">
        <v>325</v>
      </c>
      <c r="AL148" s="19" t="s">
        <v>29</v>
      </c>
      <c r="AM148" s="91"/>
      <c r="AN148" s="91"/>
      <c r="AO148" s="92"/>
      <c r="AP148" s="92"/>
      <c r="AQ148" s="92"/>
      <c r="AR148" s="92"/>
      <c r="AS148" s="92"/>
      <c r="AT148" s="19" t="s">
        <v>182</v>
      </c>
      <c r="AU148" s="58" t="s">
        <v>183</v>
      </c>
      <c r="AV148" s="58" t="s">
        <v>184</v>
      </c>
      <c r="AW148" s="19">
        <v>2</v>
      </c>
      <c r="AX148" s="19"/>
      <c r="AY148" s="19"/>
      <c r="AZ148" s="19"/>
      <c r="BA148" s="19"/>
      <c r="BB148" s="19"/>
      <c r="BC148" s="19"/>
      <c r="BD148" s="59"/>
    </row>
    <row r="149" spans="36:56" ht="25.5" x14ac:dyDescent="0.2">
      <c r="AJ149" s="101" t="s">
        <v>344</v>
      </c>
      <c r="AK149" s="19" t="s">
        <v>325</v>
      </c>
      <c r="AL149" s="19" t="s">
        <v>31</v>
      </c>
      <c r="AM149" s="91"/>
      <c r="AN149" s="91"/>
      <c r="AO149" s="92"/>
      <c r="AP149" s="92"/>
      <c r="AQ149" s="92"/>
      <c r="AR149" s="92"/>
      <c r="AS149" s="92"/>
      <c r="AT149" s="19" t="s">
        <v>185</v>
      </c>
      <c r="AU149" s="58" t="s">
        <v>186</v>
      </c>
      <c r="AV149" s="58" t="s">
        <v>187</v>
      </c>
      <c r="AW149" s="19">
        <v>3</v>
      </c>
      <c r="AX149" s="19"/>
      <c r="AY149" s="19"/>
      <c r="AZ149" s="19"/>
      <c r="BA149" s="19"/>
      <c r="BB149" s="19"/>
      <c r="BC149" s="19"/>
      <c r="BD149" s="59"/>
    </row>
    <row r="150" spans="36:56" ht="25.5" x14ac:dyDescent="0.2">
      <c r="AJ150" s="101" t="s">
        <v>344</v>
      </c>
      <c r="AK150" s="19" t="s">
        <v>325</v>
      </c>
      <c r="AL150" s="19" t="s">
        <v>33</v>
      </c>
      <c r="AM150" s="91"/>
      <c r="AN150" s="91"/>
      <c r="AO150" s="92"/>
      <c r="AP150" s="92"/>
      <c r="AQ150" s="92"/>
      <c r="AR150" s="92"/>
      <c r="AS150" s="92"/>
      <c r="AT150" s="19" t="s">
        <v>188</v>
      </c>
      <c r="AU150" s="58" t="s">
        <v>189</v>
      </c>
      <c r="AV150" s="58" t="s">
        <v>190</v>
      </c>
      <c r="AW150" s="19">
        <v>4</v>
      </c>
      <c r="AX150" s="19"/>
      <c r="AY150" s="19"/>
      <c r="AZ150" s="19"/>
      <c r="BA150" s="19"/>
      <c r="BB150" s="19"/>
      <c r="BC150" s="19"/>
      <c r="BD150" s="59"/>
    </row>
    <row r="151" spans="36:56" ht="25.5" x14ac:dyDescent="0.2">
      <c r="AJ151" s="101" t="s">
        <v>344</v>
      </c>
      <c r="AK151" s="19" t="s">
        <v>325</v>
      </c>
      <c r="AL151" s="19" t="s">
        <v>35</v>
      </c>
      <c r="AM151" s="91"/>
      <c r="AN151" s="91"/>
      <c r="AO151" s="92"/>
      <c r="AP151" s="92"/>
      <c r="AQ151" s="92"/>
      <c r="AR151" s="92"/>
      <c r="AS151" s="92"/>
      <c r="AT151" s="19" t="s">
        <v>191</v>
      </c>
      <c r="AU151" s="58" t="s">
        <v>192</v>
      </c>
      <c r="AV151" s="58" t="s">
        <v>193</v>
      </c>
      <c r="AW151" s="19">
        <v>2</v>
      </c>
      <c r="AX151" s="19"/>
      <c r="AY151" s="19"/>
      <c r="AZ151" s="19"/>
      <c r="BA151" s="19"/>
      <c r="BB151" s="19"/>
      <c r="BC151" s="19"/>
      <c r="BD151" s="59"/>
    </row>
    <row r="152" spans="36:56" ht="25.5" x14ac:dyDescent="0.2">
      <c r="AJ152" s="101" t="s">
        <v>344</v>
      </c>
      <c r="AK152" s="19" t="s">
        <v>325</v>
      </c>
      <c r="AL152" s="19" t="s">
        <v>37</v>
      </c>
      <c r="AM152" s="91"/>
      <c r="AN152" s="91"/>
      <c r="AO152" s="92"/>
      <c r="AP152" s="92"/>
      <c r="AQ152" s="92"/>
      <c r="AR152" s="92"/>
      <c r="AS152" s="92"/>
      <c r="AT152" s="19" t="s">
        <v>194</v>
      </c>
      <c r="AU152" s="58" t="s">
        <v>195</v>
      </c>
      <c r="AV152" s="58" t="s">
        <v>196</v>
      </c>
      <c r="AW152" s="19">
        <v>3</v>
      </c>
      <c r="AX152" s="19"/>
      <c r="AY152" s="19"/>
      <c r="AZ152" s="19"/>
      <c r="BA152" s="19"/>
      <c r="BB152" s="19"/>
      <c r="BC152" s="19"/>
      <c r="BD152" s="59"/>
    </row>
    <row r="153" spans="36:56" ht="25.5" x14ac:dyDescent="0.2">
      <c r="AJ153" s="101" t="s">
        <v>344</v>
      </c>
      <c r="AK153" s="19" t="s">
        <v>325</v>
      </c>
      <c r="AL153" s="19" t="s">
        <v>39</v>
      </c>
      <c r="AM153" s="91"/>
      <c r="AN153" s="91"/>
      <c r="AO153" s="92"/>
      <c r="AP153" s="92"/>
      <c r="AQ153" s="92"/>
      <c r="AR153" s="92"/>
      <c r="AS153" s="92"/>
      <c r="AT153" s="19" t="s">
        <v>197</v>
      </c>
      <c r="AU153" s="58" t="s">
        <v>198</v>
      </c>
      <c r="AV153" s="58" t="s">
        <v>199</v>
      </c>
      <c r="AW153" s="19">
        <v>4</v>
      </c>
      <c r="AX153" s="19"/>
      <c r="AY153" s="19"/>
      <c r="AZ153" s="19"/>
      <c r="BA153" s="19"/>
      <c r="BB153" s="19"/>
      <c r="BC153" s="19"/>
      <c r="BD153" s="59"/>
    </row>
    <row r="154" spans="36:56" ht="25.5" x14ac:dyDescent="0.2">
      <c r="AJ154" s="101" t="s">
        <v>344</v>
      </c>
      <c r="AK154" s="19" t="s">
        <v>325</v>
      </c>
      <c r="AL154" s="19" t="s">
        <v>41</v>
      </c>
      <c r="AM154" s="91"/>
      <c r="AN154" s="91"/>
      <c r="AO154" s="92"/>
      <c r="AP154" s="92"/>
      <c r="AQ154" s="92"/>
      <c r="AR154" s="92"/>
      <c r="AS154" s="92"/>
      <c r="AT154" s="19" t="s">
        <v>200</v>
      </c>
      <c r="AU154" s="58" t="s">
        <v>201</v>
      </c>
      <c r="AV154" s="58" t="s">
        <v>202</v>
      </c>
      <c r="AW154" s="19">
        <v>2</v>
      </c>
      <c r="AX154" s="19"/>
      <c r="AY154" s="19"/>
      <c r="AZ154" s="19"/>
      <c r="BA154" s="19"/>
      <c r="BB154" s="19"/>
      <c r="BC154" s="19"/>
      <c r="BD154" s="59"/>
    </row>
    <row r="155" spans="36:56" x14ac:dyDescent="0.2">
      <c r="AJ155" s="101" t="s">
        <v>344</v>
      </c>
      <c r="AK155" s="19" t="s">
        <v>326</v>
      </c>
      <c r="AL155" s="19" t="s">
        <v>54</v>
      </c>
      <c r="AM155" s="91"/>
      <c r="AN155" s="91"/>
      <c r="AO155" s="92"/>
      <c r="AP155" s="92"/>
      <c r="AQ155" s="92"/>
      <c r="AR155" s="92"/>
      <c r="AS155" s="92"/>
      <c r="AT155" s="19" t="s">
        <v>203</v>
      </c>
      <c r="AU155" s="58" t="s">
        <v>144</v>
      </c>
      <c r="AV155" s="58" t="s">
        <v>145</v>
      </c>
      <c r="AW155" s="19">
        <v>3</v>
      </c>
      <c r="AX155" s="19"/>
      <c r="AY155" s="19"/>
      <c r="AZ155" s="19"/>
      <c r="BA155" s="19"/>
      <c r="BB155" s="19"/>
      <c r="BC155" s="19"/>
      <c r="BD155" s="59"/>
    </row>
    <row r="156" spans="36:56" x14ac:dyDescent="0.2">
      <c r="AJ156" s="101" t="s">
        <v>344</v>
      </c>
      <c r="AK156" s="19" t="s">
        <v>326</v>
      </c>
      <c r="AL156" s="19" t="s">
        <v>56</v>
      </c>
      <c r="AM156" s="91"/>
      <c r="AN156" s="91"/>
      <c r="AO156" s="92"/>
      <c r="AP156" s="92"/>
      <c r="AQ156" s="92"/>
      <c r="AR156" s="92"/>
      <c r="AS156" s="92"/>
      <c r="AT156" s="19" t="s">
        <v>204</v>
      </c>
      <c r="AU156" s="58" t="s">
        <v>147</v>
      </c>
      <c r="AV156" s="58" t="s">
        <v>148</v>
      </c>
      <c r="AW156" s="19">
        <v>4</v>
      </c>
      <c r="AX156" s="19"/>
      <c r="AY156" s="19"/>
      <c r="AZ156" s="19"/>
      <c r="BA156" s="19"/>
      <c r="BB156" s="19"/>
      <c r="BC156" s="19"/>
      <c r="BD156" s="59"/>
    </row>
    <row r="157" spans="36:56" x14ac:dyDescent="0.2">
      <c r="AJ157" s="101" t="s">
        <v>344</v>
      </c>
      <c r="AK157" s="19" t="s">
        <v>326</v>
      </c>
      <c r="AL157" s="19" t="s">
        <v>58</v>
      </c>
      <c r="AM157" s="91"/>
      <c r="AN157" s="91"/>
      <c r="AO157" s="92"/>
      <c r="AP157" s="92"/>
      <c r="AQ157" s="92"/>
      <c r="AR157" s="92"/>
      <c r="AS157" s="92"/>
      <c r="AT157" s="19" t="s">
        <v>205</v>
      </c>
      <c r="AU157" s="58" t="s">
        <v>150</v>
      </c>
      <c r="AV157" s="58" t="s">
        <v>151</v>
      </c>
      <c r="AW157" s="19">
        <v>3</v>
      </c>
      <c r="AX157" s="19"/>
      <c r="AY157" s="19"/>
      <c r="AZ157" s="19"/>
      <c r="BA157" s="19"/>
      <c r="BB157" s="19"/>
      <c r="BC157" s="19"/>
      <c r="BD157" s="59"/>
    </row>
    <row r="158" spans="36:56" x14ac:dyDescent="0.2">
      <c r="AJ158" s="101" t="s">
        <v>344</v>
      </c>
      <c r="AK158" s="19" t="s">
        <v>326</v>
      </c>
      <c r="AL158" s="19" t="s">
        <v>60</v>
      </c>
      <c r="AM158" s="91"/>
      <c r="AN158" s="91"/>
      <c r="AO158" s="92"/>
      <c r="AP158" s="92"/>
      <c r="AQ158" s="92"/>
      <c r="AR158" s="92"/>
      <c r="AS158" s="92"/>
      <c r="AT158" s="19" t="s">
        <v>206</v>
      </c>
      <c r="AU158" s="58" t="s">
        <v>153</v>
      </c>
      <c r="AV158" s="58" t="s">
        <v>154</v>
      </c>
      <c r="AW158" s="19">
        <v>2</v>
      </c>
      <c r="AX158" s="19"/>
      <c r="AY158" s="19"/>
      <c r="AZ158" s="19"/>
      <c r="BA158" s="19"/>
      <c r="BB158" s="19"/>
      <c r="BC158" s="19"/>
      <c r="BD158" s="59"/>
    </row>
    <row r="159" spans="36:56" x14ac:dyDescent="0.2">
      <c r="AJ159" s="101" t="s">
        <v>344</v>
      </c>
      <c r="AK159" s="19" t="s">
        <v>326</v>
      </c>
      <c r="AL159" s="19" t="s">
        <v>62</v>
      </c>
      <c r="AM159" s="91"/>
      <c r="AN159" s="91"/>
      <c r="AO159" s="92"/>
      <c r="AP159" s="92"/>
      <c r="AQ159" s="92"/>
      <c r="AR159" s="92"/>
      <c r="AS159" s="92"/>
      <c r="AT159" s="19" t="s">
        <v>207</v>
      </c>
      <c r="AU159" s="58" t="s">
        <v>156</v>
      </c>
      <c r="AV159" s="58" t="s">
        <v>157</v>
      </c>
      <c r="AW159" s="19">
        <v>4</v>
      </c>
      <c r="AX159" s="19"/>
      <c r="AY159" s="19"/>
      <c r="AZ159" s="19"/>
      <c r="BA159" s="19"/>
      <c r="BB159" s="19"/>
      <c r="BC159" s="19"/>
      <c r="BD159" s="59"/>
    </row>
    <row r="160" spans="36:56" x14ac:dyDescent="0.2">
      <c r="AJ160" s="101" t="s">
        <v>344</v>
      </c>
      <c r="AK160" s="19" t="s">
        <v>326</v>
      </c>
      <c r="AL160" s="19" t="s">
        <v>64</v>
      </c>
      <c r="AM160" s="91"/>
      <c r="AN160" s="91"/>
      <c r="AO160" s="92"/>
      <c r="AP160" s="92"/>
      <c r="AQ160" s="92"/>
      <c r="AR160" s="92"/>
      <c r="AS160" s="92"/>
      <c r="AT160" s="19" t="s">
        <v>208</v>
      </c>
      <c r="AU160" s="58" t="s">
        <v>159</v>
      </c>
      <c r="AV160" s="58" t="s">
        <v>160</v>
      </c>
      <c r="AW160" s="19">
        <v>3</v>
      </c>
      <c r="AX160" s="19"/>
      <c r="AY160" s="19"/>
      <c r="AZ160" s="19"/>
      <c r="BA160" s="19"/>
      <c r="BB160" s="19"/>
      <c r="BC160" s="19"/>
      <c r="BD160" s="59"/>
    </row>
    <row r="161" spans="36:56" x14ac:dyDescent="0.2">
      <c r="AJ161" s="101" t="s">
        <v>344</v>
      </c>
      <c r="AK161" s="19" t="s">
        <v>326</v>
      </c>
      <c r="AL161" s="19" t="s">
        <v>66</v>
      </c>
      <c r="AM161" s="91"/>
      <c r="AN161" s="91"/>
      <c r="AO161" s="92"/>
      <c r="AP161" s="92"/>
      <c r="AQ161" s="92"/>
      <c r="AR161" s="92"/>
      <c r="AS161" s="92"/>
      <c r="AT161" s="19" t="s">
        <v>209</v>
      </c>
      <c r="AU161" s="58" t="s">
        <v>162</v>
      </c>
      <c r="AV161" s="58" t="s">
        <v>163</v>
      </c>
      <c r="AW161" s="19">
        <v>2</v>
      </c>
      <c r="AX161" s="19"/>
      <c r="AY161" s="19"/>
      <c r="AZ161" s="19"/>
      <c r="BA161" s="19"/>
      <c r="BB161" s="19"/>
      <c r="BC161" s="19"/>
      <c r="BD161" s="59"/>
    </row>
    <row r="162" spans="36:56" x14ac:dyDescent="0.2">
      <c r="AJ162" s="101" t="s">
        <v>344</v>
      </c>
      <c r="AK162" s="19" t="s">
        <v>326</v>
      </c>
      <c r="AL162" s="19" t="s">
        <v>68</v>
      </c>
      <c r="AM162" s="91"/>
      <c r="AN162" s="91"/>
      <c r="AO162" s="92"/>
      <c r="AP162" s="92"/>
      <c r="AQ162" s="92"/>
      <c r="AR162" s="92"/>
      <c r="AS162" s="92"/>
      <c r="AT162" s="19" t="s">
        <v>210</v>
      </c>
      <c r="AU162" s="58" t="s">
        <v>165</v>
      </c>
      <c r="AV162" s="58" t="s">
        <v>166</v>
      </c>
      <c r="AW162" s="19">
        <v>4</v>
      </c>
      <c r="AX162" s="19"/>
      <c r="AY162" s="19"/>
      <c r="AZ162" s="19"/>
      <c r="BA162" s="19"/>
      <c r="BB162" s="19"/>
      <c r="BC162" s="19"/>
      <c r="BD162" s="59"/>
    </row>
    <row r="163" spans="36:56" x14ac:dyDescent="0.2">
      <c r="AJ163" s="101" t="s">
        <v>344</v>
      </c>
      <c r="AK163" s="19" t="s">
        <v>326</v>
      </c>
      <c r="AL163" s="19" t="s">
        <v>70</v>
      </c>
      <c r="AM163" s="91"/>
      <c r="AN163" s="91"/>
      <c r="AO163" s="92"/>
      <c r="AP163" s="92"/>
      <c r="AQ163" s="92"/>
      <c r="AR163" s="92"/>
      <c r="AS163" s="92"/>
      <c r="AT163" s="19" t="s">
        <v>211</v>
      </c>
      <c r="AU163" s="58" t="s">
        <v>168</v>
      </c>
      <c r="AV163" s="58" t="s">
        <v>169</v>
      </c>
      <c r="AW163" s="19">
        <v>3</v>
      </c>
      <c r="AX163" s="19"/>
      <c r="AY163" s="19"/>
      <c r="AZ163" s="19"/>
      <c r="BA163" s="19"/>
      <c r="BB163" s="19"/>
      <c r="BC163" s="19"/>
      <c r="BD163" s="59"/>
    </row>
    <row r="164" spans="36:56" x14ac:dyDescent="0.2">
      <c r="AJ164" s="101" t="s">
        <v>344</v>
      </c>
      <c r="AK164" s="19" t="s">
        <v>326</v>
      </c>
      <c r="AL164" s="19" t="s">
        <v>72</v>
      </c>
      <c r="AM164" s="91"/>
      <c r="AN164" s="91"/>
      <c r="AO164" s="92"/>
      <c r="AP164" s="92"/>
      <c r="AQ164" s="92"/>
      <c r="AR164" s="92"/>
      <c r="AS164" s="92"/>
      <c r="AT164" s="19" t="s">
        <v>212</v>
      </c>
      <c r="AU164" s="58" t="s">
        <v>171</v>
      </c>
      <c r="AV164" s="58" t="s">
        <v>172</v>
      </c>
      <c r="AW164" s="19">
        <v>2</v>
      </c>
      <c r="AX164" s="19"/>
      <c r="AY164" s="19"/>
      <c r="AZ164" s="19"/>
      <c r="BA164" s="19"/>
      <c r="BB164" s="19"/>
      <c r="BC164" s="19"/>
      <c r="BD164" s="59"/>
    </row>
    <row r="165" spans="36:56" x14ac:dyDescent="0.2">
      <c r="AJ165" s="101" t="s">
        <v>344</v>
      </c>
      <c r="AK165" s="19" t="s">
        <v>326</v>
      </c>
      <c r="AL165" s="19" t="s">
        <v>74</v>
      </c>
      <c r="AM165" s="91"/>
      <c r="AN165" s="91"/>
      <c r="AO165" s="92"/>
      <c r="AP165" s="92"/>
      <c r="AQ165" s="92"/>
      <c r="AR165" s="92"/>
      <c r="AS165" s="92"/>
      <c r="AT165" s="19" t="s">
        <v>213</v>
      </c>
      <c r="AU165" s="58" t="s">
        <v>174</v>
      </c>
      <c r="AV165" s="58" t="s">
        <v>175</v>
      </c>
      <c r="AW165" s="19">
        <v>4</v>
      </c>
      <c r="AX165" s="19"/>
      <c r="AY165" s="19"/>
      <c r="AZ165" s="19"/>
      <c r="BA165" s="19"/>
      <c r="BB165" s="19"/>
      <c r="BC165" s="19"/>
      <c r="BD165" s="59"/>
    </row>
    <row r="166" spans="36:56" x14ac:dyDescent="0.2">
      <c r="AJ166" s="101" t="s">
        <v>344</v>
      </c>
      <c r="AK166" s="19" t="s">
        <v>326</v>
      </c>
      <c r="AL166" s="19" t="s">
        <v>76</v>
      </c>
      <c r="AM166" s="91"/>
      <c r="AN166" s="91"/>
      <c r="AO166" s="92"/>
      <c r="AP166" s="92"/>
      <c r="AQ166" s="92"/>
      <c r="AR166" s="92"/>
      <c r="AS166" s="92"/>
      <c r="AT166" s="19" t="s">
        <v>214</v>
      </c>
      <c r="AU166" s="58" t="s">
        <v>177</v>
      </c>
      <c r="AV166" s="58" t="s">
        <v>178</v>
      </c>
      <c r="AW166" s="19">
        <v>3</v>
      </c>
      <c r="AX166" s="19"/>
      <c r="AY166" s="19"/>
      <c r="AZ166" s="19"/>
      <c r="BA166" s="19"/>
      <c r="BB166" s="19"/>
      <c r="BC166" s="19"/>
      <c r="BD166" s="59"/>
    </row>
    <row r="167" spans="36:56" x14ac:dyDescent="0.2">
      <c r="AJ167" s="101" t="s">
        <v>344</v>
      </c>
      <c r="AK167" s="19" t="s">
        <v>326</v>
      </c>
      <c r="AL167" s="19" t="s">
        <v>78</v>
      </c>
      <c r="AM167" s="91"/>
      <c r="AN167" s="91"/>
      <c r="AO167" s="92"/>
      <c r="AP167" s="92"/>
      <c r="AQ167" s="92"/>
      <c r="AR167" s="92"/>
      <c r="AS167" s="92"/>
      <c r="AT167" s="19" t="s">
        <v>215</v>
      </c>
      <c r="AU167" s="58" t="s">
        <v>180</v>
      </c>
      <c r="AV167" s="58" t="s">
        <v>181</v>
      </c>
      <c r="AW167" s="19">
        <v>2</v>
      </c>
      <c r="AX167" s="19"/>
      <c r="AY167" s="19"/>
      <c r="AZ167" s="19"/>
      <c r="BA167" s="19"/>
      <c r="BB167" s="19"/>
      <c r="BC167" s="19"/>
      <c r="BD167" s="59"/>
    </row>
    <row r="168" spans="36:56" x14ac:dyDescent="0.2">
      <c r="AJ168" s="101" t="s">
        <v>344</v>
      </c>
      <c r="AK168" s="19" t="s">
        <v>326</v>
      </c>
      <c r="AL168" s="19" t="s">
        <v>79</v>
      </c>
      <c r="AM168" s="91"/>
      <c r="AN168" s="91"/>
      <c r="AO168" s="92"/>
      <c r="AP168" s="92"/>
      <c r="AQ168" s="92"/>
      <c r="AR168" s="92"/>
      <c r="AS168" s="92"/>
      <c r="AT168" s="19" t="s">
        <v>216</v>
      </c>
      <c r="AU168" s="58" t="s">
        <v>183</v>
      </c>
      <c r="AV168" s="58" t="s">
        <v>184</v>
      </c>
      <c r="AW168" s="19">
        <v>4</v>
      </c>
      <c r="AX168" s="19"/>
      <c r="AY168" s="19"/>
      <c r="AZ168" s="19"/>
      <c r="BA168" s="19"/>
      <c r="BB168" s="19"/>
      <c r="BC168" s="19"/>
      <c r="BD168" s="59"/>
    </row>
    <row r="169" spans="36:56" x14ac:dyDescent="0.2">
      <c r="AJ169" s="101" t="s">
        <v>344</v>
      </c>
      <c r="AK169" s="19" t="s">
        <v>326</v>
      </c>
      <c r="AL169" s="19" t="s">
        <v>81</v>
      </c>
      <c r="AM169" s="91"/>
      <c r="AN169" s="91"/>
      <c r="AO169" s="92"/>
      <c r="AP169" s="92"/>
      <c r="AQ169" s="92"/>
      <c r="AR169" s="92"/>
      <c r="AS169" s="92"/>
      <c r="AT169" s="19" t="s">
        <v>217</v>
      </c>
      <c r="AU169" s="58" t="s">
        <v>186</v>
      </c>
      <c r="AV169" s="58" t="s">
        <v>187</v>
      </c>
      <c r="AW169" s="19">
        <v>3</v>
      </c>
      <c r="AX169" s="19"/>
      <c r="AY169" s="19"/>
      <c r="AZ169" s="19"/>
      <c r="BA169" s="19"/>
      <c r="BB169" s="19"/>
      <c r="BC169" s="19"/>
      <c r="BD169" s="59"/>
    </row>
    <row r="170" spans="36:56" x14ac:dyDescent="0.2">
      <c r="AJ170" s="101" t="s">
        <v>344</v>
      </c>
      <c r="AK170" s="19" t="s">
        <v>326</v>
      </c>
      <c r="AL170" s="19" t="s">
        <v>83</v>
      </c>
      <c r="AM170" s="91"/>
      <c r="AN170" s="91"/>
      <c r="AO170" s="92"/>
      <c r="AP170" s="92"/>
      <c r="AQ170" s="92"/>
      <c r="AR170" s="92"/>
      <c r="AS170" s="92"/>
      <c r="AT170" s="19" t="s">
        <v>218</v>
      </c>
      <c r="AU170" s="58" t="s">
        <v>189</v>
      </c>
      <c r="AV170" s="58" t="s">
        <v>190</v>
      </c>
      <c r="AW170" s="19">
        <v>2</v>
      </c>
      <c r="AX170" s="19"/>
      <c r="AY170" s="19"/>
      <c r="AZ170" s="19"/>
      <c r="BA170" s="19"/>
      <c r="BB170" s="19"/>
      <c r="BC170" s="19"/>
      <c r="BD170" s="59"/>
    </row>
    <row r="171" spans="36:56" x14ac:dyDescent="0.2">
      <c r="AJ171" s="101" t="s">
        <v>344</v>
      </c>
      <c r="AK171" s="19" t="s">
        <v>326</v>
      </c>
      <c r="AL171" s="19" t="s">
        <v>85</v>
      </c>
      <c r="AM171" s="91"/>
      <c r="AN171" s="91"/>
      <c r="AO171" s="92"/>
      <c r="AP171" s="92"/>
      <c r="AQ171" s="92"/>
      <c r="AR171" s="92"/>
      <c r="AS171" s="92"/>
      <c r="AT171" s="19" t="s">
        <v>219</v>
      </c>
      <c r="AU171" s="58" t="s">
        <v>192</v>
      </c>
      <c r="AV171" s="58" t="s">
        <v>193</v>
      </c>
      <c r="AW171" s="19">
        <v>4</v>
      </c>
      <c r="AX171" s="19"/>
      <c r="AY171" s="19"/>
      <c r="AZ171" s="19"/>
      <c r="BA171" s="19"/>
      <c r="BB171" s="19"/>
      <c r="BC171" s="19"/>
      <c r="BD171" s="59"/>
    </row>
    <row r="172" spans="36:56" x14ac:dyDescent="0.2">
      <c r="AJ172" s="101" t="s">
        <v>344</v>
      </c>
      <c r="AK172" s="19" t="s">
        <v>326</v>
      </c>
      <c r="AL172" s="19" t="s">
        <v>87</v>
      </c>
      <c r="AM172" s="91"/>
      <c r="AN172" s="91"/>
      <c r="AO172" s="92"/>
      <c r="AP172" s="92"/>
      <c r="AQ172" s="92"/>
      <c r="AR172" s="92"/>
      <c r="AS172" s="92"/>
      <c r="AT172" s="19" t="s">
        <v>220</v>
      </c>
      <c r="AU172" s="58" t="s">
        <v>195</v>
      </c>
      <c r="AV172" s="58" t="s">
        <v>196</v>
      </c>
      <c r="AW172" s="19">
        <v>3</v>
      </c>
      <c r="AX172" s="19"/>
      <c r="AY172" s="19"/>
      <c r="AZ172" s="19"/>
      <c r="BA172" s="19"/>
      <c r="BB172" s="19"/>
      <c r="BC172" s="19"/>
      <c r="BD172" s="59"/>
    </row>
    <row r="173" spans="36:56" x14ac:dyDescent="0.2">
      <c r="AJ173" s="101" t="s">
        <v>344</v>
      </c>
      <c r="AK173" s="19" t="s">
        <v>326</v>
      </c>
      <c r="AL173" s="19" t="s">
        <v>89</v>
      </c>
      <c r="AM173" s="91"/>
      <c r="AN173" s="91"/>
      <c r="AO173" s="92"/>
      <c r="AP173" s="92"/>
      <c r="AQ173" s="92"/>
      <c r="AR173" s="92"/>
      <c r="AS173" s="92"/>
      <c r="AT173" s="19" t="s">
        <v>221</v>
      </c>
      <c r="AU173" s="58" t="s">
        <v>198</v>
      </c>
      <c r="AV173" s="58" t="s">
        <v>199</v>
      </c>
      <c r="AW173" s="19">
        <v>2</v>
      </c>
      <c r="AX173" s="19"/>
      <c r="AY173" s="19"/>
      <c r="AZ173" s="19"/>
      <c r="BA173" s="19"/>
      <c r="BB173" s="19"/>
      <c r="BC173" s="19"/>
      <c r="BD173" s="59"/>
    </row>
    <row r="174" spans="36:56" x14ac:dyDescent="0.2">
      <c r="AJ174" s="101" t="s">
        <v>344</v>
      </c>
      <c r="AK174" s="19" t="s">
        <v>326</v>
      </c>
      <c r="AL174" s="19" t="s">
        <v>91</v>
      </c>
      <c r="AM174" s="91"/>
      <c r="AN174" s="91"/>
      <c r="AO174" s="92"/>
      <c r="AP174" s="92"/>
      <c r="AQ174" s="92"/>
      <c r="AR174" s="92"/>
      <c r="AS174" s="92"/>
      <c r="AT174" s="19" t="s">
        <v>222</v>
      </c>
      <c r="AU174" s="58" t="s">
        <v>201</v>
      </c>
      <c r="AV174" s="58" t="s">
        <v>202</v>
      </c>
      <c r="AW174" s="19">
        <v>4</v>
      </c>
      <c r="AX174" s="19"/>
      <c r="AY174" s="19"/>
      <c r="AZ174" s="19"/>
      <c r="BA174" s="19"/>
      <c r="BB174" s="19"/>
      <c r="BC174" s="19"/>
      <c r="BD174" s="59"/>
    </row>
    <row r="175" spans="36:56" x14ac:dyDescent="0.2">
      <c r="AJ175" s="101" t="s">
        <v>344</v>
      </c>
      <c r="AK175" s="19" t="s">
        <v>327</v>
      </c>
      <c r="AL175" s="19" t="s">
        <v>100</v>
      </c>
      <c r="AM175" s="91"/>
      <c r="AN175" s="91"/>
      <c r="AO175" s="92"/>
      <c r="AP175" s="92"/>
      <c r="AQ175" s="92"/>
      <c r="AR175" s="92"/>
      <c r="AS175" s="92"/>
      <c r="AT175" s="19" t="s">
        <v>223</v>
      </c>
      <c r="AU175" s="58" t="s">
        <v>144</v>
      </c>
      <c r="AV175" s="58" t="s">
        <v>145</v>
      </c>
      <c r="AW175" s="19">
        <v>4</v>
      </c>
      <c r="AX175" s="19"/>
      <c r="AY175" s="19"/>
      <c r="AZ175" s="19"/>
      <c r="BA175" s="19"/>
      <c r="BB175" s="19"/>
      <c r="BC175" s="19"/>
      <c r="BD175" s="59"/>
    </row>
    <row r="176" spans="36:56" x14ac:dyDescent="0.2">
      <c r="AJ176" s="101" t="s">
        <v>344</v>
      </c>
      <c r="AK176" s="19" t="s">
        <v>327</v>
      </c>
      <c r="AL176" s="19" t="s">
        <v>102</v>
      </c>
      <c r="AM176" s="91"/>
      <c r="AN176" s="91"/>
      <c r="AO176" s="92"/>
      <c r="AP176" s="92"/>
      <c r="AQ176" s="92"/>
      <c r="AR176" s="92"/>
      <c r="AS176" s="92"/>
      <c r="AT176" s="19" t="s">
        <v>224</v>
      </c>
      <c r="AU176" s="58" t="s">
        <v>147</v>
      </c>
      <c r="AV176" s="58" t="s">
        <v>148</v>
      </c>
      <c r="AW176" s="19">
        <v>3</v>
      </c>
      <c r="AX176" s="19"/>
      <c r="AY176" s="19"/>
      <c r="AZ176" s="19"/>
      <c r="BA176" s="19"/>
      <c r="BB176" s="19"/>
      <c r="BC176" s="19"/>
      <c r="BD176" s="59"/>
    </row>
    <row r="177" spans="36:56" x14ac:dyDescent="0.2">
      <c r="AJ177" s="101" t="s">
        <v>344</v>
      </c>
      <c r="AK177" s="19" t="s">
        <v>327</v>
      </c>
      <c r="AL177" s="19" t="s">
        <v>103</v>
      </c>
      <c r="AM177" s="91"/>
      <c r="AN177" s="91"/>
      <c r="AO177" s="92"/>
      <c r="AP177" s="92"/>
      <c r="AQ177" s="92"/>
      <c r="AR177" s="92"/>
      <c r="AS177" s="92"/>
      <c r="AT177" s="19" t="s">
        <v>225</v>
      </c>
      <c r="AU177" s="58" t="s">
        <v>150</v>
      </c>
      <c r="AV177" s="58" t="s">
        <v>151</v>
      </c>
      <c r="AW177" s="19">
        <v>2</v>
      </c>
      <c r="AX177" s="19"/>
      <c r="AY177" s="19"/>
      <c r="AZ177" s="19"/>
      <c r="BA177" s="19"/>
      <c r="BB177" s="19"/>
      <c r="BC177" s="19"/>
      <c r="BD177" s="59"/>
    </row>
    <row r="178" spans="36:56" x14ac:dyDescent="0.2">
      <c r="AJ178" s="101" t="s">
        <v>344</v>
      </c>
      <c r="AK178" s="19" t="s">
        <v>327</v>
      </c>
      <c r="AL178" s="19" t="s">
        <v>105</v>
      </c>
      <c r="AM178" s="91"/>
      <c r="AN178" s="91"/>
      <c r="AO178" s="92"/>
      <c r="AP178" s="92"/>
      <c r="AQ178" s="92"/>
      <c r="AR178" s="92"/>
      <c r="AS178" s="92"/>
      <c r="AT178" s="19" t="s">
        <v>226</v>
      </c>
      <c r="AU178" s="58" t="s">
        <v>153</v>
      </c>
      <c r="AV178" s="58" t="s">
        <v>154</v>
      </c>
      <c r="AW178" s="19">
        <v>3</v>
      </c>
      <c r="AX178" s="19"/>
      <c r="AY178" s="19"/>
      <c r="AZ178" s="19"/>
      <c r="BA178" s="19"/>
      <c r="BB178" s="19"/>
      <c r="BC178" s="19"/>
      <c r="BD178" s="59"/>
    </row>
    <row r="179" spans="36:56" x14ac:dyDescent="0.2">
      <c r="AJ179" s="101" t="s">
        <v>344</v>
      </c>
      <c r="AK179" s="19" t="s">
        <v>327</v>
      </c>
      <c r="AL179" s="19" t="s">
        <v>107</v>
      </c>
      <c r="AM179" s="91"/>
      <c r="AN179" s="91"/>
      <c r="AO179" s="92"/>
      <c r="AP179" s="92"/>
      <c r="AQ179" s="92"/>
      <c r="AR179" s="92"/>
      <c r="AS179" s="92"/>
      <c r="AT179" s="19" t="s">
        <v>227</v>
      </c>
      <c r="AU179" s="58" t="s">
        <v>156</v>
      </c>
      <c r="AV179" s="58" t="s">
        <v>157</v>
      </c>
      <c r="AW179" s="19">
        <v>4</v>
      </c>
      <c r="AX179" s="19"/>
      <c r="AY179" s="19"/>
      <c r="AZ179" s="19"/>
      <c r="BA179" s="19"/>
      <c r="BB179" s="19"/>
      <c r="BC179" s="19"/>
      <c r="BD179" s="59"/>
    </row>
    <row r="180" spans="36:56" x14ac:dyDescent="0.2">
      <c r="AJ180" s="101" t="s">
        <v>344</v>
      </c>
      <c r="AK180" s="19" t="s">
        <v>327</v>
      </c>
      <c r="AL180" s="19" t="s">
        <v>109</v>
      </c>
      <c r="AM180" s="91"/>
      <c r="AN180" s="91"/>
      <c r="AO180" s="92"/>
      <c r="AP180" s="92"/>
      <c r="AQ180" s="92"/>
      <c r="AR180" s="92"/>
      <c r="AS180" s="92"/>
      <c r="AT180" s="19" t="s">
        <v>228</v>
      </c>
      <c r="AU180" s="58" t="s">
        <v>159</v>
      </c>
      <c r="AV180" s="58" t="s">
        <v>160</v>
      </c>
      <c r="AW180" s="19">
        <v>2</v>
      </c>
      <c r="AX180" s="19"/>
      <c r="AY180" s="19"/>
      <c r="AZ180" s="19"/>
      <c r="BA180" s="19"/>
      <c r="BB180" s="19"/>
      <c r="BC180" s="19"/>
      <c r="BD180" s="59"/>
    </row>
    <row r="181" spans="36:56" x14ac:dyDescent="0.2">
      <c r="AJ181" s="101" t="s">
        <v>344</v>
      </c>
      <c r="AK181" s="19" t="s">
        <v>327</v>
      </c>
      <c r="AL181" s="19" t="s">
        <v>111</v>
      </c>
      <c r="AM181" s="91"/>
      <c r="AN181" s="91"/>
      <c r="AO181" s="92"/>
      <c r="AP181" s="92"/>
      <c r="AQ181" s="92"/>
      <c r="AR181" s="92"/>
      <c r="AS181" s="92"/>
      <c r="AT181" s="19" t="s">
        <v>229</v>
      </c>
      <c r="AU181" s="58" t="s">
        <v>162</v>
      </c>
      <c r="AV181" s="58" t="s">
        <v>163</v>
      </c>
      <c r="AW181" s="19">
        <v>3</v>
      </c>
      <c r="AX181" s="19"/>
      <c r="AY181" s="19"/>
      <c r="AZ181" s="19"/>
      <c r="BA181" s="19"/>
      <c r="BB181" s="19"/>
      <c r="BC181" s="19"/>
      <c r="BD181" s="59"/>
    </row>
    <row r="182" spans="36:56" x14ac:dyDescent="0.2">
      <c r="AJ182" s="101" t="s">
        <v>344</v>
      </c>
      <c r="AK182" s="19" t="s">
        <v>327</v>
      </c>
      <c r="AL182" s="19" t="s">
        <v>113</v>
      </c>
      <c r="AM182" s="91"/>
      <c r="AN182" s="91"/>
      <c r="AO182" s="92"/>
      <c r="AP182" s="92"/>
      <c r="AQ182" s="92"/>
      <c r="AR182" s="92"/>
      <c r="AS182" s="92"/>
      <c r="AT182" s="19" t="s">
        <v>230</v>
      </c>
      <c r="AU182" s="58" t="s">
        <v>165</v>
      </c>
      <c r="AV182" s="58" t="s">
        <v>166</v>
      </c>
      <c r="AW182" s="19">
        <v>4</v>
      </c>
      <c r="AX182" s="19"/>
      <c r="AY182" s="19"/>
      <c r="AZ182" s="19"/>
      <c r="BA182" s="19"/>
      <c r="BB182" s="19"/>
      <c r="BC182" s="19"/>
      <c r="BD182" s="59"/>
    </row>
    <row r="183" spans="36:56" x14ac:dyDescent="0.2">
      <c r="AJ183" s="101" t="s">
        <v>344</v>
      </c>
      <c r="AK183" s="19" t="s">
        <v>327</v>
      </c>
      <c r="AL183" s="19" t="s">
        <v>115</v>
      </c>
      <c r="AM183" s="91"/>
      <c r="AN183" s="91"/>
      <c r="AO183" s="92"/>
      <c r="AP183" s="92"/>
      <c r="AQ183" s="92"/>
      <c r="AR183" s="92"/>
      <c r="AS183" s="92"/>
      <c r="AT183" s="19" t="s">
        <v>231</v>
      </c>
      <c r="AU183" s="58" t="s">
        <v>168</v>
      </c>
      <c r="AV183" s="58" t="s">
        <v>169</v>
      </c>
      <c r="AW183" s="19">
        <v>2</v>
      </c>
      <c r="AX183" s="19"/>
      <c r="AY183" s="19"/>
      <c r="AZ183" s="19"/>
      <c r="BA183" s="19"/>
      <c r="BB183" s="19"/>
      <c r="BC183" s="19"/>
      <c r="BD183" s="59"/>
    </row>
    <row r="184" spans="36:56" x14ac:dyDescent="0.2">
      <c r="AJ184" s="101" t="s">
        <v>344</v>
      </c>
      <c r="AK184" s="19" t="s">
        <v>327</v>
      </c>
      <c r="AL184" s="19" t="s">
        <v>116</v>
      </c>
      <c r="AM184" s="91"/>
      <c r="AN184" s="91"/>
      <c r="AO184" s="92"/>
      <c r="AP184" s="92"/>
      <c r="AQ184" s="92"/>
      <c r="AR184" s="92"/>
      <c r="AS184" s="92"/>
      <c r="AT184" s="19" t="s">
        <v>232</v>
      </c>
      <c r="AU184" s="58" t="s">
        <v>171</v>
      </c>
      <c r="AV184" s="58" t="s">
        <v>172</v>
      </c>
      <c r="AW184" s="19">
        <v>3</v>
      </c>
      <c r="AX184" s="19"/>
      <c r="AY184" s="19"/>
      <c r="AZ184" s="19"/>
      <c r="BA184" s="19"/>
      <c r="BB184" s="19"/>
      <c r="BC184" s="19"/>
      <c r="BD184" s="59"/>
    </row>
    <row r="185" spans="36:56" x14ac:dyDescent="0.2">
      <c r="AJ185" s="101" t="s">
        <v>344</v>
      </c>
      <c r="AK185" s="19" t="s">
        <v>327</v>
      </c>
      <c r="AL185" s="19" t="s">
        <v>118</v>
      </c>
      <c r="AM185" s="91"/>
      <c r="AN185" s="91"/>
      <c r="AO185" s="92"/>
      <c r="AP185" s="92"/>
      <c r="AQ185" s="92"/>
      <c r="AR185" s="92"/>
      <c r="AS185" s="92"/>
      <c r="AT185" s="19" t="s">
        <v>233</v>
      </c>
      <c r="AU185" s="58" t="s">
        <v>174</v>
      </c>
      <c r="AV185" s="58" t="s">
        <v>175</v>
      </c>
      <c r="AW185" s="19">
        <v>4</v>
      </c>
      <c r="AX185" s="19"/>
      <c r="AY185" s="19"/>
      <c r="AZ185" s="19"/>
      <c r="BA185" s="19"/>
      <c r="BB185" s="19"/>
      <c r="BC185" s="19"/>
      <c r="BD185" s="59"/>
    </row>
    <row r="186" spans="36:56" x14ac:dyDescent="0.2">
      <c r="AJ186" s="101" t="s">
        <v>344</v>
      </c>
      <c r="AK186" s="19" t="s">
        <v>327</v>
      </c>
      <c r="AL186" s="19" t="s">
        <v>119</v>
      </c>
      <c r="AM186" s="91"/>
      <c r="AN186" s="91"/>
      <c r="AO186" s="92"/>
      <c r="AP186" s="92"/>
      <c r="AQ186" s="92"/>
      <c r="AR186" s="92"/>
      <c r="AS186" s="92"/>
      <c r="AT186" s="19" t="s">
        <v>234</v>
      </c>
      <c r="AU186" s="58" t="s">
        <v>177</v>
      </c>
      <c r="AV186" s="58" t="s">
        <v>178</v>
      </c>
      <c r="AW186" s="19">
        <v>2</v>
      </c>
      <c r="AX186" s="19"/>
      <c r="AY186" s="19"/>
      <c r="AZ186" s="19"/>
      <c r="BA186" s="19"/>
      <c r="BB186" s="19"/>
      <c r="BC186" s="19"/>
      <c r="BD186" s="59"/>
    </row>
    <row r="187" spans="36:56" x14ac:dyDescent="0.2">
      <c r="AJ187" s="101" t="s">
        <v>344</v>
      </c>
      <c r="AK187" s="19" t="s">
        <v>327</v>
      </c>
      <c r="AL187" s="19" t="s">
        <v>120</v>
      </c>
      <c r="AM187" s="91"/>
      <c r="AN187" s="91"/>
      <c r="AO187" s="92"/>
      <c r="AP187" s="92"/>
      <c r="AQ187" s="92"/>
      <c r="AR187" s="92"/>
      <c r="AS187" s="92"/>
      <c r="AT187" s="19" t="s">
        <v>235</v>
      </c>
      <c r="AU187" s="58" t="s">
        <v>180</v>
      </c>
      <c r="AV187" s="58" t="s">
        <v>181</v>
      </c>
      <c r="AW187" s="19">
        <v>3</v>
      </c>
      <c r="AX187" s="19"/>
      <c r="AY187" s="19"/>
      <c r="AZ187" s="19"/>
      <c r="BA187" s="19"/>
      <c r="BB187" s="19"/>
      <c r="BC187" s="19"/>
      <c r="BD187" s="59"/>
    </row>
    <row r="188" spans="36:56" x14ac:dyDescent="0.2">
      <c r="AJ188" s="101" t="s">
        <v>344</v>
      </c>
      <c r="AK188" s="19" t="s">
        <v>327</v>
      </c>
      <c r="AL188" s="19" t="s">
        <v>122</v>
      </c>
      <c r="AM188" s="91"/>
      <c r="AN188" s="91"/>
      <c r="AO188" s="92"/>
      <c r="AP188" s="92"/>
      <c r="AQ188" s="92"/>
      <c r="AR188" s="92"/>
      <c r="AS188" s="92"/>
      <c r="AT188" s="19" t="s">
        <v>236</v>
      </c>
      <c r="AU188" s="58" t="s">
        <v>183</v>
      </c>
      <c r="AV188" s="58" t="s">
        <v>184</v>
      </c>
      <c r="AW188" s="19">
        <v>4</v>
      </c>
      <c r="AX188" s="19"/>
      <c r="AY188" s="19"/>
      <c r="AZ188" s="19"/>
      <c r="BA188" s="19"/>
      <c r="BB188" s="19"/>
      <c r="BC188" s="19"/>
      <c r="BD188" s="59"/>
    </row>
    <row r="189" spans="36:56" x14ac:dyDescent="0.2">
      <c r="AJ189" s="101" t="s">
        <v>344</v>
      </c>
      <c r="AK189" s="19" t="s">
        <v>327</v>
      </c>
      <c r="AL189" s="19" t="s">
        <v>123</v>
      </c>
      <c r="AM189" s="91"/>
      <c r="AN189" s="91"/>
      <c r="AO189" s="92"/>
      <c r="AP189" s="92"/>
      <c r="AQ189" s="92"/>
      <c r="AR189" s="92"/>
      <c r="AS189" s="92"/>
      <c r="AT189" s="19" t="s">
        <v>237</v>
      </c>
      <c r="AU189" s="58" t="s">
        <v>186</v>
      </c>
      <c r="AV189" s="58" t="s">
        <v>187</v>
      </c>
      <c r="AW189" s="19">
        <v>2</v>
      </c>
      <c r="AX189" s="19"/>
      <c r="AY189" s="19"/>
      <c r="AZ189" s="19"/>
      <c r="BA189" s="19"/>
      <c r="BB189" s="19"/>
      <c r="BC189" s="19"/>
      <c r="BD189" s="59"/>
    </row>
    <row r="190" spans="36:56" x14ac:dyDescent="0.2">
      <c r="AJ190" s="101" t="s">
        <v>344</v>
      </c>
      <c r="AK190" s="19" t="s">
        <v>327</v>
      </c>
      <c r="AL190" s="19" t="s">
        <v>125</v>
      </c>
      <c r="AM190" s="91"/>
      <c r="AN190" s="91"/>
      <c r="AO190" s="92"/>
      <c r="AP190" s="92"/>
      <c r="AQ190" s="92"/>
      <c r="AR190" s="92"/>
      <c r="AS190" s="92"/>
      <c r="AT190" s="19" t="s">
        <v>238</v>
      </c>
      <c r="AU190" s="58" t="s">
        <v>189</v>
      </c>
      <c r="AV190" s="58" t="s">
        <v>190</v>
      </c>
      <c r="AW190" s="19">
        <v>3</v>
      </c>
      <c r="AX190" s="19"/>
      <c r="AY190" s="19"/>
      <c r="AZ190" s="19"/>
      <c r="BA190" s="19"/>
      <c r="BB190" s="19"/>
      <c r="BC190" s="19"/>
      <c r="BD190" s="59"/>
    </row>
    <row r="191" spans="36:56" x14ac:dyDescent="0.2">
      <c r="AJ191" s="101" t="s">
        <v>344</v>
      </c>
      <c r="AK191" s="19" t="s">
        <v>327</v>
      </c>
      <c r="AL191" s="19" t="s">
        <v>127</v>
      </c>
      <c r="AM191" s="91"/>
      <c r="AN191" s="91"/>
      <c r="AO191" s="92"/>
      <c r="AP191" s="92"/>
      <c r="AQ191" s="92"/>
      <c r="AR191" s="92"/>
      <c r="AS191" s="92"/>
      <c r="AT191" s="19" t="s">
        <v>239</v>
      </c>
      <c r="AU191" s="58" t="s">
        <v>192</v>
      </c>
      <c r="AV191" s="58" t="s">
        <v>193</v>
      </c>
      <c r="AW191" s="19">
        <v>4</v>
      </c>
      <c r="AX191" s="19"/>
      <c r="AY191" s="19"/>
      <c r="AZ191" s="19"/>
      <c r="BA191" s="19"/>
      <c r="BB191" s="19"/>
      <c r="BC191" s="19"/>
      <c r="BD191" s="59"/>
    </row>
    <row r="192" spans="36:56" x14ac:dyDescent="0.2">
      <c r="AJ192" s="101" t="s">
        <v>344</v>
      </c>
      <c r="AK192" s="19" t="s">
        <v>327</v>
      </c>
      <c r="AL192" s="19" t="s">
        <v>129</v>
      </c>
      <c r="AM192" s="91"/>
      <c r="AN192" s="91"/>
      <c r="AO192" s="92"/>
      <c r="AP192" s="92"/>
      <c r="AQ192" s="92"/>
      <c r="AR192" s="92"/>
      <c r="AS192" s="92"/>
      <c r="AT192" s="19" t="s">
        <v>240</v>
      </c>
      <c r="AU192" s="58" t="s">
        <v>195</v>
      </c>
      <c r="AV192" s="58" t="s">
        <v>196</v>
      </c>
      <c r="AW192" s="19">
        <v>2</v>
      </c>
      <c r="AX192" s="19"/>
      <c r="AY192" s="19"/>
      <c r="AZ192" s="19"/>
      <c r="BA192" s="19"/>
      <c r="BB192" s="19"/>
      <c r="BC192" s="19"/>
      <c r="BD192" s="59"/>
    </row>
    <row r="193" spans="36:56" x14ac:dyDescent="0.2">
      <c r="AJ193" s="101" t="s">
        <v>344</v>
      </c>
      <c r="AK193" s="19" t="s">
        <v>327</v>
      </c>
      <c r="AL193" s="19" t="s">
        <v>131</v>
      </c>
      <c r="AM193" s="91"/>
      <c r="AN193" s="91"/>
      <c r="AO193" s="92"/>
      <c r="AP193" s="92"/>
      <c r="AQ193" s="92"/>
      <c r="AR193" s="92"/>
      <c r="AS193" s="92"/>
      <c r="AT193" s="19" t="s">
        <v>241</v>
      </c>
      <c r="AU193" s="58" t="s">
        <v>198</v>
      </c>
      <c r="AV193" s="58" t="s">
        <v>199</v>
      </c>
      <c r="AW193" s="19">
        <v>3</v>
      </c>
      <c r="AX193" s="19"/>
      <c r="AY193" s="19"/>
      <c r="AZ193" s="19"/>
      <c r="BA193" s="19"/>
      <c r="BB193" s="19"/>
      <c r="BC193" s="19"/>
      <c r="BD193" s="59"/>
    </row>
    <row r="194" spans="36:56" x14ac:dyDescent="0.2">
      <c r="AJ194" s="101" t="s">
        <v>344</v>
      </c>
      <c r="AK194" s="19" t="s">
        <v>327</v>
      </c>
      <c r="AL194" s="19" t="s">
        <v>132</v>
      </c>
      <c r="AM194" s="91"/>
      <c r="AN194" s="91"/>
      <c r="AO194" s="92"/>
      <c r="AP194" s="92"/>
      <c r="AQ194" s="92"/>
      <c r="AR194" s="92"/>
      <c r="AS194" s="92"/>
      <c r="AT194" s="19" t="s">
        <v>242</v>
      </c>
      <c r="AU194" s="58" t="s">
        <v>201</v>
      </c>
      <c r="AV194" s="58" t="s">
        <v>202</v>
      </c>
      <c r="AW194" s="19">
        <v>4</v>
      </c>
      <c r="AX194" s="19"/>
      <c r="AY194" s="19"/>
      <c r="AZ194" s="19"/>
      <c r="BA194" s="19"/>
      <c r="BB194" s="19"/>
      <c r="BC194" s="19"/>
      <c r="BD194" s="59"/>
    </row>
    <row r="195" spans="36:56" ht="25.5" x14ac:dyDescent="0.2">
      <c r="AJ195" s="102" t="s">
        <v>340</v>
      </c>
      <c r="AK195" s="19" t="s">
        <v>325</v>
      </c>
      <c r="AL195" s="19" t="s">
        <v>3</v>
      </c>
      <c r="AM195" s="91"/>
      <c r="AN195" s="91"/>
      <c r="AO195" s="92"/>
      <c r="AP195" s="92"/>
      <c r="AQ195" s="92"/>
      <c r="AR195" s="92"/>
      <c r="AS195" s="92"/>
      <c r="AT195" s="92"/>
      <c r="AU195" s="92"/>
      <c r="AV195" s="92"/>
      <c r="AW195" s="92"/>
      <c r="AX195" s="92"/>
      <c r="AY195" s="92"/>
      <c r="AZ195" s="92"/>
      <c r="BA195" s="92"/>
      <c r="BB195" s="19">
        <v>9</v>
      </c>
      <c r="BC195" s="19">
        <v>2</v>
      </c>
      <c r="BD195" s="59">
        <v>0</v>
      </c>
    </row>
    <row r="196" spans="36:56" ht="25.5" x14ac:dyDescent="0.2">
      <c r="AJ196" s="102" t="s">
        <v>340</v>
      </c>
      <c r="AK196" s="19" t="s">
        <v>325</v>
      </c>
      <c r="AL196" s="19" t="s">
        <v>5</v>
      </c>
      <c r="AM196" s="91"/>
      <c r="AN196" s="91"/>
      <c r="AO196" s="92"/>
      <c r="AP196" s="92"/>
      <c r="AQ196" s="92"/>
      <c r="AR196" s="92"/>
      <c r="AS196" s="92"/>
      <c r="AT196" s="92"/>
      <c r="AU196" s="92"/>
      <c r="AV196" s="92"/>
      <c r="AW196" s="92"/>
      <c r="AX196" s="92"/>
      <c r="AY196" s="92"/>
      <c r="AZ196" s="92"/>
      <c r="BA196" s="92"/>
      <c r="BB196" s="19">
        <v>8</v>
      </c>
      <c r="BC196" s="19">
        <v>3</v>
      </c>
      <c r="BD196" s="59">
        <v>1</v>
      </c>
    </row>
    <row r="197" spans="36:56" ht="25.5" x14ac:dyDescent="0.2">
      <c r="AJ197" s="102" t="s">
        <v>340</v>
      </c>
      <c r="AK197" s="19" t="s">
        <v>325</v>
      </c>
      <c r="AL197" s="19" t="s">
        <v>7</v>
      </c>
      <c r="AM197" s="91"/>
      <c r="AN197" s="91"/>
      <c r="AO197" s="92"/>
      <c r="AP197" s="92"/>
      <c r="AQ197" s="92"/>
      <c r="AR197" s="92"/>
      <c r="AS197" s="92"/>
      <c r="AT197" s="92"/>
      <c r="AU197" s="92"/>
      <c r="AV197" s="92"/>
      <c r="AW197" s="92"/>
      <c r="AX197" s="92"/>
      <c r="AY197" s="92"/>
      <c r="AZ197" s="92"/>
      <c r="BA197" s="92"/>
      <c r="BB197" s="19">
        <v>10</v>
      </c>
      <c r="BC197" s="19">
        <v>1</v>
      </c>
      <c r="BD197" s="59">
        <v>1</v>
      </c>
    </row>
    <row r="198" spans="36:56" ht="25.5" x14ac:dyDescent="0.2">
      <c r="AJ198" s="102" t="s">
        <v>340</v>
      </c>
      <c r="AK198" s="19" t="s">
        <v>325</v>
      </c>
      <c r="AL198" s="19" t="s">
        <v>9</v>
      </c>
      <c r="AM198" s="91"/>
      <c r="AN198" s="91"/>
      <c r="AO198" s="92"/>
      <c r="AP198" s="92"/>
      <c r="AQ198" s="92"/>
      <c r="AR198" s="92"/>
      <c r="AS198" s="92"/>
      <c r="AT198" s="92"/>
      <c r="AU198" s="92"/>
      <c r="AV198" s="92"/>
      <c r="AW198" s="92"/>
      <c r="AX198" s="92"/>
      <c r="AY198" s="92"/>
      <c r="AZ198" s="92"/>
      <c r="BA198" s="92"/>
      <c r="BB198" s="19">
        <v>9</v>
      </c>
      <c r="BC198" s="19">
        <v>4</v>
      </c>
      <c r="BD198" s="59">
        <v>0</v>
      </c>
    </row>
    <row r="199" spans="36:56" ht="25.5" x14ac:dyDescent="0.2">
      <c r="AJ199" s="102" t="s">
        <v>340</v>
      </c>
      <c r="AK199" s="19" t="s">
        <v>325</v>
      </c>
      <c r="AL199" s="19" t="s">
        <v>11</v>
      </c>
      <c r="AM199" s="91"/>
      <c r="AN199" s="91"/>
      <c r="AO199" s="92"/>
      <c r="AP199" s="92"/>
      <c r="AQ199" s="92"/>
      <c r="AR199" s="92"/>
      <c r="AS199" s="92"/>
      <c r="AT199" s="92"/>
      <c r="AU199" s="92"/>
      <c r="AV199" s="92"/>
      <c r="AW199" s="92"/>
      <c r="AX199" s="92"/>
      <c r="AY199" s="92"/>
      <c r="AZ199" s="92"/>
      <c r="BA199" s="92"/>
      <c r="BB199" s="19">
        <v>10</v>
      </c>
      <c r="BC199" s="19">
        <v>2</v>
      </c>
      <c r="BD199" s="59">
        <v>0</v>
      </c>
    </row>
    <row r="200" spans="36:56" ht="25.5" x14ac:dyDescent="0.2">
      <c r="AJ200" s="102" t="s">
        <v>340</v>
      </c>
      <c r="AK200" s="19" t="s">
        <v>325</v>
      </c>
      <c r="AL200" s="19" t="s">
        <v>13</v>
      </c>
      <c r="AM200" s="91"/>
      <c r="AN200" s="91"/>
      <c r="AO200" s="92"/>
      <c r="AP200" s="92"/>
      <c r="AQ200" s="92"/>
      <c r="AR200" s="92"/>
      <c r="AS200" s="92"/>
      <c r="AT200" s="92"/>
      <c r="AU200" s="92"/>
      <c r="AV200" s="92"/>
      <c r="AW200" s="92"/>
      <c r="AX200" s="92"/>
      <c r="AY200" s="92"/>
      <c r="AZ200" s="92"/>
      <c r="BA200" s="92"/>
      <c r="BB200" s="19">
        <v>8</v>
      </c>
      <c r="BC200" s="19">
        <v>5</v>
      </c>
      <c r="BD200" s="59">
        <v>0</v>
      </c>
    </row>
    <row r="201" spans="36:56" ht="25.5" x14ac:dyDescent="0.2">
      <c r="AJ201" s="102" t="s">
        <v>340</v>
      </c>
      <c r="AK201" s="19" t="s">
        <v>325</v>
      </c>
      <c r="AL201" s="19" t="s">
        <v>15</v>
      </c>
      <c r="AM201" s="91"/>
      <c r="AN201" s="91"/>
      <c r="AO201" s="92"/>
      <c r="AP201" s="92"/>
      <c r="AQ201" s="92"/>
      <c r="AR201" s="92"/>
      <c r="AS201" s="92"/>
      <c r="AT201" s="92"/>
      <c r="AU201" s="92"/>
      <c r="AV201" s="92"/>
      <c r="AW201" s="92"/>
      <c r="AX201" s="92"/>
      <c r="AY201" s="92"/>
      <c r="AZ201" s="92"/>
      <c r="BA201" s="92"/>
      <c r="BB201" s="19">
        <v>9</v>
      </c>
      <c r="BC201" s="19">
        <v>3</v>
      </c>
      <c r="BD201" s="59">
        <v>0</v>
      </c>
    </row>
    <row r="202" spans="36:56" ht="25.5" x14ac:dyDescent="0.2">
      <c r="AJ202" s="102" t="s">
        <v>340</v>
      </c>
      <c r="AK202" s="19" t="s">
        <v>325</v>
      </c>
      <c r="AL202" s="19" t="s">
        <v>17</v>
      </c>
      <c r="AM202" s="91"/>
      <c r="AN202" s="91"/>
      <c r="AO202" s="92"/>
      <c r="AP202" s="92"/>
      <c r="AQ202" s="92"/>
      <c r="AR202" s="92"/>
      <c r="AS202" s="92"/>
      <c r="AT202" s="92"/>
      <c r="AU202" s="92"/>
      <c r="AV202" s="92"/>
      <c r="AW202" s="92"/>
      <c r="AX202" s="92"/>
      <c r="AY202" s="92"/>
      <c r="AZ202" s="92"/>
      <c r="BA202" s="92"/>
      <c r="BB202" s="19">
        <v>7</v>
      </c>
      <c r="BC202" s="19">
        <v>3</v>
      </c>
      <c r="BD202" s="59">
        <v>2</v>
      </c>
    </row>
    <row r="203" spans="36:56" ht="25.5" x14ac:dyDescent="0.2">
      <c r="AJ203" s="102" t="s">
        <v>340</v>
      </c>
      <c r="AK203" s="19" t="s">
        <v>325</v>
      </c>
      <c r="AL203" s="19" t="s">
        <v>19</v>
      </c>
      <c r="AM203" s="91"/>
      <c r="AN203" s="91"/>
      <c r="AO203" s="92"/>
      <c r="AP203" s="92"/>
      <c r="AQ203" s="92"/>
      <c r="AR203" s="92"/>
      <c r="AS203" s="92"/>
      <c r="AT203" s="92"/>
      <c r="AU203" s="92"/>
      <c r="AV203" s="92"/>
      <c r="AW203" s="92"/>
      <c r="AX203" s="92"/>
      <c r="AY203" s="92"/>
      <c r="AZ203" s="92"/>
      <c r="BA203" s="92"/>
      <c r="BB203" s="19">
        <v>10</v>
      </c>
      <c r="BC203" s="19">
        <v>2</v>
      </c>
      <c r="BD203" s="59">
        <v>1</v>
      </c>
    </row>
    <row r="204" spans="36:56" ht="25.5" x14ac:dyDescent="0.2">
      <c r="AJ204" s="102" t="s">
        <v>340</v>
      </c>
      <c r="AK204" s="19" t="s">
        <v>325</v>
      </c>
      <c r="AL204" s="19" t="s">
        <v>21</v>
      </c>
      <c r="AM204" s="91"/>
      <c r="AN204" s="91"/>
      <c r="AO204" s="92"/>
      <c r="AP204" s="92"/>
      <c r="AQ204" s="92"/>
      <c r="AR204" s="92"/>
      <c r="AS204" s="92"/>
      <c r="AT204" s="92"/>
      <c r="AU204" s="92"/>
      <c r="AV204" s="92"/>
      <c r="AW204" s="92"/>
      <c r="AX204" s="92"/>
      <c r="AY204" s="92"/>
      <c r="AZ204" s="92"/>
      <c r="BA204" s="92"/>
      <c r="BB204" s="19">
        <v>9</v>
      </c>
      <c r="BC204" s="19">
        <v>4</v>
      </c>
      <c r="BD204" s="59">
        <v>0</v>
      </c>
    </row>
    <row r="205" spans="36:56" ht="25.5" x14ac:dyDescent="0.2">
      <c r="AJ205" s="102" t="s">
        <v>340</v>
      </c>
      <c r="AK205" s="19" t="s">
        <v>325</v>
      </c>
      <c r="AL205" s="19" t="s">
        <v>23</v>
      </c>
      <c r="AM205" s="91"/>
      <c r="AN205" s="91"/>
      <c r="AO205" s="92"/>
      <c r="AP205" s="92"/>
      <c r="AQ205" s="92"/>
      <c r="AR205" s="92"/>
      <c r="AS205" s="92"/>
      <c r="AT205" s="92"/>
      <c r="AU205" s="92"/>
      <c r="AV205" s="92"/>
      <c r="AW205" s="92"/>
      <c r="AX205" s="92"/>
      <c r="AY205" s="92"/>
      <c r="AZ205" s="92"/>
      <c r="BA205" s="92"/>
      <c r="BB205" s="19">
        <v>8</v>
      </c>
      <c r="BC205" s="19">
        <v>3</v>
      </c>
      <c r="BD205" s="59">
        <v>1</v>
      </c>
    </row>
    <row r="206" spans="36:56" ht="25.5" x14ac:dyDescent="0.2">
      <c r="AJ206" s="102" t="s">
        <v>340</v>
      </c>
      <c r="AK206" s="19" t="s">
        <v>325</v>
      </c>
      <c r="AL206" s="19" t="s">
        <v>25</v>
      </c>
      <c r="AM206" s="91"/>
      <c r="AN206" s="91"/>
      <c r="AO206" s="92"/>
      <c r="AP206" s="92"/>
      <c r="AQ206" s="92"/>
      <c r="AR206" s="92"/>
      <c r="AS206" s="92"/>
      <c r="AT206" s="92"/>
      <c r="AU206" s="92"/>
      <c r="AV206" s="92"/>
      <c r="AW206" s="92"/>
      <c r="AX206" s="92"/>
      <c r="AY206" s="92"/>
      <c r="AZ206" s="92"/>
      <c r="BA206" s="92"/>
      <c r="BB206" s="19">
        <v>10</v>
      </c>
      <c r="BC206" s="19">
        <v>1</v>
      </c>
      <c r="BD206" s="59">
        <v>1</v>
      </c>
    </row>
    <row r="207" spans="36:56" ht="25.5" x14ac:dyDescent="0.2">
      <c r="AJ207" s="102" t="s">
        <v>340</v>
      </c>
      <c r="AK207" s="19" t="s">
        <v>325</v>
      </c>
      <c r="AL207" s="19" t="s">
        <v>27</v>
      </c>
      <c r="AM207" s="91"/>
      <c r="AN207" s="91"/>
      <c r="AO207" s="92"/>
      <c r="AP207" s="92"/>
      <c r="AQ207" s="92"/>
      <c r="AR207" s="92"/>
      <c r="AS207" s="92"/>
      <c r="AT207" s="92"/>
      <c r="AU207" s="92"/>
      <c r="AV207" s="92"/>
      <c r="AW207" s="92"/>
      <c r="AX207" s="92"/>
      <c r="AY207" s="92"/>
      <c r="AZ207" s="92"/>
      <c r="BA207" s="92"/>
      <c r="BB207" s="19">
        <v>7</v>
      </c>
      <c r="BC207" s="19">
        <v>3</v>
      </c>
      <c r="BD207" s="59">
        <v>2</v>
      </c>
    </row>
    <row r="208" spans="36:56" ht="25.5" x14ac:dyDescent="0.2">
      <c r="AJ208" s="102" t="s">
        <v>340</v>
      </c>
      <c r="AK208" s="19" t="s">
        <v>325</v>
      </c>
      <c r="AL208" s="19" t="s">
        <v>29</v>
      </c>
      <c r="AM208" s="91"/>
      <c r="AN208" s="91"/>
      <c r="AO208" s="92"/>
      <c r="AP208" s="92"/>
      <c r="AQ208" s="92"/>
      <c r="AR208" s="92"/>
      <c r="AS208" s="92"/>
      <c r="AT208" s="92"/>
      <c r="AU208" s="92"/>
      <c r="AV208" s="92"/>
      <c r="AW208" s="92"/>
      <c r="AX208" s="92"/>
      <c r="AY208" s="92"/>
      <c r="AZ208" s="92"/>
      <c r="BA208" s="92"/>
      <c r="BB208" s="19">
        <v>9</v>
      </c>
      <c r="BC208" s="19">
        <v>3</v>
      </c>
      <c r="BD208" s="59">
        <v>0</v>
      </c>
    </row>
    <row r="209" spans="36:56" ht="25.5" x14ac:dyDescent="0.2">
      <c r="AJ209" s="102" t="s">
        <v>340</v>
      </c>
      <c r="AK209" s="19" t="s">
        <v>325</v>
      </c>
      <c r="AL209" s="19" t="s">
        <v>31</v>
      </c>
      <c r="AM209" s="91"/>
      <c r="AN209" s="91"/>
      <c r="AO209" s="92"/>
      <c r="AP209" s="92"/>
      <c r="AQ209" s="92"/>
      <c r="AR209" s="92"/>
      <c r="AS209" s="92"/>
      <c r="AT209" s="92"/>
      <c r="AU209" s="92"/>
      <c r="AV209" s="92"/>
      <c r="AW209" s="92"/>
      <c r="AX209" s="92"/>
      <c r="AY209" s="92"/>
      <c r="AZ209" s="92"/>
      <c r="BA209" s="92"/>
      <c r="BB209" s="19">
        <v>10</v>
      </c>
      <c r="BC209" s="19">
        <v>2</v>
      </c>
      <c r="BD209" s="59">
        <v>1</v>
      </c>
    </row>
    <row r="210" spans="36:56" ht="25.5" x14ac:dyDescent="0.2">
      <c r="AJ210" s="102" t="s">
        <v>340</v>
      </c>
      <c r="AK210" s="19" t="s">
        <v>325</v>
      </c>
      <c r="AL210" s="19" t="s">
        <v>33</v>
      </c>
      <c r="AM210" s="91"/>
      <c r="AN210" s="91"/>
      <c r="AO210" s="92"/>
      <c r="AP210" s="92"/>
      <c r="AQ210" s="92"/>
      <c r="AR210" s="92"/>
      <c r="AS210" s="92"/>
      <c r="AT210" s="92"/>
      <c r="AU210" s="92"/>
      <c r="AV210" s="92"/>
      <c r="AW210" s="92"/>
      <c r="AX210" s="92"/>
      <c r="AY210" s="92"/>
      <c r="AZ210" s="92"/>
      <c r="BA210" s="92"/>
      <c r="BB210" s="19">
        <v>8</v>
      </c>
      <c r="BC210" s="19">
        <v>4</v>
      </c>
      <c r="BD210" s="59">
        <v>1</v>
      </c>
    </row>
    <row r="211" spans="36:56" ht="25.5" x14ac:dyDescent="0.2">
      <c r="AJ211" s="102" t="s">
        <v>340</v>
      </c>
      <c r="AK211" s="19" t="s">
        <v>325</v>
      </c>
      <c r="AL211" s="19" t="s">
        <v>35</v>
      </c>
      <c r="AM211" s="91"/>
      <c r="AN211" s="91"/>
      <c r="AO211" s="92"/>
      <c r="AP211" s="92"/>
      <c r="AQ211" s="92"/>
      <c r="AR211" s="92"/>
      <c r="AS211" s="92"/>
      <c r="AT211" s="92"/>
      <c r="AU211" s="92"/>
      <c r="AV211" s="92"/>
      <c r="AW211" s="92"/>
      <c r="AX211" s="92"/>
      <c r="AY211" s="92"/>
      <c r="AZ211" s="92"/>
      <c r="BA211" s="92"/>
      <c r="BB211" s="19">
        <v>10</v>
      </c>
      <c r="BC211" s="19">
        <v>2</v>
      </c>
      <c r="BD211" s="59">
        <v>0</v>
      </c>
    </row>
    <row r="212" spans="36:56" ht="25.5" x14ac:dyDescent="0.2">
      <c r="AJ212" s="102" t="s">
        <v>340</v>
      </c>
      <c r="AK212" s="19" t="s">
        <v>325</v>
      </c>
      <c r="AL212" s="19" t="s">
        <v>37</v>
      </c>
      <c r="AM212" s="91"/>
      <c r="AN212" s="91"/>
      <c r="AO212" s="92"/>
      <c r="AP212" s="92"/>
      <c r="AQ212" s="92"/>
      <c r="AR212" s="92"/>
      <c r="AS212" s="92"/>
      <c r="AT212" s="92"/>
      <c r="AU212" s="92"/>
      <c r="AV212" s="92"/>
      <c r="AW212" s="92"/>
      <c r="AX212" s="92"/>
      <c r="AY212" s="92"/>
      <c r="AZ212" s="92"/>
      <c r="BA212" s="92"/>
      <c r="BB212" s="19">
        <v>9</v>
      </c>
      <c r="BC212" s="19">
        <v>3</v>
      </c>
      <c r="BD212" s="59">
        <v>0</v>
      </c>
    </row>
    <row r="213" spans="36:56" ht="25.5" x14ac:dyDescent="0.2">
      <c r="AJ213" s="102" t="s">
        <v>340</v>
      </c>
      <c r="AK213" s="19" t="s">
        <v>325</v>
      </c>
      <c r="AL213" s="19" t="s">
        <v>39</v>
      </c>
      <c r="AM213" s="91"/>
      <c r="AN213" s="91"/>
      <c r="AO213" s="92"/>
      <c r="AP213" s="92"/>
      <c r="AQ213" s="92"/>
      <c r="AR213" s="92"/>
      <c r="AS213" s="92"/>
      <c r="AT213" s="92"/>
      <c r="AU213" s="92"/>
      <c r="AV213" s="92"/>
      <c r="AW213" s="92"/>
      <c r="AX213" s="92"/>
      <c r="AY213" s="92"/>
      <c r="AZ213" s="92"/>
      <c r="BA213" s="92"/>
      <c r="BB213" s="19">
        <v>8</v>
      </c>
      <c r="BC213" s="19">
        <v>5</v>
      </c>
      <c r="BD213" s="59">
        <v>0</v>
      </c>
    </row>
    <row r="214" spans="36:56" ht="25.5" x14ac:dyDescent="0.2">
      <c r="AJ214" s="102" t="s">
        <v>340</v>
      </c>
      <c r="AK214" s="19" t="s">
        <v>325</v>
      </c>
      <c r="AL214" s="19" t="s">
        <v>41</v>
      </c>
      <c r="AM214" s="91"/>
      <c r="AN214" s="91"/>
      <c r="AO214" s="92"/>
      <c r="AP214" s="92"/>
      <c r="AQ214" s="92"/>
      <c r="AR214" s="92"/>
      <c r="AS214" s="92"/>
      <c r="AT214" s="92"/>
      <c r="AU214" s="92"/>
      <c r="AV214" s="92"/>
      <c r="AW214" s="92"/>
      <c r="AX214" s="92"/>
      <c r="AY214" s="92"/>
      <c r="AZ214" s="92"/>
      <c r="BA214" s="92"/>
      <c r="BB214" s="19">
        <v>10</v>
      </c>
      <c r="BC214" s="19">
        <v>1</v>
      </c>
      <c r="BD214" s="59">
        <v>1</v>
      </c>
    </row>
    <row r="215" spans="36:56" ht="25.5" x14ac:dyDescent="0.2">
      <c r="AJ215" s="102" t="s">
        <v>340</v>
      </c>
      <c r="AK215" s="19" t="s">
        <v>325</v>
      </c>
      <c r="AL215" s="19" t="s">
        <v>43</v>
      </c>
      <c r="AM215" s="91"/>
      <c r="AN215" s="91"/>
      <c r="AO215" s="92"/>
      <c r="AP215" s="92"/>
      <c r="AQ215" s="92"/>
      <c r="AR215" s="92"/>
      <c r="AS215" s="92"/>
      <c r="AT215" s="92"/>
      <c r="AU215" s="92"/>
      <c r="AV215" s="92"/>
      <c r="AW215" s="92"/>
      <c r="AX215" s="92"/>
      <c r="AY215" s="92"/>
      <c r="AZ215" s="92"/>
      <c r="BA215" s="92"/>
      <c r="BB215" s="19">
        <v>9</v>
      </c>
      <c r="BC215" s="19">
        <v>3</v>
      </c>
      <c r="BD215" s="59">
        <v>1</v>
      </c>
    </row>
    <row r="216" spans="36:56" ht="25.5" x14ac:dyDescent="0.2">
      <c r="AJ216" s="102" t="s">
        <v>340</v>
      </c>
      <c r="AK216" s="19" t="s">
        <v>325</v>
      </c>
      <c r="AL216" s="19" t="s">
        <v>45</v>
      </c>
      <c r="AM216" s="91"/>
      <c r="AN216" s="91"/>
      <c r="AO216" s="92"/>
      <c r="AP216" s="92"/>
      <c r="AQ216" s="92"/>
      <c r="AR216" s="92"/>
      <c r="AS216" s="92"/>
      <c r="AT216" s="92"/>
      <c r="AU216" s="92"/>
      <c r="AV216" s="92"/>
      <c r="AW216" s="92"/>
      <c r="AX216" s="92"/>
      <c r="AY216" s="92"/>
      <c r="AZ216" s="92"/>
      <c r="BA216" s="92"/>
      <c r="BB216" s="19">
        <v>8</v>
      </c>
      <c r="BC216" s="19">
        <v>4</v>
      </c>
      <c r="BD216" s="59">
        <v>0</v>
      </c>
    </row>
    <row r="217" spans="36:56" ht="25.5" x14ac:dyDescent="0.2">
      <c r="AJ217" s="102" t="s">
        <v>340</v>
      </c>
      <c r="AK217" s="19" t="s">
        <v>325</v>
      </c>
      <c r="AL217" s="19" t="s">
        <v>47</v>
      </c>
      <c r="AM217" s="91"/>
      <c r="AN217" s="91"/>
      <c r="AO217" s="92"/>
      <c r="AP217" s="92"/>
      <c r="AQ217" s="92"/>
      <c r="AR217" s="92"/>
      <c r="AS217" s="92"/>
      <c r="AT217" s="92"/>
      <c r="AU217" s="92"/>
      <c r="AV217" s="92"/>
      <c r="AW217" s="92"/>
      <c r="AX217" s="92"/>
      <c r="AY217" s="92"/>
      <c r="AZ217" s="92"/>
      <c r="BA217" s="92"/>
      <c r="BB217" s="19">
        <v>10</v>
      </c>
      <c r="BC217" s="19">
        <v>2</v>
      </c>
      <c r="BD217" s="59">
        <v>0</v>
      </c>
    </row>
    <row r="218" spans="36:56" ht="25.5" x14ac:dyDescent="0.2">
      <c r="AJ218" s="102" t="s">
        <v>340</v>
      </c>
      <c r="AK218" s="19" t="s">
        <v>325</v>
      </c>
      <c r="AL218" s="19" t="s">
        <v>49</v>
      </c>
      <c r="AM218" s="91"/>
      <c r="AN218" s="91"/>
      <c r="AO218" s="92"/>
      <c r="AP218" s="92"/>
      <c r="AQ218" s="92"/>
      <c r="AR218" s="92"/>
      <c r="AS218" s="92"/>
      <c r="AT218" s="92"/>
      <c r="AU218" s="92"/>
      <c r="AV218" s="92"/>
      <c r="AW218" s="92"/>
      <c r="AX218" s="92"/>
      <c r="AY218" s="92"/>
      <c r="AZ218" s="92"/>
      <c r="BA218" s="92"/>
      <c r="BB218" s="19">
        <v>7</v>
      </c>
      <c r="BC218" s="19">
        <v>4</v>
      </c>
      <c r="BD218" s="59">
        <v>1</v>
      </c>
    </row>
    <row r="219" spans="36:56" ht="25.5" x14ac:dyDescent="0.2">
      <c r="AJ219" s="102" t="s">
        <v>340</v>
      </c>
      <c r="AK219" s="19" t="s">
        <v>325</v>
      </c>
      <c r="AL219" s="19" t="s">
        <v>51</v>
      </c>
      <c r="AM219" s="91"/>
      <c r="AN219" s="91"/>
      <c r="AO219" s="92"/>
      <c r="AP219" s="92"/>
      <c r="AQ219" s="92"/>
      <c r="AR219" s="92"/>
      <c r="AS219" s="92"/>
      <c r="AT219" s="92"/>
      <c r="AU219" s="92"/>
      <c r="AV219" s="92"/>
      <c r="AW219" s="92"/>
      <c r="AX219" s="92"/>
      <c r="AY219" s="92"/>
      <c r="AZ219" s="92"/>
      <c r="BA219" s="92"/>
      <c r="BB219" s="19">
        <v>9</v>
      </c>
      <c r="BC219" s="19">
        <v>2</v>
      </c>
      <c r="BD219" s="59">
        <v>2</v>
      </c>
    </row>
    <row r="220" spans="36:56" x14ac:dyDescent="0.2">
      <c r="AJ220" s="102" t="s">
        <v>340</v>
      </c>
      <c r="AK220" s="19" t="s">
        <v>326</v>
      </c>
      <c r="AL220" s="19" t="s">
        <v>54</v>
      </c>
      <c r="AM220" s="91"/>
      <c r="AN220" s="91"/>
      <c r="AO220" s="92"/>
      <c r="AP220" s="92"/>
      <c r="AQ220" s="92"/>
      <c r="AR220" s="92"/>
      <c r="AS220" s="92"/>
      <c r="AT220" s="92"/>
      <c r="AU220" s="92"/>
      <c r="AV220" s="92"/>
      <c r="AW220" s="92"/>
      <c r="AX220" s="92"/>
      <c r="AY220" s="92"/>
      <c r="AZ220" s="92"/>
      <c r="BA220" s="92"/>
      <c r="BB220" s="19">
        <v>9</v>
      </c>
      <c r="BC220" s="19">
        <v>3</v>
      </c>
      <c r="BD220" s="59">
        <v>1</v>
      </c>
    </row>
    <row r="221" spans="36:56" x14ac:dyDescent="0.2">
      <c r="AJ221" s="102" t="s">
        <v>340</v>
      </c>
      <c r="AK221" s="19" t="s">
        <v>326</v>
      </c>
      <c r="AL221" s="19" t="s">
        <v>56</v>
      </c>
      <c r="AM221" s="91"/>
      <c r="AN221" s="91"/>
      <c r="AO221" s="92"/>
      <c r="AP221" s="92"/>
      <c r="AQ221" s="92"/>
      <c r="AR221" s="92"/>
      <c r="AS221" s="92"/>
      <c r="AT221" s="92"/>
      <c r="AU221" s="92"/>
      <c r="AV221" s="92"/>
      <c r="AW221" s="92"/>
      <c r="AX221" s="92"/>
      <c r="AY221" s="92"/>
      <c r="AZ221" s="92"/>
      <c r="BA221" s="92"/>
      <c r="BB221" s="19">
        <v>8</v>
      </c>
      <c r="BC221" s="19">
        <v>4</v>
      </c>
      <c r="BD221" s="59">
        <v>0</v>
      </c>
    </row>
    <row r="222" spans="36:56" x14ac:dyDescent="0.2">
      <c r="AJ222" s="102" t="s">
        <v>340</v>
      </c>
      <c r="AK222" s="19" t="s">
        <v>326</v>
      </c>
      <c r="AL222" s="19" t="s">
        <v>58</v>
      </c>
      <c r="AM222" s="91"/>
      <c r="AN222" s="91"/>
      <c r="AO222" s="92"/>
      <c r="AP222" s="92"/>
      <c r="AQ222" s="92"/>
      <c r="AR222" s="92"/>
      <c r="AS222" s="92"/>
      <c r="AT222" s="92"/>
      <c r="AU222" s="92"/>
      <c r="AV222" s="92"/>
      <c r="AW222" s="92"/>
      <c r="AX222" s="92"/>
      <c r="AY222" s="92"/>
      <c r="AZ222" s="92"/>
      <c r="BA222" s="92"/>
      <c r="BB222" s="19">
        <v>10</v>
      </c>
      <c r="BC222" s="19">
        <v>2</v>
      </c>
      <c r="BD222" s="59">
        <v>1</v>
      </c>
    </row>
    <row r="223" spans="36:56" x14ac:dyDescent="0.2">
      <c r="AJ223" s="102" t="s">
        <v>340</v>
      </c>
      <c r="AK223" s="19" t="s">
        <v>326</v>
      </c>
      <c r="AL223" s="19" t="s">
        <v>60</v>
      </c>
      <c r="AM223" s="91"/>
      <c r="AN223" s="91"/>
      <c r="AO223" s="92"/>
      <c r="AP223" s="92"/>
      <c r="AQ223" s="92"/>
      <c r="AR223" s="92"/>
      <c r="AS223" s="92"/>
      <c r="AT223" s="92"/>
      <c r="AU223" s="92"/>
      <c r="AV223" s="92"/>
      <c r="AW223" s="92"/>
      <c r="AX223" s="92"/>
      <c r="AY223" s="92"/>
      <c r="AZ223" s="92"/>
      <c r="BA223" s="92"/>
      <c r="BB223" s="19">
        <v>9</v>
      </c>
      <c r="BC223" s="19">
        <v>3</v>
      </c>
      <c r="BD223" s="59">
        <v>0</v>
      </c>
    </row>
    <row r="224" spans="36:56" x14ac:dyDescent="0.2">
      <c r="AJ224" s="102" t="s">
        <v>340</v>
      </c>
      <c r="AK224" s="19" t="s">
        <v>326</v>
      </c>
      <c r="AL224" s="19" t="s">
        <v>62</v>
      </c>
      <c r="AM224" s="91"/>
      <c r="AN224" s="91"/>
      <c r="AO224" s="92"/>
      <c r="AP224" s="92"/>
      <c r="AQ224" s="92"/>
      <c r="AR224" s="92"/>
      <c r="AS224" s="92"/>
      <c r="AT224" s="92"/>
      <c r="AU224" s="92"/>
      <c r="AV224" s="92"/>
      <c r="AW224" s="92"/>
      <c r="AX224" s="92"/>
      <c r="AY224" s="92"/>
      <c r="AZ224" s="92"/>
      <c r="BA224" s="92"/>
      <c r="BB224" s="19">
        <v>8</v>
      </c>
      <c r="BC224" s="19">
        <v>5</v>
      </c>
      <c r="BD224" s="59">
        <v>0</v>
      </c>
    </row>
    <row r="225" spans="36:56" x14ac:dyDescent="0.2">
      <c r="AJ225" s="102" t="s">
        <v>340</v>
      </c>
      <c r="AK225" s="19" t="s">
        <v>326</v>
      </c>
      <c r="AL225" s="19" t="s">
        <v>64</v>
      </c>
      <c r="AM225" s="91"/>
      <c r="AN225" s="91"/>
      <c r="AO225" s="92"/>
      <c r="AP225" s="92"/>
      <c r="AQ225" s="92"/>
      <c r="AR225" s="92"/>
      <c r="AS225" s="92"/>
      <c r="AT225" s="92"/>
      <c r="AU225" s="92"/>
      <c r="AV225" s="92"/>
      <c r="AW225" s="92"/>
      <c r="AX225" s="92"/>
      <c r="AY225" s="92"/>
      <c r="AZ225" s="92"/>
      <c r="BA225" s="92"/>
      <c r="BB225" s="19">
        <v>10</v>
      </c>
      <c r="BC225" s="19">
        <v>2</v>
      </c>
      <c r="BD225" s="59">
        <v>0</v>
      </c>
    </row>
    <row r="226" spans="36:56" x14ac:dyDescent="0.2">
      <c r="AJ226" s="102" t="s">
        <v>340</v>
      </c>
      <c r="AK226" s="19" t="s">
        <v>326</v>
      </c>
      <c r="AL226" s="19" t="s">
        <v>66</v>
      </c>
      <c r="AM226" s="91"/>
      <c r="AN226" s="91"/>
      <c r="AO226" s="92"/>
      <c r="AP226" s="92"/>
      <c r="AQ226" s="92"/>
      <c r="AR226" s="92"/>
      <c r="AS226" s="92"/>
      <c r="AT226" s="92"/>
      <c r="AU226" s="92"/>
      <c r="AV226" s="92"/>
      <c r="AW226" s="92"/>
      <c r="AX226" s="92"/>
      <c r="AY226" s="92"/>
      <c r="AZ226" s="92"/>
      <c r="BA226" s="92"/>
      <c r="BB226" s="19">
        <v>9</v>
      </c>
      <c r="BC226" s="19">
        <v>3</v>
      </c>
      <c r="BD226" s="59">
        <v>1</v>
      </c>
    </row>
    <row r="227" spans="36:56" x14ac:dyDescent="0.2">
      <c r="AJ227" s="102" t="s">
        <v>340</v>
      </c>
      <c r="AK227" s="19" t="s">
        <v>326</v>
      </c>
      <c r="AL227" s="19" t="s">
        <v>68</v>
      </c>
      <c r="AM227" s="91"/>
      <c r="AN227" s="91"/>
      <c r="AO227" s="92"/>
      <c r="AP227" s="92"/>
      <c r="AQ227" s="92"/>
      <c r="AR227" s="92"/>
      <c r="AS227" s="92"/>
      <c r="AT227" s="92"/>
      <c r="AU227" s="92"/>
      <c r="AV227" s="92"/>
      <c r="AW227" s="92"/>
      <c r="AX227" s="92"/>
      <c r="AY227" s="92"/>
      <c r="AZ227" s="92"/>
      <c r="BA227" s="92"/>
      <c r="BB227" s="19">
        <v>8</v>
      </c>
      <c r="BC227" s="19">
        <v>4</v>
      </c>
      <c r="BD227" s="59">
        <v>0</v>
      </c>
    </row>
    <row r="228" spans="36:56" x14ac:dyDescent="0.2">
      <c r="AJ228" s="102" t="s">
        <v>340</v>
      </c>
      <c r="AK228" s="19" t="s">
        <v>326</v>
      </c>
      <c r="AL228" s="19" t="s">
        <v>70</v>
      </c>
      <c r="AM228" s="91"/>
      <c r="AN228" s="91"/>
      <c r="AO228" s="92"/>
      <c r="AP228" s="92"/>
      <c r="AQ228" s="92"/>
      <c r="AR228" s="92"/>
      <c r="AS228" s="92"/>
      <c r="AT228" s="92"/>
      <c r="AU228" s="92"/>
      <c r="AV228" s="92"/>
      <c r="AW228" s="92"/>
      <c r="AX228" s="92"/>
      <c r="AY228" s="92"/>
      <c r="AZ228" s="92"/>
      <c r="BA228" s="92"/>
      <c r="BB228" s="19">
        <v>10</v>
      </c>
      <c r="BC228" s="19">
        <v>1</v>
      </c>
      <c r="BD228" s="59">
        <v>1</v>
      </c>
    </row>
    <row r="229" spans="36:56" x14ac:dyDescent="0.2">
      <c r="AJ229" s="102" t="s">
        <v>340</v>
      </c>
      <c r="AK229" s="19" t="s">
        <v>326</v>
      </c>
      <c r="AL229" s="19" t="s">
        <v>72</v>
      </c>
      <c r="AM229" s="91"/>
      <c r="AN229" s="91"/>
      <c r="AO229" s="92"/>
      <c r="AP229" s="92"/>
      <c r="AQ229" s="92"/>
      <c r="AR229" s="92"/>
      <c r="AS229" s="92"/>
      <c r="AT229" s="92"/>
      <c r="AU229" s="92"/>
      <c r="AV229" s="92"/>
      <c r="AW229" s="92"/>
      <c r="AX229" s="92"/>
      <c r="AY229" s="92"/>
      <c r="AZ229" s="92"/>
      <c r="BA229" s="92"/>
      <c r="BB229" s="19">
        <v>7</v>
      </c>
      <c r="BC229" s="19">
        <v>5</v>
      </c>
      <c r="BD229" s="59">
        <v>1</v>
      </c>
    </row>
    <row r="230" spans="36:56" x14ac:dyDescent="0.2">
      <c r="AJ230" s="102" t="s">
        <v>340</v>
      </c>
      <c r="AK230" s="19" t="s">
        <v>326</v>
      </c>
      <c r="AL230" s="19" t="s">
        <v>74</v>
      </c>
      <c r="AM230" s="91"/>
      <c r="AN230" s="91"/>
      <c r="AO230" s="92"/>
      <c r="AP230" s="92"/>
      <c r="AQ230" s="92"/>
      <c r="AR230" s="92"/>
      <c r="AS230" s="92"/>
      <c r="AT230" s="92"/>
      <c r="AU230" s="92"/>
      <c r="AV230" s="92"/>
      <c r="AW230" s="92"/>
      <c r="AX230" s="92"/>
      <c r="AY230" s="92"/>
      <c r="AZ230" s="92"/>
      <c r="BA230" s="92"/>
      <c r="BB230" s="19">
        <v>9</v>
      </c>
      <c r="BC230" s="19">
        <v>3</v>
      </c>
      <c r="BD230" s="59">
        <v>0</v>
      </c>
    </row>
    <row r="231" spans="36:56" x14ac:dyDescent="0.2">
      <c r="AJ231" s="102" t="s">
        <v>340</v>
      </c>
      <c r="AK231" s="19" t="s">
        <v>326</v>
      </c>
      <c r="AL231" s="19" t="s">
        <v>76</v>
      </c>
      <c r="AM231" s="91"/>
      <c r="AN231" s="91"/>
      <c r="AO231" s="92"/>
      <c r="AP231" s="92"/>
      <c r="AQ231" s="92"/>
      <c r="AR231" s="92"/>
      <c r="AS231" s="92"/>
      <c r="AT231" s="92"/>
      <c r="AU231" s="92"/>
      <c r="AV231" s="92"/>
      <c r="AW231" s="92"/>
      <c r="AX231" s="92"/>
      <c r="AY231" s="92"/>
      <c r="AZ231" s="92"/>
      <c r="BA231" s="92"/>
      <c r="BB231" s="19">
        <v>8</v>
      </c>
      <c r="BC231" s="19">
        <v>4</v>
      </c>
      <c r="BD231" s="59">
        <v>0</v>
      </c>
    </row>
    <row r="232" spans="36:56" x14ac:dyDescent="0.2">
      <c r="AJ232" s="102" t="s">
        <v>340</v>
      </c>
      <c r="AK232" s="19" t="s">
        <v>326</v>
      </c>
      <c r="AL232" s="19" t="s">
        <v>78</v>
      </c>
      <c r="AM232" s="91"/>
      <c r="AN232" s="91"/>
      <c r="AO232" s="92"/>
      <c r="AP232" s="92"/>
      <c r="AQ232" s="92"/>
      <c r="AR232" s="92"/>
      <c r="AS232" s="92"/>
      <c r="AT232" s="92"/>
      <c r="AU232" s="92"/>
      <c r="AV232" s="92"/>
      <c r="AW232" s="92"/>
      <c r="AX232" s="92"/>
      <c r="AY232" s="92"/>
      <c r="AZ232" s="92"/>
      <c r="BA232" s="92"/>
      <c r="BB232" s="19">
        <v>10</v>
      </c>
      <c r="BC232" s="19">
        <v>2</v>
      </c>
      <c r="BD232" s="59">
        <v>1</v>
      </c>
    </row>
    <row r="233" spans="36:56" x14ac:dyDescent="0.2">
      <c r="AJ233" s="102" t="s">
        <v>340</v>
      </c>
      <c r="AK233" s="19" t="s">
        <v>326</v>
      </c>
      <c r="AL233" s="19" t="s">
        <v>79</v>
      </c>
      <c r="AM233" s="91"/>
      <c r="AN233" s="91"/>
      <c r="AO233" s="92"/>
      <c r="AP233" s="92"/>
      <c r="AQ233" s="92"/>
      <c r="AR233" s="92"/>
      <c r="AS233" s="92"/>
      <c r="AT233" s="92"/>
      <c r="AU233" s="92"/>
      <c r="AV233" s="92"/>
      <c r="AW233" s="92"/>
      <c r="AX233" s="92"/>
      <c r="AY233" s="92"/>
      <c r="AZ233" s="92"/>
      <c r="BA233" s="92"/>
      <c r="BB233" s="19">
        <v>9</v>
      </c>
      <c r="BC233" s="19">
        <v>3</v>
      </c>
      <c r="BD233" s="59">
        <v>0</v>
      </c>
    </row>
    <row r="234" spans="36:56" x14ac:dyDescent="0.2">
      <c r="AJ234" s="102" t="s">
        <v>340</v>
      </c>
      <c r="AK234" s="19" t="s">
        <v>326</v>
      </c>
      <c r="AL234" s="19" t="s">
        <v>81</v>
      </c>
      <c r="AM234" s="91"/>
      <c r="AN234" s="91"/>
      <c r="AO234" s="92"/>
      <c r="AP234" s="92"/>
      <c r="AQ234" s="92"/>
      <c r="AR234" s="92"/>
      <c r="AS234" s="92"/>
      <c r="AT234" s="92"/>
      <c r="AU234" s="92"/>
      <c r="AV234" s="92"/>
      <c r="AW234" s="92"/>
      <c r="AX234" s="92"/>
      <c r="AY234" s="92"/>
      <c r="AZ234" s="92"/>
      <c r="BA234" s="92"/>
      <c r="BB234" s="19">
        <v>8</v>
      </c>
      <c r="BC234" s="19">
        <v>5</v>
      </c>
      <c r="BD234" s="59">
        <v>0</v>
      </c>
    </row>
    <row r="235" spans="36:56" x14ac:dyDescent="0.2">
      <c r="AJ235" s="102" t="s">
        <v>340</v>
      </c>
      <c r="AK235" s="19" t="s">
        <v>326</v>
      </c>
      <c r="AL235" s="19" t="s">
        <v>83</v>
      </c>
      <c r="AM235" s="91"/>
      <c r="AN235" s="91"/>
      <c r="AO235" s="92"/>
      <c r="AP235" s="92"/>
      <c r="AQ235" s="92"/>
      <c r="AR235" s="92"/>
      <c r="AS235" s="92"/>
      <c r="AT235" s="92"/>
      <c r="AU235" s="92"/>
      <c r="AV235" s="92"/>
      <c r="AW235" s="92"/>
      <c r="AX235" s="92"/>
      <c r="AY235" s="92"/>
      <c r="AZ235" s="92"/>
      <c r="BA235" s="92"/>
      <c r="BB235" s="19">
        <v>10</v>
      </c>
      <c r="BC235" s="19">
        <v>1</v>
      </c>
      <c r="BD235" s="59">
        <v>1</v>
      </c>
    </row>
    <row r="236" spans="36:56" x14ac:dyDescent="0.2">
      <c r="AJ236" s="102" t="s">
        <v>340</v>
      </c>
      <c r="AK236" s="19" t="s">
        <v>326</v>
      </c>
      <c r="AL236" s="19" t="s">
        <v>85</v>
      </c>
      <c r="AM236" s="91"/>
      <c r="AN236" s="91"/>
      <c r="AO236" s="92"/>
      <c r="AP236" s="92"/>
      <c r="AQ236" s="92"/>
      <c r="AR236" s="92"/>
      <c r="AS236" s="92"/>
      <c r="AT236" s="92"/>
      <c r="AU236" s="92"/>
      <c r="AV236" s="92"/>
      <c r="AW236" s="92"/>
      <c r="AX236" s="92"/>
      <c r="AY236" s="92"/>
      <c r="AZ236" s="92"/>
      <c r="BA236" s="92"/>
      <c r="BB236" s="19">
        <v>9</v>
      </c>
      <c r="BC236" s="19">
        <v>3</v>
      </c>
      <c r="BD236" s="59">
        <v>0</v>
      </c>
    </row>
    <row r="237" spans="36:56" x14ac:dyDescent="0.2">
      <c r="AJ237" s="102" t="s">
        <v>340</v>
      </c>
      <c r="AK237" s="19" t="s">
        <v>326</v>
      </c>
      <c r="AL237" s="19" t="s">
        <v>87</v>
      </c>
      <c r="AM237" s="91"/>
      <c r="AN237" s="91"/>
      <c r="AO237" s="92"/>
      <c r="AP237" s="92"/>
      <c r="AQ237" s="92"/>
      <c r="AR237" s="92"/>
      <c r="AS237" s="92"/>
      <c r="AT237" s="92"/>
      <c r="AU237" s="92"/>
      <c r="AV237" s="92"/>
      <c r="AW237" s="92"/>
      <c r="AX237" s="92"/>
      <c r="AY237" s="92"/>
      <c r="AZ237" s="92"/>
      <c r="BA237" s="92"/>
      <c r="BB237" s="19">
        <v>8</v>
      </c>
      <c r="BC237" s="19">
        <v>4</v>
      </c>
      <c r="BD237" s="59">
        <v>1</v>
      </c>
    </row>
    <row r="238" spans="36:56" x14ac:dyDescent="0.2">
      <c r="AJ238" s="102" t="s">
        <v>340</v>
      </c>
      <c r="AK238" s="19" t="s">
        <v>326</v>
      </c>
      <c r="AL238" s="19" t="s">
        <v>89</v>
      </c>
      <c r="AM238" s="91"/>
      <c r="AN238" s="91"/>
      <c r="AO238" s="92"/>
      <c r="AP238" s="92"/>
      <c r="AQ238" s="92"/>
      <c r="AR238" s="92"/>
      <c r="AS238" s="92"/>
      <c r="AT238" s="92"/>
      <c r="AU238" s="92"/>
      <c r="AV238" s="92"/>
      <c r="AW238" s="92"/>
      <c r="AX238" s="92"/>
      <c r="AY238" s="92"/>
      <c r="AZ238" s="92"/>
      <c r="BA238" s="92"/>
      <c r="BB238" s="19">
        <v>10</v>
      </c>
      <c r="BC238" s="19">
        <v>2</v>
      </c>
      <c r="BD238" s="59">
        <v>0</v>
      </c>
    </row>
    <row r="239" spans="36:56" x14ac:dyDescent="0.2">
      <c r="AJ239" s="102" t="s">
        <v>340</v>
      </c>
      <c r="AK239" s="19" t="s">
        <v>326</v>
      </c>
      <c r="AL239" s="19" t="s">
        <v>91</v>
      </c>
      <c r="AM239" s="91"/>
      <c r="AN239" s="91"/>
      <c r="AO239" s="92"/>
      <c r="AP239" s="92"/>
      <c r="AQ239" s="92"/>
      <c r="AR239" s="92"/>
      <c r="AS239" s="92"/>
      <c r="AT239" s="92"/>
      <c r="AU239" s="92"/>
      <c r="AV239" s="92"/>
      <c r="AW239" s="92"/>
      <c r="AX239" s="92"/>
      <c r="AY239" s="92"/>
      <c r="AZ239" s="92"/>
      <c r="BA239" s="92"/>
      <c r="BB239" s="19">
        <v>7</v>
      </c>
      <c r="BC239" s="19">
        <v>4</v>
      </c>
      <c r="BD239" s="59">
        <v>2</v>
      </c>
    </row>
    <row r="240" spans="36:56" x14ac:dyDescent="0.2">
      <c r="AJ240" s="102" t="s">
        <v>340</v>
      </c>
      <c r="AK240" s="19" t="s">
        <v>326</v>
      </c>
      <c r="AL240" s="19" t="s">
        <v>93</v>
      </c>
      <c r="AM240" s="91"/>
      <c r="AN240" s="91"/>
      <c r="AO240" s="92"/>
      <c r="AP240" s="92"/>
      <c r="AQ240" s="92"/>
      <c r="AR240" s="92"/>
      <c r="AS240" s="92"/>
      <c r="AT240" s="92"/>
      <c r="AU240" s="92"/>
      <c r="AV240" s="92"/>
      <c r="AW240" s="92"/>
      <c r="AX240" s="92"/>
      <c r="AY240" s="92"/>
      <c r="AZ240" s="92"/>
      <c r="BA240" s="92"/>
      <c r="BB240" s="19">
        <v>9</v>
      </c>
      <c r="BC240" s="19">
        <v>3</v>
      </c>
      <c r="BD240" s="59">
        <v>1</v>
      </c>
    </row>
    <row r="241" spans="36:56" x14ac:dyDescent="0.2">
      <c r="AJ241" s="102" t="s">
        <v>340</v>
      </c>
      <c r="AK241" s="19" t="s">
        <v>326</v>
      </c>
      <c r="AL241" s="19" t="s">
        <v>94</v>
      </c>
      <c r="AM241" s="91"/>
      <c r="AN241" s="91"/>
      <c r="AO241" s="92"/>
      <c r="AP241" s="92"/>
      <c r="AQ241" s="92"/>
      <c r="AR241" s="92"/>
      <c r="AS241" s="92"/>
      <c r="AT241" s="92"/>
      <c r="AU241" s="92"/>
      <c r="AV241" s="92"/>
      <c r="AW241" s="92"/>
      <c r="AX241" s="92"/>
      <c r="AY241" s="92"/>
      <c r="AZ241" s="92"/>
      <c r="BA241" s="92"/>
      <c r="BB241" s="19">
        <v>8</v>
      </c>
      <c r="BC241" s="19">
        <v>4</v>
      </c>
      <c r="BD241" s="59">
        <v>1</v>
      </c>
    </row>
    <row r="242" spans="36:56" x14ac:dyDescent="0.2">
      <c r="AJ242" s="102" t="s">
        <v>340</v>
      </c>
      <c r="AK242" s="19" t="s">
        <v>326</v>
      </c>
      <c r="AL242" s="19" t="s">
        <v>96</v>
      </c>
      <c r="AM242" s="91"/>
      <c r="AN242" s="91"/>
      <c r="AO242" s="92"/>
      <c r="AP242" s="92"/>
      <c r="AQ242" s="92"/>
      <c r="AR242" s="92"/>
      <c r="AS242" s="92"/>
      <c r="AT242" s="92"/>
      <c r="AU242" s="92"/>
      <c r="AV242" s="92"/>
      <c r="AW242" s="92"/>
      <c r="AX242" s="92"/>
      <c r="AY242" s="92"/>
      <c r="AZ242" s="92"/>
      <c r="BA242" s="92"/>
      <c r="BB242" s="19">
        <v>10</v>
      </c>
      <c r="BC242" s="19">
        <v>1</v>
      </c>
      <c r="BD242" s="59">
        <v>0</v>
      </c>
    </row>
    <row r="243" spans="36:56" x14ac:dyDescent="0.2">
      <c r="AJ243" s="102" t="s">
        <v>340</v>
      </c>
      <c r="AK243" s="19" t="s">
        <v>326</v>
      </c>
      <c r="AL243" s="19" t="s">
        <v>98</v>
      </c>
      <c r="AM243" s="91"/>
      <c r="AN243" s="91"/>
      <c r="AO243" s="92"/>
      <c r="AP243" s="92"/>
      <c r="AQ243" s="92"/>
      <c r="AR243" s="92"/>
      <c r="AS243" s="92"/>
      <c r="AT243" s="92"/>
      <c r="AU243" s="92"/>
      <c r="AV243" s="92"/>
      <c r="AW243" s="92"/>
      <c r="AX243" s="92"/>
      <c r="AY243" s="92"/>
      <c r="AZ243" s="92"/>
      <c r="BA243" s="92"/>
      <c r="BB243" s="19">
        <v>8</v>
      </c>
      <c r="BC243" s="19">
        <v>5</v>
      </c>
      <c r="BD243" s="59">
        <v>1</v>
      </c>
    </row>
    <row r="244" spans="36:56" x14ac:dyDescent="0.2">
      <c r="AJ244" s="102" t="s">
        <v>340</v>
      </c>
      <c r="AK244" s="19" t="s">
        <v>326</v>
      </c>
      <c r="AL244" s="19" t="s">
        <v>247</v>
      </c>
      <c r="AM244" s="91"/>
      <c r="AN244" s="91"/>
      <c r="AO244" s="92"/>
      <c r="AP244" s="92"/>
      <c r="AQ244" s="92"/>
      <c r="AR244" s="92"/>
      <c r="AS244" s="92"/>
      <c r="AT244" s="92"/>
      <c r="AU244" s="92"/>
      <c r="AV244" s="92"/>
      <c r="AW244" s="92"/>
      <c r="AX244" s="92"/>
      <c r="AY244" s="92"/>
      <c r="AZ244" s="92"/>
      <c r="BA244" s="92"/>
      <c r="BB244" s="19">
        <v>9</v>
      </c>
      <c r="BC244" s="19">
        <v>3</v>
      </c>
      <c r="BD244" s="59">
        <v>0</v>
      </c>
    </row>
    <row r="245" spans="36:56" x14ac:dyDescent="0.2">
      <c r="AJ245" s="102" t="s">
        <v>340</v>
      </c>
      <c r="AK245" s="19" t="s">
        <v>327</v>
      </c>
      <c r="AL245" s="19" t="s">
        <v>100</v>
      </c>
      <c r="AM245" s="91"/>
      <c r="AN245" s="91"/>
      <c r="AO245" s="92"/>
      <c r="AP245" s="92"/>
      <c r="AQ245" s="92"/>
      <c r="AR245" s="92"/>
      <c r="AS245" s="92"/>
      <c r="AT245" s="92"/>
      <c r="AU245" s="92"/>
      <c r="AV245" s="92"/>
      <c r="AW245" s="92"/>
      <c r="AX245" s="92"/>
      <c r="AY245" s="92"/>
      <c r="AZ245" s="92"/>
      <c r="BA245" s="92"/>
      <c r="BB245" s="19">
        <v>10</v>
      </c>
      <c r="BC245" s="19">
        <v>1</v>
      </c>
      <c r="BD245" s="59">
        <v>1</v>
      </c>
    </row>
    <row r="246" spans="36:56" x14ac:dyDescent="0.2">
      <c r="AJ246" s="102" t="s">
        <v>340</v>
      </c>
      <c r="AK246" s="19" t="s">
        <v>327</v>
      </c>
      <c r="AL246" s="19" t="s">
        <v>102</v>
      </c>
      <c r="AM246" s="91"/>
      <c r="AN246" s="91"/>
      <c r="AO246" s="92"/>
      <c r="AP246" s="92"/>
      <c r="AQ246" s="92"/>
      <c r="AR246" s="92"/>
      <c r="AS246" s="92"/>
      <c r="AT246" s="92"/>
      <c r="AU246" s="92"/>
      <c r="AV246" s="92"/>
      <c r="AW246" s="92"/>
      <c r="AX246" s="92"/>
      <c r="AY246" s="92"/>
      <c r="AZ246" s="92"/>
      <c r="BA246" s="92"/>
      <c r="BB246" s="19">
        <v>9</v>
      </c>
      <c r="BC246" s="19">
        <v>3</v>
      </c>
      <c r="BD246" s="59">
        <v>0</v>
      </c>
    </row>
    <row r="247" spans="36:56" x14ac:dyDescent="0.2">
      <c r="AJ247" s="102" t="s">
        <v>340</v>
      </c>
      <c r="AK247" s="19" t="s">
        <v>327</v>
      </c>
      <c r="AL247" s="19" t="s">
        <v>103</v>
      </c>
      <c r="AM247" s="91"/>
      <c r="AN247" s="91"/>
      <c r="AO247" s="92"/>
      <c r="AP247" s="92"/>
      <c r="AQ247" s="92"/>
      <c r="AR247" s="92"/>
      <c r="AS247" s="92"/>
      <c r="AT247" s="92"/>
      <c r="AU247" s="92"/>
      <c r="AV247" s="92"/>
      <c r="AW247" s="92"/>
      <c r="AX247" s="92"/>
      <c r="AY247" s="92"/>
      <c r="AZ247" s="92"/>
      <c r="BA247" s="92"/>
      <c r="BB247" s="19">
        <v>8</v>
      </c>
      <c r="BC247" s="19">
        <v>4</v>
      </c>
      <c r="BD247" s="59">
        <v>1</v>
      </c>
    </row>
    <row r="248" spans="36:56" x14ac:dyDescent="0.2">
      <c r="AJ248" s="102" t="s">
        <v>340</v>
      </c>
      <c r="AK248" s="19" t="s">
        <v>327</v>
      </c>
      <c r="AL248" s="19" t="s">
        <v>105</v>
      </c>
      <c r="AM248" s="91"/>
      <c r="AN248" s="91"/>
      <c r="AO248" s="92"/>
      <c r="AP248" s="92"/>
      <c r="AQ248" s="92"/>
      <c r="AR248" s="92"/>
      <c r="AS248" s="92"/>
      <c r="AT248" s="92"/>
      <c r="AU248" s="92"/>
      <c r="AV248" s="92"/>
      <c r="AW248" s="92"/>
      <c r="AX248" s="92"/>
      <c r="AY248" s="92"/>
      <c r="AZ248" s="92"/>
      <c r="BA248" s="92"/>
      <c r="BB248" s="19">
        <v>10</v>
      </c>
      <c r="BC248" s="19">
        <v>1</v>
      </c>
      <c r="BD248" s="59">
        <v>0</v>
      </c>
    </row>
    <row r="249" spans="36:56" x14ac:dyDescent="0.2">
      <c r="AJ249" s="102" t="s">
        <v>340</v>
      </c>
      <c r="AK249" s="19" t="s">
        <v>327</v>
      </c>
      <c r="AL249" s="19" t="s">
        <v>107</v>
      </c>
      <c r="AM249" s="91"/>
      <c r="AN249" s="91"/>
      <c r="AO249" s="92"/>
      <c r="AP249" s="92"/>
      <c r="AQ249" s="92"/>
      <c r="AR249" s="92"/>
      <c r="AS249" s="92"/>
      <c r="AT249" s="92"/>
      <c r="AU249" s="92"/>
      <c r="AV249" s="92"/>
      <c r="AW249" s="92"/>
      <c r="AX249" s="92"/>
      <c r="AY249" s="92"/>
      <c r="AZ249" s="92"/>
      <c r="BA249" s="92"/>
      <c r="BB249" s="19">
        <v>9</v>
      </c>
      <c r="BC249" s="19">
        <v>3</v>
      </c>
      <c r="BD249" s="59">
        <v>1</v>
      </c>
    </row>
    <row r="250" spans="36:56" x14ac:dyDescent="0.2">
      <c r="AJ250" s="102" t="s">
        <v>340</v>
      </c>
      <c r="AK250" s="19" t="s">
        <v>327</v>
      </c>
      <c r="AL250" s="19" t="s">
        <v>109</v>
      </c>
      <c r="AM250" s="91"/>
      <c r="AN250" s="91"/>
      <c r="AO250" s="92"/>
      <c r="AP250" s="92"/>
      <c r="AQ250" s="92"/>
      <c r="AR250" s="92"/>
      <c r="AS250" s="92"/>
      <c r="AT250" s="92"/>
      <c r="AU250" s="92"/>
      <c r="AV250" s="92"/>
      <c r="AW250" s="92"/>
      <c r="AX250" s="92"/>
      <c r="AY250" s="92"/>
      <c r="AZ250" s="92"/>
      <c r="BA250" s="92"/>
      <c r="BB250" s="19">
        <v>8</v>
      </c>
      <c r="BC250" s="19">
        <v>4</v>
      </c>
      <c r="BD250" s="59">
        <v>0</v>
      </c>
    </row>
    <row r="251" spans="36:56" x14ac:dyDescent="0.2">
      <c r="AJ251" s="102" t="s">
        <v>340</v>
      </c>
      <c r="AK251" s="19" t="s">
        <v>327</v>
      </c>
      <c r="AL251" s="19" t="s">
        <v>111</v>
      </c>
      <c r="AM251" s="91"/>
      <c r="AN251" s="91"/>
      <c r="AO251" s="92"/>
      <c r="AP251" s="92"/>
      <c r="AQ251" s="92"/>
      <c r="AR251" s="92"/>
      <c r="AS251" s="92"/>
      <c r="AT251" s="92"/>
      <c r="AU251" s="92"/>
      <c r="AV251" s="92"/>
      <c r="AW251" s="92"/>
      <c r="AX251" s="92"/>
      <c r="AY251" s="92"/>
      <c r="AZ251" s="92"/>
      <c r="BA251" s="92"/>
      <c r="BB251" s="19">
        <v>10</v>
      </c>
      <c r="BC251" s="19">
        <v>2</v>
      </c>
      <c r="BD251" s="59">
        <v>1</v>
      </c>
    </row>
    <row r="252" spans="36:56" x14ac:dyDescent="0.2">
      <c r="AJ252" s="102" t="s">
        <v>340</v>
      </c>
      <c r="AK252" s="19" t="s">
        <v>327</v>
      </c>
      <c r="AL252" s="19" t="s">
        <v>113</v>
      </c>
      <c r="AM252" s="91"/>
      <c r="AN252" s="91"/>
      <c r="AO252" s="92"/>
      <c r="AP252" s="92"/>
      <c r="AQ252" s="92"/>
      <c r="AR252" s="92"/>
      <c r="AS252" s="92"/>
      <c r="AT252" s="92"/>
      <c r="AU252" s="92"/>
      <c r="AV252" s="92"/>
      <c r="AW252" s="92"/>
      <c r="AX252" s="92"/>
      <c r="AY252" s="92"/>
      <c r="AZ252" s="92"/>
      <c r="BA252" s="92"/>
      <c r="BB252" s="19">
        <v>9</v>
      </c>
      <c r="BC252" s="19">
        <v>3</v>
      </c>
      <c r="BD252" s="59">
        <v>1</v>
      </c>
    </row>
    <row r="253" spans="36:56" x14ac:dyDescent="0.2">
      <c r="AJ253" s="102" t="s">
        <v>340</v>
      </c>
      <c r="AK253" s="19" t="s">
        <v>327</v>
      </c>
      <c r="AL253" s="19" t="s">
        <v>115</v>
      </c>
      <c r="AM253" s="91"/>
      <c r="AN253" s="91"/>
      <c r="AO253" s="92"/>
      <c r="AP253" s="92"/>
      <c r="AQ253" s="92"/>
      <c r="AR253" s="92"/>
      <c r="AS253" s="92"/>
      <c r="AT253" s="92"/>
      <c r="AU253" s="92"/>
      <c r="AV253" s="92"/>
      <c r="AW253" s="92"/>
      <c r="AX253" s="92"/>
      <c r="AY253" s="92"/>
      <c r="AZ253" s="92"/>
      <c r="BA253" s="92"/>
      <c r="BB253" s="19">
        <v>8</v>
      </c>
      <c r="BC253" s="19">
        <v>4</v>
      </c>
      <c r="BD253" s="59">
        <v>0</v>
      </c>
    </row>
    <row r="254" spans="36:56" x14ac:dyDescent="0.2">
      <c r="AJ254" s="102" t="s">
        <v>340</v>
      </c>
      <c r="AK254" s="19" t="s">
        <v>327</v>
      </c>
      <c r="AL254" s="19" t="s">
        <v>116</v>
      </c>
      <c r="AM254" s="91"/>
      <c r="AN254" s="91"/>
      <c r="AO254" s="92"/>
      <c r="AP254" s="92"/>
      <c r="AQ254" s="92"/>
      <c r="AR254" s="92"/>
      <c r="AS254" s="92"/>
      <c r="AT254" s="92"/>
      <c r="AU254" s="92"/>
      <c r="AV254" s="92"/>
      <c r="AW254" s="92"/>
      <c r="AX254" s="92"/>
      <c r="AY254" s="92"/>
      <c r="AZ254" s="92"/>
      <c r="BA254" s="92"/>
      <c r="BB254" s="19">
        <v>10</v>
      </c>
      <c r="BC254" s="19">
        <v>2</v>
      </c>
      <c r="BD254" s="59">
        <v>0</v>
      </c>
    </row>
    <row r="255" spans="36:56" x14ac:dyDescent="0.2">
      <c r="AJ255" s="102" t="s">
        <v>340</v>
      </c>
      <c r="AK255" s="19" t="s">
        <v>327</v>
      </c>
      <c r="AL255" s="19" t="s">
        <v>118</v>
      </c>
      <c r="AM255" s="91"/>
      <c r="AN255" s="91"/>
      <c r="AO255" s="92"/>
      <c r="AP255" s="92"/>
      <c r="AQ255" s="92"/>
      <c r="AR255" s="92"/>
      <c r="AS255" s="92"/>
      <c r="AT255" s="92"/>
      <c r="AU255" s="92"/>
      <c r="AV255" s="92"/>
      <c r="AW255" s="92"/>
      <c r="AX255" s="92"/>
      <c r="AY255" s="92"/>
      <c r="AZ255" s="92"/>
      <c r="BA255" s="92"/>
      <c r="BB255" s="19">
        <v>9</v>
      </c>
      <c r="BC255" s="19">
        <v>3</v>
      </c>
      <c r="BD255" s="59">
        <v>1</v>
      </c>
    </row>
    <row r="256" spans="36:56" x14ac:dyDescent="0.2">
      <c r="AJ256" s="102" t="s">
        <v>340</v>
      </c>
      <c r="AK256" s="19" t="s">
        <v>327</v>
      </c>
      <c r="AL256" s="19" t="s">
        <v>119</v>
      </c>
      <c r="AM256" s="91"/>
      <c r="AN256" s="91"/>
      <c r="AO256" s="92"/>
      <c r="AP256" s="92"/>
      <c r="AQ256" s="92"/>
      <c r="AR256" s="92"/>
      <c r="AS256" s="92"/>
      <c r="AT256" s="92"/>
      <c r="AU256" s="92"/>
      <c r="AV256" s="92"/>
      <c r="AW256" s="92"/>
      <c r="AX256" s="92"/>
      <c r="AY256" s="92"/>
      <c r="AZ256" s="92"/>
      <c r="BA256" s="92"/>
      <c r="BB256" s="19">
        <v>8</v>
      </c>
      <c r="BC256" s="19">
        <v>5</v>
      </c>
      <c r="BD256" s="59">
        <v>0</v>
      </c>
    </row>
    <row r="257" spans="36:56" x14ac:dyDescent="0.2">
      <c r="AJ257" s="102" t="s">
        <v>340</v>
      </c>
      <c r="AK257" s="19" t="s">
        <v>327</v>
      </c>
      <c r="AL257" s="19" t="s">
        <v>120</v>
      </c>
      <c r="AM257" s="91"/>
      <c r="AN257" s="91"/>
      <c r="AO257" s="92"/>
      <c r="AP257" s="92"/>
      <c r="AQ257" s="92"/>
      <c r="AR257" s="92"/>
      <c r="AS257" s="92"/>
      <c r="AT257" s="92"/>
      <c r="AU257" s="92"/>
      <c r="AV257" s="92"/>
      <c r="AW257" s="92"/>
      <c r="AX257" s="92"/>
      <c r="AY257" s="92"/>
      <c r="AZ257" s="92"/>
      <c r="BA257" s="92"/>
      <c r="BB257" s="19">
        <v>10</v>
      </c>
      <c r="BC257" s="19">
        <v>1</v>
      </c>
      <c r="BD257" s="59">
        <v>1</v>
      </c>
    </row>
    <row r="258" spans="36:56" x14ac:dyDescent="0.2">
      <c r="AJ258" s="102" t="s">
        <v>340</v>
      </c>
      <c r="AK258" s="19" t="s">
        <v>327</v>
      </c>
      <c r="AL258" s="19" t="s">
        <v>122</v>
      </c>
      <c r="AM258" s="91"/>
      <c r="AN258" s="91"/>
      <c r="AO258" s="92"/>
      <c r="AP258" s="92"/>
      <c r="AQ258" s="92"/>
      <c r="AR258" s="92"/>
      <c r="AS258" s="92"/>
      <c r="AT258" s="92"/>
      <c r="AU258" s="92"/>
      <c r="AV258" s="92"/>
      <c r="AW258" s="92"/>
      <c r="AX258" s="92"/>
      <c r="AY258" s="92"/>
      <c r="AZ258" s="92"/>
      <c r="BA258" s="92"/>
      <c r="BB258" s="19">
        <v>9</v>
      </c>
      <c r="BC258" s="19">
        <v>3</v>
      </c>
      <c r="BD258" s="59">
        <v>0</v>
      </c>
    </row>
    <row r="259" spans="36:56" x14ac:dyDescent="0.2">
      <c r="AJ259" s="102" t="s">
        <v>340</v>
      </c>
      <c r="AK259" s="19" t="s">
        <v>327</v>
      </c>
      <c r="AL259" s="19" t="s">
        <v>123</v>
      </c>
      <c r="AM259" s="91"/>
      <c r="AN259" s="91"/>
      <c r="AO259" s="92"/>
      <c r="AP259" s="92"/>
      <c r="AQ259" s="92"/>
      <c r="AR259" s="92"/>
      <c r="AS259" s="92"/>
      <c r="AT259" s="92"/>
      <c r="AU259" s="92"/>
      <c r="AV259" s="92"/>
      <c r="AW259" s="92"/>
      <c r="AX259" s="92"/>
      <c r="AY259" s="92"/>
      <c r="AZ259" s="92"/>
      <c r="BA259" s="92"/>
      <c r="BB259" s="19">
        <v>8</v>
      </c>
      <c r="BC259" s="19">
        <v>4</v>
      </c>
      <c r="BD259" s="59">
        <v>1</v>
      </c>
    </row>
    <row r="260" spans="36:56" x14ac:dyDescent="0.2">
      <c r="AJ260" s="102" t="s">
        <v>340</v>
      </c>
      <c r="AK260" s="19" t="s">
        <v>327</v>
      </c>
      <c r="AL260" s="19" t="s">
        <v>125</v>
      </c>
      <c r="AM260" s="91"/>
      <c r="AN260" s="91"/>
      <c r="AO260" s="92"/>
      <c r="AP260" s="92"/>
      <c r="AQ260" s="92"/>
      <c r="AR260" s="92"/>
      <c r="AS260" s="92"/>
      <c r="AT260" s="92"/>
      <c r="AU260" s="92"/>
      <c r="AV260" s="92"/>
      <c r="AW260" s="92"/>
      <c r="AX260" s="92"/>
      <c r="AY260" s="92"/>
      <c r="AZ260" s="92"/>
      <c r="BA260" s="92"/>
      <c r="BB260" s="19">
        <v>10</v>
      </c>
      <c r="BC260" s="19">
        <v>2</v>
      </c>
      <c r="BD260" s="59">
        <v>0</v>
      </c>
    </row>
    <row r="261" spans="36:56" x14ac:dyDescent="0.2">
      <c r="AJ261" s="102" t="s">
        <v>340</v>
      </c>
      <c r="AK261" s="19" t="s">
        <v>327</v>
      </c>
      <c r="AL261" s="19" t="s">
        <v>127</v>
      </c>
      <c r="AM261" s="91"/>
      <c r="AN261" s="91"/>
      <c r="AO261" s="92"/>
      <c r="AP261" s="92"/>
      <c r="AQ261" s="92"/>
      <c r="AR261" s="92"/>
      <c r="AS261" s="92"/>
      <c r="AT261" s="92"/>
      <c r="AU261" s="92"/>
      <c r="AV261" s="92"/>
      <c r="AW261" s="92"/>
      <c r="AX261" s="92"/>
      <c r="AY261" s="92"/>
      <c r="AZ261" s="92"/>
      <c r="BA261" s="92"/>
      <c r="BB261" s="19">
        <v>9</v>
      </c>
      <c r="BC261" s="19">
        <v>3</v>
      </c>
      <c r="BD261" s="59">
        <v>1</v>
      </c>
    </row>
    <row r="262" spans="36:56" x14ac:dyDescent="0.2">
      <c r="AJ262" s="102" t="s">
        <v>340</v>
      </c>
      <c r="AK262" s="19" t="s">
        <v>327</v>
      </c>
      <c r="AL262" s="19" t="s">
        <v>129</v>
      </c>
      <c r="AM262" s="91"/>
      <c r="AN262" s="91"/>
      <c r="AO262" s="92"/>
      <c r="AP262" s="92"/>
      <c r="AQ262" s="92"/>
      <c r="AR262" s="92"/>
      <c r="AS262" s="92"/>
      <c r="AT262" s="92"/>
      <c r="AU262" s="92"/>
      <c r="AV262" s="92"/>
      <c r="AW262" s="92"/>
      <c r="AX262" s="92"/>
      <c r="AY262" s="92"/>
      <c r="AZ262" s="92"/>
      <c r="BA262" s="92"/>
      <c r="BB262" s="19">
        <v>8</v>
      </c>
      <c r="BC262" s="19">
        <v>4</v>
      </c>
      <c r="BD262" s="59">
        <v>0</v>
      </c>
    </row>
    <row r="263" spans="36:56" x14ac:dyDescent="0.2">
      <c r="AJ263" s="102" t="s">
        <v>340</v>
      </c>
      <c r="AK263" s="19" t="s">
        <v>327</v>
      </c>
      <c r="AL263" s="19" t="s">
        <v>131</v>
      </c>
      <c r="AM263" s="91"/>
      <c r="AN263" s="91"/>
      <c r="AO263" s="92"/>
      <c r="AP263" s="92"/>
      <c r="AQ263" s="92"/>
      <c r="AR263" s="92"/>
      <c r="AS263" s="92"/>
      <c r="AT263" s="92"/>
      <c r="AU263" s="92"/>
      <c r="AV263" s="92"/>
      <c r="AW263" s="92"/>
      <c r="AX263" s="92"/>
      <c r="AY263" s="92"/>
      <c r="AZ263" s="92"/>
      <c r="BA263" s="92"/>
      <c r="BB263" s="19">
        <v>10</v>
      </c>
      <c r="BC263" s="19">
        <v>1</v>
      </c>
      <c r="BD263" s="59">
        <v>0</v>
      </c>
    </row>
    <row r="264" spans="36:56" x14ac:dyDescent="0.2">
      <c r="AJ264" s="102" t="s">
        <v>340</v>
      </c>
      <c r="AK264" s="19" t="s">
        <v>327</v>
      </c>
      <c r="AL264" s="19" t="s">
        <v>132</v>
      </c>
      <c r="AM264" s="91"/>
      <c r="AN264" s="91"/>
      <c r="AO264" s="92"/>
      <c r="AP264" s="92"/>
      <c r="AQ264" s="92"/>
      <c r="AR264" s="92"/>
      <c r="AS264" s="92"/>
      <c r="AT264" s="92"/>
      <c r="AU264" s="92"/>
      <c r="AV264" s="92"/>
      <c r="AW264" s="92"/>
      <c r="AX264" s="92"/>
      <c r="AY264" s="92"/>
      <c r="AZ264" s="92"/>
      <c r="BA264" s="92"/>
      <c r="BB264" s="19">
        <v>9</v>
      </c>
      <c r="BC264" s="19">
        <v>3</v>
      </c>
      <c r="BD264" s="59">
        <v>1</v>
      </c>
    </row>
    <row r="265" spans="36:56" x14ac:dyDescent="0.2">
      <c r="AJ265" s="102" t="s">
        <v>340</v>
      </c>
      <c r="AK265" s="19" t="s">
        <v>327</v>
      </c>
      <c r="AL265" s="19" t="s">
        <v>133</v>
      </c>
      <c r="AM265" s="91"/>
      <c r="AN265" s="91"/>
      <c r="AO265" s="92"/>
      <c r="AP265" s="92"/>
      <c r="AQ265" s="92"/>
      <c r="AR265" s="92"/>
      <c r="AS265" s="92"/>
      <c r="AT265" s="92"/>
      <c r="AU265" s="92"/>
      <c r="AV265" s="92"/>
      <c r="AW265" s="92"/>
      <c r="AX265" s="92"/>
      <c r="AY265" s="92"/>
      <c r="AZ265" s="92"/>
      <c r="BA265" s="92"/>
      <c r="BB265" s="19">
        <v>8</v>
      </c>
      <c r="BC265" s="19">
        <v>4</v>
      </c>
      <c r="BD265" s="59">
        <v>0</v>
      </c>
    </row>
    <row r="266" spans="36:56" x14ac:dyDescent="0.2">
      <c r="AJ266" s="102" t="s">
        <v>340</v>
      </c>
      <c r="AK266" s="19" t="s">
        <v>327</v>
      </c>
      <c r="AL266" s="19" t="s">
        <v>135</v>
      </c>
      <c r="AM266" s="91"/>
      <c r="AN266" s="91"/>
      <c r="AO266" s="92"/>
      <c r="AP266" s="92"/>
      <c r="AQ266" s="92"/>
      <c r="AR266" s="92"/>
      <c r="AS266" s="92"/>
      <c r="AT266" s="92"/>
      <c r="AU266" s="92"/>
      <c r="AV266" s="92"/>
      <c r="AW266" s="92"/>
      <c r="AX266" s="92"/>
      <c r="AY266" s="92"/>
      <c r="AZ266" s="92"/>
      <c r="BA266" s="92"/>
      <c r="BB266" s="19">
        <v>10</v>
      </c>
      <c r="BC266" s="19">
        <v>2</v>
      </c>
      <c r="BD266" s="59">
        <v>1</v>
      </c>
    </row>
    <row r="267" spans="36:56" x14ac:dyDescent="0.2">
      <c r="AJ267" s="102" t="s">
        <v>340</v>
      </c>
      <c r="AK267" s="19" t="s">
        <v>327</v>
      </c>
      <c r="AL267" s="19" t="s">
        <v>137</v>
      </c>
      <c r="AM267" s="91"/>
      <c r="AN267" s="91"/>
      <c r="AO267" s="92"/>
      <c r="AP267" s="92"/>
      <c r="AQ267" s="92"/>
      <c r="AR267" s="92"/>
      <c r="AS267" s="92"/>
      <c r="AT267" s="92"/>
      <c r="AU267" s="92"/>
      <c r="AV267" s="92"/>
      <c r="AW267" s="92"/>
      <c r="AX267" s="92"/>
      <c r="AY267" s="92"/>
      <c r="AZ267" s="92"/>
      <c r="BA267" s="92"/>
      <c r="BB267" s="19">
        <v>9</v>
      </c>
      <c r="BC267" s="19">
        <v>3</v>
      </c>
      <c r="BD267" s="59">
        <v>0</v>
      </c>
    </row>
    <row r="268" spans="36:56" x14ac:dyDescent="0.2">
      <c r="AJ268" s="102" t="s">
        <v>340</v>
      </c>
      <c r="AK268" s="19" t="s">
        <v>327</v>
      </c>
      <c r="AL268" s="19" t="s">
        <v>248</v>
      </c>
      <c r="AM268" s="91"/>
      <c r="AN268" s="91"/>
      <c r="AO268" s="92"/>
      <c r="AP268" s="92"/>
      <c r="AQ268" s="92"/>
      <c r="AR268" s="92"/>
      <c r="AS268" s="92"/>
      <c r="AT268" s="92"/>
      <c r="AU268" s="92"/>
      <c r="AV268" s="92"/>
      <c r="AW268" s="92"/>
      <c r="AX268" s="92"/>
      <c r="AY268" s="92"/>
      <c r="AZ268" s="92"/>
      <c r="BA268" s="92"/>
      <c r="BB268" s="19">
        <v>8</v>
      </c>
      <c r="BC268" s="19">
        <v>5</v>
      </c>
      <c r="BD268" s="59">
        <v>1</v>
      </c>
    </row>
    <row r="269" spans="36:56" x14ac:dyDescent="0.2">
      <c r="AJ269" s="102" t="s">
        <v>340</v>
      </c>
      <c r="AK269" s="19" t="s">
        <v>327</v>
      </c>
      <c r="AL269" s="19" t="s">
        <v>125</v>
      </c>
      <c r="AM269" s="91"/>
      <c r="AN269" s="91"/>
      <c r="AO269" s="92"/>
      <c r="AP269" s="92"/>
      <c r="AQ269" s="92"/>
      <c r="AR269" s="92"/>
      <c r="AS269" s="92"/>
      <c r="AT269" s="92"/>
      <c r="AU269" s="92"/>
      <c r="AV269" s="92"/>
      <c r="AW269" s="92"/>
      <c r="AX269" s="92"/>
      <c r="AY269" s="92"/>
      <c r="AZ269" s="92"/>
      <c r="BA269" s="92"/>
      <c r="BB269" s="19">
        <v>10</v>
      </c>
      <c r="BC269" s="19">
        <v>2</v>
      </c>
      <c r="BD269" s="59">
        <v>0</v>
      </c>
    </row>
    <row r="270" spans="36:56" ht="38.25" x14ac:dyDescent="0.2">
      <c r="AJ270" s="103" t="s">
        <v>334</v>
      </c>
      <c r="AK270" s="19" t="s">
        <v>325</v>
      </c>
      <c r="AL270" s="19" t="s">
        <v>3</v>
      </c>
      <c r="AM270" s="91"/>
      <c r="AN270" s="91"/>
      <c r="AO270" s="92"/>
      <c r="AP270" s="92"/>
      <c r="AQ270" s="92"/>
      <c r="AR270" s="92"/>
      <c r="AS270" s="92"/>
      <c r="AT270" s="92"/>
      <c r="AU270" s="92"/>
      <c r="AV270" s="92"/>
      <c r="AW270" s="92"/>
      <c r="AX270" s="19" t="s">
        <v>252</v>
      </c>
      <c r="AY270" s="58" t="s">
        <v>253</v>
      </c>
      <c r="AZ270" s="58" t="s">
        <v>254</v>
      </c>
      <c r="BA270" s="19">
        <v>30</v>
      </c>
      <c r="BB270" s="92"/>
      <c r="BC270" s="92"/>
      <c r="BD270" s="104"/>
    </row>
    <row r="271" spans="36:56" ht="25.5" x14ac:dyDescent="0.2">
      <c r="AJ271" s="103" t="s">
        <v>334</v>
      </c>
      <c r="AK271" s="19" t="s">
        <v>325</v>
      </c>
      <c r="AL271" s="19" t="s">
        <v>5</v>
      </c>
      <c r="AM271" s="91"/>
      <c r="AN271" s="91"/>
      <c r="AO271" s="92"/>
      <c r="AP271" s="92"/>
      <c r="AQ271" s="92"/>
      <c r="AR271" s="92"/>
      <c r="AS271" s="92"/>
      <c r="AT271" s="92"/>
      <c r="AU271" s="92"/>
      <c r="AV271" s="92"/>
      <c r="AW271" s="92"/>
      <c r="AX271" s="19" t="s">
        <v>255</v>
      </c>
      <c r="AY271" s="58" t="s">
        <v>256</v>
      </c>
      <c r="AZ271" s="58" t="s">
        <v>257</v>
      </c>
      <c r="BA271" s="19">
        <v>42</v>
      </c>
      <c r="BB271" s="92"/>
      <c r="BC271" s="92"/>
      <c r="BD271" s="104"/>
    </row>
    <row r="272" spans="36:56" ht="25.5" x14ac:dyDescent="0.2">
      <c r="AJ272" s="103" t="s">
        <v>334</v>
      </c>
      <c r="AK272" s="19" t="s">
        <v>325</v>
      </c>
      <c r="AL272" s="19" t="s">
        <v>7</v>
      </c>
      <c r="AM272" s="91"/>
      <c r="AN272" s="91"/>
      <c r="AO272" s="92"/>
      <c r="AP272" s="92"/>
      <c r="AQ272" s="92"/>
      <c r="AR272" s="92"/>
      <c r="AS272" s="92"/>
      <c r="AT272" s="92"/>
      <c r="AU272" s="92"/>
      <c r="AV272" s="92"/>
      <c r="AW272" s="92"/>
      <c r="AX272" s="19" t="s">
        <v>258</v>
      </c>
      <c r="AY272" s="58" t="s">
        <v>259</v>
      </c>
      <c r="AZ272" s="19" t="s">
        <v>260</v>
      </c>
      <c r="BA272" s="19" t="s">
        <v>260</v>
      </c>
      <c r="BB272" s="92"/>
      <c r="BC272" s="92"/>
      <c r="BD272" s="104"/>
    </row>
    <row r="273" spans="36:56" ht="25.5" x14ac:dyDescent="0.2">
      <c r="AJ273" s="103" t="s">
        <v>334</v>
      </c>
      <c r="AK273" s="19" t="s">
        <v>325</v>
      </c>
      <c r="AL273" s="19" t="s">
        <v>9</v>
      </c>
      <c r="AM273" s="91"/>
      <c r="AN273" s="91"/>
      <c r="AO273" s="92"/>
      <c r="AP273" s="92"/>
      <c r="AQ273" s="92"/>
      <c r="AR273" s="92"/>
      <c r="AS273" s="92"/>
      <c r="AT273" s="92"/>
      <c r="AU273" s="92"/>
      <c r="AV273" s="92"/>
      <c r="AW273" s="92"/>
      <c r="AX273" s="19" t="s">
        <v>261</v>
      </c>
      <c r="AY273" s="58" t="s">
        <v>262</v>
      </c>
      <c r="AZ273" s="58" t="s">
        <v>263</v>
      </c>
      <c r="BA273" s="19">
        <v>30</v>
      </c>
      <c r="BB273" s="92"/>
      <c r="BC273" s="92"/>
      <c r="BD273" s="104"/>
    </row>
    <row r="274" spans="36:56" ht="25.5" x14ac:dyDescent="0.2">
      <c r="AJ274" s="103" t="s">
        <v>334</v>
      </c>
      <c r="AK274" s="19" t="s">
        <v>325</v>
      </c>
      <c r="AL274" s="19" t="s">
        <v>11</v>
      </c>
      <c r="AM274" s="91"/>
      <c r="AN274" s="91"/>
      <c r="AO274" s="92"/>
      <c r="AP274" s="92"/>
      <c r="AQ274" s="92"/>
      <c r="AR274" s="92"/>
      <c r="AS274" s="92"/>
      <c r="AT274" s="92"/>
      <c r="AU274" s="92"/>
      <c r="AV274" s="92"/>
      <c r="AW274" s="92"/>
      <c r="AX274" s="19" t="s">
        <v>264</v>
      </c>
      <c r="AY274" s="58" t="s">
        <v>265</v>
      </c>
      <c r="AZ274" s="19" t="s">
        <v>260</v>
      </c>
      <c r="BA274" s="19" t="s">
        <v>260</v>
      </c>
      <c r="BB274" s="92"/>
      <c r="BC274" s="92"/>
      <c r="BD274" s="104"/>
    </row>
    <row r="275" spans="36:56" ht="25.5" x14ac:dyDescent="0.2">
      <c r="AJ275" s="103" t="s">
        <v>334</v>
      </c>
      <c r="AK275" s="19" t="s">
        <v>325</v>
      </c>
      <c r="AL275" s="19" t="s">
        <v>13</v>
      </c>
      <c r="AM275" s="91"/>
      <c r="AN275" s="91"/>
      <c r="AO275" s="92"/>
      <c r="AP275" s="92"/>
      <c r="AQ275" s="92"/>
      <c r="AR275" s="92"/>
      <c r="AS275" s="92"/>
      <c r="AT275" s="92"/>
      <c r="AU275" s="92"/>
      <c r="AV275" s="92"/>
      <c r="AW275" s="92"/>
      <c r="AX275" s="19" t="s">
        <v>266</v>
      </c>
      <c r="AY275" s="58" t="s">
        <v>267</v>
      </c>
      <c r="AZ275" s="58" t="s">
        <v>268</v>
      </c>
      <c r="BA275" s="19">
        <v>30</v>
      </c>
      <c r="BB275" s="92"/>
      <c r="BC275" s="92"/>
      <c r="BD275" s="104"/>
    </row>
    <row r="276" spans="36:56" ht="25.5" x14ac:dyDescent="0.2">
      <c r="AJ276" s="103" t="s">
        <v>334</v>
      </c>
      <c r="AK276" s="19" t="s">
        <v>325</v>
      </c>
      <c r="AL276" s="19" t="s">
        <v>15</v>
      </c>
      <c r="AM276" s="91"/>
      <c r="AN276" s="91"/>
      <c r="AO276" s="92"/>
      <c r="AP276" s="92"/>
      <c r="AQ276" s="92"/>
      <c r="AR276" s="92"/>
      <c r="AS276" s="92"/>
      <c r="AT276" s="92"/>
      <c r="AU276" s="92"/>
      <c r="AV276" s="92"/>
      <c r="AW276" s="92"/>
      <c r="AX276" s="19" t="s">
        <v>269</v>
      </c>
      <c r="AY276" s="58" t="s">
        <v>270</v>
      </c>
      <c r="AZ276" s="58" t="s">
        <v>144</v>
      </c>
      <c r="BA276" s="19">
        <v>61</v>
      </c>
      <c r="BB276" s="92"/>
      <c r="BC276" s="92"/>
      <c r="BD276" s="104"/>
    </row>
    <row r="277" spans="36:56" ht="25.5" x14ac:dyDescent="0.2">
      <c r="AJ277" s="103" t="s">
        <v>334</v>
      </c>
      <c r="AK277" s="19" t="s">
        <v>325</v>
      </c>
      <c r="AL277" s="19" t="s">
        <v>17</v>
      </c>
      <c r="AM277" s="91"/>
      <c r="AN277" s="91"/>
      <c r="AO277" s="92"/>
      <c r="AP277" s="92"/>
      <c r="AQ277" s="92"/>
      <c r="AR277" s="92"/>
      <c r="AS277" s="92"/>
      <c r="AT277" s="92"/>
      <c r="AU277" s="92"/>
      <c r="AV277" s="92"/>
      <c r="AW277" s="92"/>
      <c r="AX277" s="19" t="s">
        <v>271</v>
      </c>
      <c r="AY277" s="58" t="s">
        <v>147</v>
      </c>
      <c r="AZ277" s="19" t="s">
        <v>260</v>
      </c>
      <c r="BA277" s="19" t="s">
        <v>260</v>
      </c>
      <c r="BB277" s="92"/>
      <c r="BC277" s="92"/>
      <c r="BD277" s="104"/>
    </row>
    <row r="278" spans="36:56" ht="38.25" x14ac:dyDescent="0.2">
      <c r="AJ278" s="103" t="s">
        <v>334</v>
      </c>
      <c r="AK278" s="19" t="s">
        <v>325</v>
      </c>
      <c r="AL278" s="19" t="s">
        <v>19</v>
      </c>
      <c r="AM278" s="91"/>
      <c r="AN278" s="91"/>
      <c r="AO278" s="92"/>
      <c r="AP278" s="92"/>
      <c r="AQ278" s="92"/>
      <c r="AR278" s="92"/>
      <c r="AS278" s="92"/>
      <c r="AT278" s="92"/>
      <c r="AU278" s="92"/>
      <c r="AV278" s="92"/>
      <c r="AW278" s="92"/>
      <c r="AX278" s="19" t="s">
        <v>272</v>
      </c>
      <c r="AY278" s="58" t="s">
        <v>150</v>
      </c>
      <c r="AZ278" s="58" t="s">
        <v>273</v>
      </c>
      <c r="BA278" s="19">
        <v>31</v>
      </c>
      <c r="BB278" s="92"/>
      <c r="BC278" s="92"/>
      <c r="BD278" s="104"/>
    </row>
    <row r="279" spans="36:56" ht="25.5" x14ac:dyDescent="0.2">
      <c r="AJ279" s="103" t="s">
        <v>334</v>
      </c>
      <c r="AK279" s="19" t="s">
        <v>325</v>
      </c>
      <c r="AL279" s="19" t="s">
        <v>21</v>
      </c>
      <c r="AM279" s="91"/>
      <c r="AN279" s="91"/>
      <c r="AO279" s="92"/>
      <c r="AP279" s="92"/>
      <c r="AQ279" s="92"/>
      <c r="AR279" s="92"/>
      <c r="AS279" s="92"/>
      <c r="AT279" s="92"/>
      <c r="AU279" s="92"/>
      <c r="AV279" s="92"/>
      <c r="AW279" s="92"/>
      <c r="AX279" s="19" t="s">
        <v>274</v>
      </c>
      <c r="AY279" s="58" t="s">
        <v>275</v>
      </c>
      <c r="AZ279" s="58" t="s">
        <v>276</v>
      </c>
      <c r="BA279" s="19">
        <v>51</v>
      </c>
      <c r="BB279" s="92"/>
      <c r="BC279" s="92"/>
      <c r="BD279" s="104"/>
    </row>
    <row r="280" spans="36:56" ht="38.25" x14ac:dyDescent="0.2">
      <c r="AJ280" s="103" t="s">
        <v>334</v>
      </c>
      <c r="AK280" s="19" t="s">
        <v>325</v>
      </c>
      <c r="AL280" s="19" t="s">
        <v>23</v>
      </c>
      <c r="AM280" s="91"/>
      <c r="AN280" s="91"/>
      <c r="AO280" s="92"/>
      <c r="AP280" s="92"/>
      <c r="AQ280" s="92"/>
      <c r="AR280" s="92"/>
      <c r="AS280" s="92"/>
      <c r="AT280" s="92"/>
      <c r="AU280" s="92"/>
      <c r="AV280" s="92"/>
      <c r="AW280" s="92"/>
      <c r="AX280" s="19" t="s">
        <v>277</v>
      </c>
      <c r="AY280" s="58" t="s">
        <v>278</v>
      </c>
      <c r="AZ280" s="19" t="s">
        <v>260</v>
      </c>
      <c r="BA280" s="19" t="s">
        <v>260</v>
      </c>
      <c r="BB280" s="92"/>
      <c r="BC280" s="92"/>
      <c r="BD280" s="104"/>
    </row>
    <row r="281" spans="36:56" ht="25.5" x14ac:dyDescent="0.2">
      <c r="AJ281" s="103" t="s">
        <v>334</v>
      </c>
      <c r="AK281" s="19" t="s">
        <v>325</v>
      </c>
      <c r="AL281" s="19" t="s">
        <v>25</v>
      </c>
      <c r="AM281" s="91"/>
      <c r="AN281" s="91"/>
      <c r="AO281" s="92"/>
      <c r="AP281" s="92"/>
      <c r="AQ281" s="92"/>
      <c r="AR281" s="92"/>
      <c r="AS281" s="92"/>
      <c r="AT281" s="92"/>
      <c r="AU281" s="92"/>
      <c r="AV281" s="92"/>
      <c r="AW281" s="92"/>
      <c r="AX281" s="19" t="s">
        <v>279</v>
      </c>
      <c r="AY281" s="58" t="s">
        <v>165</v>
      </c>
      <c r="AZ281" s="58" t="s">
        <v>280</v>
      </c>
      <c r="BA281" s="19">
        <v>30</v>
      </c>
      <c r="BB281" s="92"/>
      <c r="BC281" s="92"/>
      <c r="BD281" s="104"/>
    </row>
    <row r="282" spans="36:56" ht="25.5" x14ac:dyDescent="0.2">
      <c r="AJ282" s="103" t="s">
        <v>334</v>
      </c>
      <c r="AK282" s="19" t="s">
        <v>325</v>
      </c>
      <c r="AL282" s="19" t="s">
        <v>27</v>
      </c>
      <c r="AM282" s="91"/>
      <c r="AN282" s="91"/>
      <c r="AO282" s="92"/>
      <c r="AP282" s="92"/>
      <c r="AQ282" s="92"/>
      <c r="AR282" s="92"/>
      <c r="AS282" s="92"/>
      <c r="AT282" s="92"/>
      <c r="AU282" s="92"/>
      <c r="AV282" s="92"/>
      <c r="AW282" s="92"/>
      <c r="AX282" s="19" t="s">
        <v>281</v>
      </c>
      <c r="AY282" s="58" t="s">
        <v>282</v>
      </c>
      <c r="AZ282" s="19" t="s">
        <v>260</v>
      </c>
      <c r="BA282" s="19" t="s">
        <v>260</v>
      </c>
      <c r="BB282" s="92"/>
      <c r="BC282" s="92"/>
      <c r="BD282" s="104"/>
    </row>
    <row r="283" spans="36:56" ht="38.25" x14ac:dyDescent="0.2">
      <c r="AJ283" s="103" t="s">
        <v>334</v>
      </c>
      <c r="AK283" s="19" t="s">
        <v>325</v>
      </c>
      <c r="AL283" s="19" t="s">
        <v>29</v>
      </c>
      <c r="AM283" s="91"/>
      <c r="AN283" s="91"/>
      <c r="AO283" s="92"/>
      <c r="AP283" s="92"/>
      <c r="AQ283" s="92"/>
      <c r="AR283" s="92"/>
      <c r="AS283" s="92"/>
      <c r="AT283" s="92"/>
      <c r="AU283" s="92"/>
      <c r="AV283" s="92"/>
      <c r="AW283" s="92"/>
      <c r="AX283" s="19" t="s">
        <v>283</v>
      </c>
      <c r="AY283" s="58" t="s">
        <v>284</v>
      </c>
      <c r="AZ283" s="58" t="s">
        <v>285</v>
      </c>
      <c r="BA283" s="19">
        <v>40</v>
      </c>
      <c r="BB283" s="92"/>
      <c r="BC283" s="92"/>
      <c r="BD283" s="104"/>
    </row>
    <row r="284" spans="36:56" ht="38.25" x14ac:dyDescent="0.2">
      <c r="AJ284" s="103" t="s">
        <v>334</v>
      </c>
      <c r="AK284" s="19" t="s">
        <v>325</v>
      </c>
      <c r="AL284" s="19" t="s">
        <v>31</v>
      </c>
      <c r="AM284" s="91"/>
      <c r="AN284" s="91"/>
      <c r="AO284" s="92"/>
      <c r="AP284" s="92"/>
      <c r="AQ284" s="92"/>
      <c r="AR284" s="92"/>
      <c r="AS284" s="92"/>
      <c r="AT284" s="92"/>
      <c r="AU284" s="92"/>
      <c r="AV284" s="92"/>
      <c r="AW284" s="92"/>
      <c r="AX284" s="19" t="s">
        <v>286</v>
      </c>
      <c r="AY284" s="58" t="s">
        <v>287</v>
      </c>
      <c r="AZ284" s="58" t="s">
        <v>288</v>
      </c>
      <c r="BA284" s="19">
        <v>41</v>
      </c>
      <c r="BB284" s="92"/>
      <c r="BC284" s="92"/>
      <c r="BD284" s="104"/>
    </row>
    <row r="285" spans="36:56" ht="38.25" x14ac:dyDescent="0.2">
      <c r="AJ285" s="103" t="s">
        <v>334</v>
      </c>
      <c r="AK285" s="19" t="s">
        <v>325</v>
      </c>
      <c r="AL285" s="19" t="s">
        <v>33</v>
      </c>
      <c r="AM285" s="91"/>
      <c r="AN285" s="91"/>
      <c r="AO285" s="92"/>
      <c r="AP285" s="92"/>
      <c r="AQ285" s="92"/>
      <c r="AR285" s="92"/>
      <c r="AS285" s="92"/>
      <c r="AT285" s="92"/>
      <c r="AU285" s="92"/>
      <c r="AV285" s="92"/>
      <c r="AW285" s="92"/>
      <c r="AX285" s="19" t="s">
        <v>289</v>
      </c>
      <c r="AY285" s="58" t="s">
        <v>290</v>
      </c>
      <c r="AZ285" s="58" t="s">
        <v>291</v>
      </c>
      <c r="BA285" s="19">
        <v>39</v>
      </c>
      <c r="BB285" s="92"/>
      <c r="BC285" s="92"/>
      <c r="BD285" s="104"/>
    </row>
    <row r="286" spans="36:56" ht="25.5" x14ac:dyDescent="0.2">
      <c r="AJ286" s="103" t="s">
        <v>334</v>
      </c>
      <c r="AK286" s="19" t="s">
        <v>325</v>
      </c>
      <c r="AL286" s="19" t="s">
        <v>35</v>
      </c>
      <c r="AM286" s="91"/>
      <c r="AN286" s="91"/>
      <c r="AO286" s="92"/>
      <c r="AP286" s="92"/>
      <c r="AQ286" s="92"/>
      <c r="AR286" s="92"/>
      <c r="AS286" s="92"/>
      <c r="AT286" s="92"/>
      <c r="AU286" s="92"/>
      <c r="AV286" s="92"/>
      <c r="AW286" s="92"/>
      <c r="AX286" s="19" t="s">
        <v>292</v>
      </c>
      <c r="AY286" s="58" t="s">
        <v>293</v>
      </c>
      <c r="AZ286" s="19" t="s">
        <v>260</v>
      </c>
      <c r="BA286" s="19" t="s">
        <v>260</v>
      </c>
      <c r="BB286" s="92"/>
      <c r="BC286" s="92"/>
      <c r="BD286" s="104"/>
    </row>
    <row r="287" spans="36:56" ht="38.25" x14ac:dyDescent="0.2">
      <c r="AJ287" s="103" t="s">
        <v>334</v>
      </c>
      <c r="AK287" s="19" t="s">
        <v>325</v>
      </c>
      <c r="AL287" s="19" t="s">
        <v>37</v>
      </c>
      <c r="AM287" s="91"/>
      <c r="AN287" s="91"/>
      <c r="AO287" s="92"/>
      <c r="AP287" s="92"/>
      <c r="AQ287" s="92"/>
      <c r="AR287" s="92"/>
      <c r="AS287" s="92"/>
      <c r="AT287" s="92"/>
      <c r="AU287" s="92"/>
      <c r="AV287" s="92"/>
      <c r="AW287" s="92"/>
      <c r="AX287" s="19" t="s">
        <v>294</v>
      </c>
      <c r="AY287" s="58" t="s">
        <v>295</v>
      </c>
      <c r="AZ287" s="58" t="s">
        <v>296</v>
      </c>
      <c r="BA287" s="19">
        <v>42</v>
      </c>
      <c r="BB287" s="92"/>
      <c r="BC287" s="92"/>
      <c r="BD287" s="104"/>
    </row>
    <row r="288" spans="36:56" ht="38.25" x14ac:dyDescent="0.2">
      <c r="AJ288" s="103" t="s">
        <v>334</v>
      </c>
      <c r="AK288" s="19" t="s">
        <v>325</v>
      </c>
      <c r="AL288" s="19" t="s">
        <v>39</v>
      </c>
      <c r="AM288" s="91"/>
      <c r="AN288" s="91"/>
      <c r="AO288" s="92"/>
      <c r="AP288" s="92"/>
      <c r="AQ288" s="92"/>
      <c r="AR288" s="92"/>
      <c r="AS288" s="92"/>
      <c r="AT288" s="92"/>
      <c r="AU288" s="92"/>
      <c r="AV288" s="92"/>
      <c r="AW288" s="92"/>
      <c r="AX288" s="19" t="s">
        <v>297</v>
      </c>
      <c r="AY288" s="58" t="s">
        <v>298</v>
      </c>
      <c r="AZ288" s="58" t="s">
        <v>299</v>
      </c>
      <c r="BA288" s="19">
        <v>61</v>
      </c>
      <c r="BB288" s="92"/>
      <c r="BC288" s="92"/>
      <c r="BD288" s="104"/>
    </row>
    <row r="289" spans="36:56" ht="25.5" x14ac:dyDescent="0.2">
      <c r="AJ289" s="103" t="s">
        <v>334</v>
      </c>
      <c r="AK289" s="19" t="s">
        <v>325</v>
      </c>
      <c r="AL289" s="19" t="s">
        <v>41</v>
      </c>
      <c r="AM289" s="91"/>
      <c r="AN289" s="91"/>
      <c r="AO289" s="92"/>
      <c r="AP289" s="92"/>
      <c r="AQ289" s="92"/>
      <c r="AR289" s="92"/>
      <c r="AS289" s="92"/>
      <c r="AT289" s="92"/>
      <c r="AU289" s="92"/>
      <c r="AV289" s="92"/>
      <c r="AW289" s="92"/>
      <c r="AX289" s="19" t="s">
        <v>300</v>
      </c>
      <c r="AY289" s="58" t="s">
        <v>301</v>
      </c>
      <c r="AZ289" s="19" t="s">
        <v>260</v>
      </c>
      <c r="BA289" s="19" t="s">
        <v>260</v>
      </c>
      <c r="BB289" s="92"/>
      <c r="BC289" s="92"/>
      <c r="BD289" s="104"/>
    </row>
    <row r="290" spans="36:56" ht="25.5" x14ac:dyDescent="0.2">
      <c r="AJ290" s="103" t="s">
        <v>334</v>
      </c>
      <c r="AK290" s="19" t="s">
        <v>326</v>
      </c>
      <c r="AL290" s="19" t="s">
        <v>54</v>
      </c>
      <c r="AM290" s="91"/>
      <c r="AN290" s="91"/>
      <c r="AO290" s="92"/>
      <c r="AP290" s="92"/>
      <c r="AQ290" s="92"/>
      <c r="AR290" s="92"/>
      <c r="AS290" s="92"/>
      <c r="AT290" s="92"/>
      <c r="AU290" s="92"/>
      <c r="AV290" s="92"/>
      <c r="AW290" s="92"/>
      <c r="AX290" s="19" t="s">
        <v>302</v>
      </c>
      <c r="AY290" s="58" t="s">
        <v>253</v>
      </c>
      <c r="AZ290" s="58" t="s">
        <v>303</v>
      </c>
      <c r="BA290" s="19">
        <v>44</v>
      </c>
      <c r="BB290" s="92"/>
      <c r="BC290" s="92"/>
      <c r="BD290" s="104"/>
    </row>
    <row r="291" spans="36:56" ht="38.25" x14ac:dyDescent="0.2">
      <c r="AJ291" s="103" t="s">
        <v>334</v>
      </c>
      <c r="AK291" s="19" t="s">
        <v>326</v>
      </c>
      <c r="AL291" s="19" t="s">
        <v>56</v>
      </c>
      <c r="AM291" s="91"/>
      <c r="AN291" s="91"/>
      <c r="AO291" s="92"/>
      <c r="AP291" s="92"/>
      <c r="AQ291" s="92"/>
      <c r="AR291" s="92"/>
      <c r="AS291" s="92"/>
      <c r="AT291" s="92"/>
      <c r="AU291" s="92"/>
      <c r="AV291" s="92"/>
      <c r="AW291" s="92"/>
      <c r="AX291" s="19" t="s">
        <v>304</v>
      </c>
      <c r="AY291" s="58" t="s">
        <v>256</v>
      </c>
      <c r="AZ291" s="58" t="s">
        <v>305</v>
      </c>
      <c r="BA291" s="19">
        <v>56</v>
      </c>
      <c r="BB291" s="92"/>
      <c r="BC291" s="92"/>
      <c r="BD291" s="104"/>
    </row>
    <row r="292" spans="36:56" ht="25.5" x14ac:dyDescent="0.2">
      <c r="AJ292" s="103" t="s">
        <v>334</v>
      </c>
      <c r="AK292" s="19" t="s">
        <v>326</v>
      </c>
      <c r="AL292" s="19" t="s">
        <v>58</v>
      </c>
      <c r="AM292" s="91"/>
      <c r="AN292" s="91"/>
      <c r="AO292" s="92"/>
      <c r="AP292" s="92"/>
      <c r="AQ292" s="92"/>
      <c r="AR292" s="92"/>
      <c r="AS292" s="92"/>
      <c r="AT292" s="92"/>
      <c r="AU292" s="92"/>
      <c r="AV292" s="92"/>
      <c r="AW292" s="92"/>
      <c r="AX292" s="19" t="s">
        <v>306</v>
      </c>
      <c r="AY292" s="58" t="s">
        <v>259</v>
      </c>
      <c r="AZ292" s="19" t="s">
        <v>260</v>
      </c>
      <c r="BA292" s="19" t="s">
        <v>260</v>
      </c>
      <c r="BB292" s="92"/>
      <c r="BC292" s="92"/>
      <c r="BD292" s="104"/>
    </row>
    <row r="293" spans="36:56" ht="25.5" x14ac:dyDescent="0.2">
      <c r="AJ293" s="103" t="s">
        <v>334</v>
      </c>
      <c r="AK293" s="19" t="s">
        <v>326</v>
      </c>
      <c r="AL293" s="19" t="s">
        <v>60</v>
      </c>
      <c r="AM293" s="91"/>
      <c r="AN293" s="91"/>
      <c r="AO293" s="92"/>
      <c r="AP293" s="92"/>
      <c r="AQ293" s="92"/>
      <c r="AR293" s="92"/>
      <c r="AS293" s="92"/>
      <c r="AT293" s="92"/>
      <c r="AU293" s="92"/>
      <c r="AV293" s="92"/>
      <c r="AW293" s="92"/>
      <c r="AX293" s="19" t="s">
        <v>271</v>
      </c>
      <c r="AY293" s="58" t="s">
        <v>262</v>
      </c>
      <c r="AZ293" s="58" t="s">
        <v>307</v>
      </c>
      <c r="BA293" s="19">
        <v>46</v>
      </c>
      <c r="BB293" s="92"/>
      <c r="BC293" s="92"/>
      <c r="BD293" s="104"/>
    </row>
    <row r="294" spans="36:56" ht="25.5" x14ac:dyDescent="0.2">
      <c r="AJ294" s="103" t="s">
        <v>334</v>
      </c>
      <c r="AK294" s="19" t="s">
        <v>326</v>
      </c>
      <c r="AL294" s="19" t="s">
        <v>62</v>
      </c>
      <c r="AM294" s="91"/>
      <c r="AN294" s="91"/>
      <c r="AO294" s="92"/>
      <c r="AP294" s="92"/>
      <c r="AQ294" s="92"/>
      <c r="AR294" s="92"/>
      <c r="AS294" s="92"/>
      <c r="AT294" s="92"/>
      <c r="AU294" s="92"/>
      <c r="AV294" s="92"/>
      <c r="AW294" s="92"/>
      <c r="AX294" s="19" t="s">
        <v>274</v>
      </c>
      <c r="AY294" s="58" t="s">
        <v>265</v>
      </c>
      <c r="AZ294" s="19" t="s">
        <v>260</v>
      </c>
      <c r="BA294" s="19" t="s">
        <v>260</v>
      </c>
      <c r="BB294" s="92"/>
      <c r="BC294" s="92"/>
      <c r="BD294" s="104"/>
    </row>
    <row r="295" spans="36:56" ht="38.25" x14ac:dyDescent="0.2">
      <c r="AJ295" s="103" t="s">
        <v>334</v>
      </c>
      <c r="AK295" s="19" t="s">
        <v>326</v>
      </c>
      <c r="AL295" s="19" t="s">
        <v>64</v>
      </c>
      <c r="AM295" s="91"/>
      <c r="AN295" s="91"/>
      <c r="AO295" s="92"/>
      <c r="AP295" s="92"/>
      <c r="AQ295" s="92"/>
      <c r="AR295" s="92"/>
      <c r="AS295" s="92"/>
      <c r="AT295" s="92"/>
      <c r="AU295" s="92"/>
      <c r="AV295" s="92"/>
      <c r="AW295" s="92"/>
      <c r="AX295" s="19" t="s">
        <v>272</v>
      </c>
      <c r="AY295" s="58" t="s">
        <v>267</v>
      </c>
      <c r="AZ295" s="58" t="s">
        <v>308</v>
      </c>
      <c r="BA295" s="19">
        <v>51</v>
      </c>
      <c r="BB295" s="92"/>
      <c r="BC295" s="92"/>
      <c r="BD295" s="104"/>
    </row>
    <row r="296" spans="36:56" ht="38.25" x14ac:dyDescent="0.2">
      <c r="AJ296" s="103" t="s">
        <v>334</v>
      </c>
      <c r="AK296" s="19" t="s">
        <v>326</v>
      </c>
      <c r="AL296" s="19" t="s">
        <v>66</v>
      </c>
      <c r="AM296" s="91"/>
      <c r="AN296" s="91"/>
      <c r="AO296" s="92"/>
      <c r="AP296" s="92"/>
      <c r="AQ296" s="92"/>
      <c r="AR296" s="92"/>
      <c r="AS296" s="92"/>
      <c r="AT296" s="92"/>
      <c r="AU296" s="92"/>
      <c r="AV296" s="92"/>
      <c r="AW296" s="92"/>
      <c r="AX296" s="19" t="s">
        <v>286</v>
      </c>
      <c r="AY296" s="58" t="s">
        <v>270</v>
      </c>
      <c r="AZ296" s="58" t="s">
        <v>144</v>
      </c>
      <c r="BA296" s="19">
        <v>61</v>
      </c>
      <c r="BB296" s="92"/>
      <c r="BC296" s="92"/>
      <c r="BD296" s="104"/>
    </row>
    <row r="297" spans="36:56" ht="25.5" x14ac:dyDescent="0.2">
      <c r="AJ297" s="103" t="s">
        <v>334</v>
      </c>
      <c r="AK297" s="19" t="s">
        <v>326</v>
      </c>
      <c r="AL297" s="19" t="s">
        <v>68</v>
      </c>
      <c r="AM297" s="91"/>
      <c r="AN297" s="91"/>
      <c r="AO297" s="92"/>
      <c r="AP297" s="92"/>
      <c r="AQ297" s="92"/>
      <c r="AR297" s="92"/>
      <c r="AS297" s="92"/>
      <c r="AT297" s="92"/>
      <c r="AU297" s="92"/>
      <c r="AV297" s="92"/>
      <c r="AW297" s="92"/>
      <c r="AX297" s="19" t="s">
        <v>255</v>
      </c>
      <c r="AY297" s="58" t="s">
        <v>147</v>
      </c>
      <c r="AZ297" s="19" t="s">
        <v>260</v>
      </c>
      <c r="BA297" s="19" t="s">
        <v>260</v>
      </c>
      <c r="BB297" s="92"/>
      <c r="BC297" s="92"/>
      <c r="BD297" s="104"/>
    </row>
    <row r="298" spans="36:56" ht="38.25" x14ac:dyDescent="0.2">
      <c r="AJ298" s="103" t="s">
        <v>334</v>
      </c>
      <c r="AK298" s="19" t="s">
        <v>326</v>
      </c>
      <c r="AL298" s="19" t="s">
        <v>70</v>
      </c>
      <c r="AM298" s="91"/>
      <c r="AN298" s="91"/>
      <c r="AO298" s="92"/>
      <c r="AP298" s="92"/>
      <c r="AQ298" s="92"/>
      <c r="AR298" s="92"/>
      <c r="AS298" s="92"/>
      <c r="AT298" s="92"/>
      <c r="AU298" s="92"/>
      <c r="AV298" s="92"/>
      <c r="AW298" s="92"/>
      <c r="AX298" s="19" t="s">
        <v>309</v>
      </c>
      <c r="AY298" s="58" t="s">
        <v>150</v>
      </c>
      <c r="AZ298" s="58" t="s">
        <v>310</v>
      </c>
      <c r="BA298" s="19">
        <v>46</v>
      </c>
      <c r="BB298" s="92"/>
      <c r="BC298" s="92"/>
      <c r="BD298" s="104"/>
    </row>
    <row r="299" spans="36:56" ht="25.5" x14ac:dyDescent="0.2">
      <c r="AJ299" s="103" t="s">
        <v>334</v>
      </c>
      <c r="AK299" s="19" t="s">
        <v>326</v>
      </c>
      <c r="AL299" s="19" t="s">
        <v>72</v>
      </c>
      <c r="AM299" s="91"/>
      <c r="AN299" s="91"/>
      <c r="AO299" s="92"/>
      <c r="AP299" s="92"/>
      <c r="AQ299" s="92"/>
      <c r="AR299" s="92"/>
      <c r="AS299" s="92"/>
      <c r="AT299" s="92"/>
      <c r="AU299" s="92"/>
      <c r="AV299" s="92"/>
      <c r="AW299" s="92"/>
      <c r="AX299" s="19" t="s">
        <v>311</v>
      </c>
      <c r="AY299" s="58" t="s">
        <v>275</v>
      </c>
      <c r="AZ299" s="58" t="s">
        <v>312</v>
      </c>
      <c r="BA299" s="19">
        <v>61</v>
      </c>
      <c r="BB299" s="92"/>
      <c r="BC299" s="92"/>
      <c r="BD299" s="104"/>
    </row>
    <row r="300" spans="36:56" ht="38.25" x14ac:dyDescent="0.2">
      <c r="AJ300" s="103" t="s">
        <v>334</v>
      </c>
      <c r="AK300" s="19" t="s">
        <v>326</v>
      </c>
      <c r="AL300" s="19" t="s">
        <v>74</v>
      </c>
      <c r="AM300" s="91"/>
      <c r="AN300" s="91"/>
      <c r="AO300" s="92"/>
      <c r="AP300" s="92"/>
      <c r="AQ300" s="92"/>
      <c r="AR300" s="92"/>
      <c r="AS300" s="92"/>
      <c r="AT300" s="92"/>
      <c r="AU300" s="92"/>
      <c r="AV300" s="92"/>
      <c r="AW300" s="92"/>
      <c r="AX300" s="19" t="s">
        <v>283</v>
      </c>
      <c r="AY300" s="58" t="s">
        <v>278</v>
      </c>
      <c r="AZ300" s="19" t="s">
        <v>260</v>
      </c>
      <c r="BA300" s="19" t="s">
        <v>260</v>
      </c>
      <c r="BB300" s="92"/>
      <c r="BC300" s="92"/>
      <c r="BD300" s="104"/>
    </row>
    <row r="301" spans="36:56" ht="25.5" x14ac:dyDescent="0.2">
      <c r="AJ301" s="103" t="s">
        <v>334</v>
      </c>
      <c r="AK301" s="19" t="s">
        <v>326</v>
      </c>
      <c r="AL301" s="19" t="s">
        <v>76</v>
      </c>
      <c r="AM301" s="91"/>
      <c r="AN301" s="91"/>
      <c r="AO301" s="92"/>
      <c r="AP301" s="92"/>
      <c r="AQ301" s="92"/>
      <c r="AR301" s="92"/>
      <c r="AS301" s="92"/>
      <c r="AT301" s="92"/>
      <c r="AU301" s="92"/>
      <c r="AV301" s="92"/>
      <c r="AW301" s="92"/>
      <c r="AX301" s="19" t="s">
        <v>281</v>
      </c>
      <c r="AY301" s="58" t="s">
        <v>165</v>
      </c>
      <c r="AZ301" s="58" t="s">
        <v>313</v>
      </c>
      <c r="BA301" s="19">
        <v>56</v>
      </c>
      <c r="BB301" s="92"/>
      <c r="BC301" s="92"/>
      <c r="BD301" s="104"/>
    </row>
    <row r="302" spans="36:56" ht="25.5" x14ac:dyDescent="0.2">
      <c r="AJ302" s="103" t="s">
        <v>334</v>
      </c>
      <c r="AK302" s="19" t="s">
        <v>326</v>
      </c>
      <c r="AL302" s="19" t="s">
        <v>78</v>
      </c>
      <c r="AM302" s="91"/>
      <c r="AN302" s="91"/>
      <c r="AO302" s="92"/>
      <c r="AP302" s="92"/>
      <c r="AQ302" s="92"/>
      <c r="AR302" s="92"/>
      <c r="AS302" s="92"/>
      <c r="AT302" s="92"/>
      <c r="AU302" s="92"/>
      <c r="AV302" s="92"/>
      <c r="AW302" s="92"/>
      <c r="AX302" s="19" t="s">
        <v>314</v>
      </c>
      <c r="AY302" s="58" t="s">
        <v>282</v>
      </c>
      <c r="AZ302" s="19" t="s">
        <v>260</v>
      </c>
      <c r="BA302" s="19" t="s">
        <v>260</v>
      </c>
      <c r="BB302" s="92"/>
      <c r="BC302" s="92"/>
      <c r="BD302" s="104"/>
    </row>
    <row r="303" spans="36:56" ht="38.25" x14ac:dyDescent="0.2">
      <c r="AJ303" s="103" t="s">
        <v>334</v>
      </c>
      <c r="AK303" s="19" t="s">
        <v>326</v>
      </c>
      <c r="AL303" s="19" t="s">
        <v>79</v>
      </c>
      <c r="AM303" s="91"/>
      <c r="AN303" s="91"/>
      <c r="AO303" s="92"/>
      <c r="AP303" s="92"/>
      <c r="AQ303" s="92"/>
      <c r="AR303" s="92"/>
      <c r="AS303" s="92"/>
      <c r="AT303" s="92"/>
      <c r="AU303" s="92"/>
      <c r="AV303" s="92"/>
      <c r="AW303" s="92"/>
      <c r="AX303" s="19" t="s">
        <v>289</v>
      </c>
      <c r="AY303" s="58" t="s">
        <v>284</v>
      </c>
      <c r="AZ303" s="58" t="s">
        <v>315</v>
      </c>
      <c r="BA303" s="19">
        <v>54</v>
      </c>
      <c r="BB303" s="92"/>
      <c r="BC303" s="92"/>
      <c r="BD303" s="104"/>
    </row>
    <row r="304" spans="36:56" ht="38.25" x14ac:dyDescent="0.2">
      <c r="AJ304" s="103" t="s">
        <v>334</v>
      </c>
      <c r="AK304" s="19" t="s">
        <v>326</v>
      </c>
      <c r="AL304" s="19" t="s">
        <v>81</v>
      </c>
      <c r="AM304" s="91"/>
      <c r="AN304" s="91"/>
      <c r="AO304" s="92"/>
      <c r="AP304" s="92"/>
      <c r="AQ304" s="92"/>
      <c r="AR304" s="92"/>
      <c r="AS304" s="92"/>
      <c r="AT304" s="92"/>
      <c r="AU304" s="92"/>
      <c r="AV304" s="92"/>
      <c r="AW304" s="92"/>
      <c r="AX304" s="19" t="s">
        <v>297</v>
      </c>
      <c r="AY304" s="58" t="s">
        <v>287</v>
      </c>
      <c r="AZ304" s="58" t="s">
        <v>316</v>
      </c>
      <c r="BA304" s="19">
        <v>61</v>
      </c>
      <c r="BB304" s="92"/>
      <c r="BC304" s="92"/>
      <c r="BD304" s="104"/>
    </row>
    <row r="305" spans="36:56" ht="25.5" x14ac:dyDescent="0.2">
      <c r="AJ305" s="103" t="s">
        <v>334</v>
      </c>
      <c r="AK305" s="19" t="s">
        <v>326</v>
      </c>
      <c r="AL305" s="19" t="s">
        <v>83</v>
      </c>
      <c r="AM305" s="91"/>
      <c r="AN305" s="91"/>
      <c r="AO305" s="92"/>
      <c r="AP305" s="92"/>
      <c r="AQ305" s="92"/>
      <c r="AR305" s="92"/>
      <c r="AS305" s="92"/>
      <c r="AT305" s="92"/>
      <c r="AU305" s="92"/>
      <c r="AV305" s="92"/>
      <c r="AW305" s="92"/>
      <c r="AX305" s="19" t="s">
        <v>279</v>
      </c>
      <c r="AY305" s="58" t="s">
        <v>290</v>
      </c>
      <c r="AZ305" s="19" t="s">
        <v>260</v>
      </c>
      <c r="BA305" s="19" t="s">
        <v>260</v>
      </c>
      <c r="BB305" s="92"/>
      <c r="BC305" s="92"/>
      <c r="BD305" s="104"/>
    </row>
    <row r="306" spans="36:56" ht="25.5" x14ac:dyDescent="0.2">
      <c r="AJ306" s="103" t="s">
        <v>334</v>
      </c>
      <c r="AK306" s="19" t="s">
        <v>326</v>
      </c>
      <c r="AL306" s="19" t="s">
        <v>85</v>
      </c>
      <c r="AM306" s="91"/>
      <c r="AN306" s="91"/>
      <c r="AO306" s="92"/>
      <c r="AP306" s="92"/>
      <c r="AQ306" s="92"/>
      <c r="AR306" s="92"/>
      <c r="AS306" s="92"/>
      <c r="AT306" s="92"/>
      <c r="AU306" s="92"/>
      <c r="AV306" s="92"/>
      <c r="AW306" s="92"/>
      <c r="AX306" s="19" t="s">
        <v>292</v>
      </c>
      <c r="AY306" s="58" t="s">
        <v>293</v>
      </c>
      <c r="AZ306" s="58" t="s">
        <v>198</v>
      </c>
      <c r="BA306" s="19">
        <v>51</v>
      </c>
      <c r="BB306" s="92"/>
      <c r="BC306" s="92"/>
      <c r="BD306" s="104"/>
    </row>
    <row r="307" spans="36:56" ht="25.5" x14ac:dyDescent="0.2">
      <c r="AJ307" s="103" t="s">
        <v>334</v>
      </c>
      <c r="AK307" s="19" t="s">
        <v>326</v>
      </c>
      <c r="AL307" s="19" t="s">
        <v>87</v>
      </c>
      <c r="AM307" s="91"/>
      <c r="AN307" s="91"/>
      <c r="AO307" s="92"/>
      <c r="AP307" s="92"/>
      <c r="AQ307" s="92"/>
      <c r="AR307" s="92"/>
      <c r="AS307" s="92"/>
      <c r="AT307" s="92"/>
      <c r="AU307" s="92"/>
      <c r="AV307" s="92"/>
      <c r="AW307" s="92"/>
      <c r="AX307" s="19" t="s">
        <v>300</v>
      </c>
      <c r="AY307" s="58" t="s">
        <v>295</v>
      </c>
      <c r="AZ307" s="19" t="s">
        <v>260</v>
      </c>
      <c r="BA307" s="19" t="s">
        <v>260</v>
      </c>
      <c r="BB307" s="92"/>
      <c r="BC307" s="92"/>
      <c r="BD307" s="104"/>
    </row>
    <row r="308" spans="36:56" ht="25.5" x14ac:dyDescent="0.2">
      <c r="AJ308" s="103" t="s">
        <v>334</v>
      </c>
      <c r="AK308" s="19" t="s">
        <v>326</v>
      </c>
      <c r="AL308" s="19" t="s">
        <v>89</v>
      </c>
      <c r="AM308" s="91"/>
      <c r="AN308" s="91"/>
      <c r="AO308" s="92"/>
      <c r="AP308" s="92"/>
      <c r="AQ308" s="92"/>
      <c r="AR308" s="92"/>
      <c r="AS308" s="92"/>
      <c r="AT308" s="92"/>
      <c r="AU308" s="92"/>
      <c r="AV308" s="92"/>
      <c r="AW308" s="92"/>
      <c r="AX308" s="19" t="s">
        <v>302</v>
      </c>
      <c r="AY308" s="58" t="s">
        <v>298</v>
      </c>
      <c r="AZ308" s="58" t="s">
        <v>299</v>
      </c>
      <c r="BA308" s="19">
        <v>61</v>
      </c>
      <c r="BB308" s="92"/>
      <c r="BC308" s="92"/>
      <c r="BD308" s="104"/>
    </row>
    <row r="309" spans="36:56" ht="38.25" x14ac:dyDescent="0.2">
      <c r="AJ309" s="103" t="s">
        <v>334</v>
      </c>
      <c r="AK309" s="19" t="s">
        <v>326</v>
      </c>
      <c r="AL309" s="19" t="s">
        <v>91</v>
      </c>
      <c r="AM309" s="91"/>
      <c r="AN309" s="91"/>
      <c r="AO309" s="92"/>
      <c r="AP309" s="92"/>
      <c r="AQ309" s="92"/>
      <c r="AR309" s="92"/>
      <c r="AS309" s="92"/>
      <c r="AT309" s="92"/>
      <c r="AU309" s="92"/>
      <c r="AV309" s="92"/>
      <c r="AW309" s="92"/>
      <c r="AX309" s="19" t="s">
        <v>304</v>
      </c>
      <c r="AY309" s="58" t="s">
        <v>301</v>
      </c>
      <c r="AZ309" s="19" t="s">
        <v>260</v>
      </c>
      <c r="BA309" s="19" t="s">
        <v>260</v>
      </c>
      <c r="BB309" s="92"/>
      <c r="BC309" s="92"/>
      <c r="BD309" s="104"/>
    </row>
    <row r="310" spans="36:56" ht="25.5" x14ac:dyDescent="0.2">
      <c r="AJ310" s="103" t="s">
        <v>334</v>
      </c>
      <c r="AK310" s="19" t="s">
        <v>327</v>
      </c>
      <c r="AL310" s="19" t="s">
        <v>100</v>
      </c>
      <c r="AM310" s="91"/>
      <c r="AN310" s="91"/>
      <c r="AO310" s="92"/>
      <c r="AP310" s="92"/>
      <c r="AQ310" s="92"/>
      <c r="AR310" s="92"/>
      <c r="AS310" s="92"/>
      <c r="AT310" s="92"/>
      <c r="AU310" s="92"/>
      <c r="AV310" s="92"/>
      <c r="AW310" s="92"/>
      <c r="AX310" s="19" t="s">
        <v>306</v>
      </c>
      <c r="AY310" s="58" t="s">
        <v>253</v>
      </c>
      <c r="AZ310" s="58" t="s">
        <v>254</v>
      </c>
      <c r="BA310" s="19">
        <v>30</v>
      </c>
      <c r="BB310" s="92"/>
      <c r="BC310" s="92"/>
      <c r="BD310" s="104"/>
    </row>
    <row r="311" spans="36:56" ht="25.5" x14ac:dyDescent="0.2">
      <c r="AJ311" s="103" t="s">
        <v>334</v>
      </c>
      <c r="AK311" s="19" t="s">
        <v>327</v>
      </c>
      <c r="AL311" s="19" t="s">
        <v>102</v>
      </c>
      <c r="AM311" s="91"/>
      <c r="AN311" s="91"/>
      <c r="AO311" s="92"/>
      <c r="AP311" s="92"/>
      <c r="AQ311" s="92"/>
      <c r="AR311" s="92"/>
      <c r="AS311" s="92"/>
      <c r="AT311" s="92"/>
      <c r="AU311" s="92"/>
      <c r="AV311" s="92"/>
      <c r="AW311" s="92"/>
      <c r="AX311" s="19" t="s">
        <v>302</v>
      </c>
      <c r="AY311" s="58" t="s">
        <v>256</v>
      </c>
      <c r="AZ311" s="58" t="s">
        <v>257</v>
      </c>
      <c r="BA311" s="19">
        <v>42</v>
      </c>
      <c r="BB311" s="92"/>
      <c r="BC311" s="92"/>
      <c r="BD311" s="104"/>
    </row>
    <row r="312" spans="36:56" ht="38.25" x14ac:dyDescent="0.2">
      <c r="AJ312" s="103" t="s">
        <v>334</v>
      </c>
      <c r="AK312" s="19" t="s">
        <v>327</v>
      </c>
      <c r="AL312" s="19" t="s">
        <v>103</v>
      </c>
      <c r="AM312" s="91"/>
      <c r="AN312" s="91"/>
      <c r="AO312" s="92"/>
      <c r="AP312" s="92"/>
      <c r="AQ312" s="92"/>
      <c r="AR312" s="92"/>
      <c r="AS312" s="92"/>
      <c r="AT312" s="92"/>
      <c r="AU312" s="92"/>
      <c r="AV312" s="92"/>
      <c r="AW312" s="92"/>
      <c r="AX312" s="19" t="s">
        <v>309</v>
      </c>
      <c r="AY312" s="58" t="s">
        <v>259</v>
      </c>
      <c r="AZ312" s="19" t="s">
        <v>260</v>
      </c>
      <c r="BA312" s="19" t="s">
        <v>260</v>
      </c>
      <c r="BB312" s="92"/>
      <c r="BC312" s="92"/>
      <c r="BD312" s="104"/>
    </row>
    <row r="313" spans="36:56" ht="25.5" x14ac:dyDescent="0.2">
      <c r="AJ313" s="103" t="s">
        <v>334</v>
      </c>
      <c r="AK313" s="19" t="s">
        <v>327</v>
      </c>
      <c r="AL313" s="19" t="s">
        <v>105</v>
      </c>
      <c r="AM313" s="91"/>
      <c r="AN313" s="91"/>
      <c r="AO313" s="92"/>
      <c r="AP313" s="92"/>
      <c r="AQ313" s="92"/>
      <c r="AR313" s="92"/>
      <c r="AS313" s="92"/>
      <c r="AT313" s="92"/>
      <c r="AU313" s="92"/>
      <c r="AV313" s="92"/>
      <c r="AW313" s="92"/>
      <c r="AX313" s="19" t="s">
        <v>271</v>
      </c>
      <c r="AY313" s="58" t="s">
        <v>262</v>
      </c>
      <c r="AZ313" s="58" t="s">
        <v>263</v>
      </c>
      <c r="BA313" s="19">
        <v>30</v>
      </c>
      <c r="BB313" s="92"/>
      <c r="BC313" s="92"/>
      <c r="BD313" s="104"/>
    </row>
    <row r="314" spans="36:56" ht="25.5" x14ac:dyDescent="0.2">
      <c r="AJ314" s="103" t="s">
        <v>334</v>
      </c>
      <c r="AK314" s="19" t="s">
        <v>327</v>
      </c>
      <c r="AL314" s="19" t="s">
        <v>107</v>
      </c>
      <c r="AM314" s="91"/>
      <c r="AN314" s="91"/>
      <c r="AO314" s="92"/>
      <c r="AP314" s="92"/>
      <c r="AQ314" s="92"/>
      <c r="AR314" s="92"/>
      <c r="AS314" s="92"/>
      <c r="AT314" s="92"/>
      <c r="AU314" s="92"/>
      <c r="AV314" s="92"/>
      <c r="AW314" s="92"/>
      <c r="AX314" s="19" t="s">
        <v>255</v>
      </c>
      <c r="AY314" s="58" t="s">
        <v>265</v>
      </c>
      <c r="AZ314" s="19" t="s">
        <v>260</v>
      </c>
      <c r="BA314" s="19" t="s">
        <v>260</v>
      </c>
      <c r="BB314" s="92"/>
      <c r="BC314" s="92"/>
      <c r="BD314" s="104"/>
    </row>
    <row r="315" spans="36:56" ht="38.25" x14ac:dyDescent="0.2">
      <c r="AJ315" s="103" t="s">
        <v>334</v>
      </c>
      <c r="AK315" s="19" t="s">
        <v>327</v>
      </c>
      <c r="AL315" s="19" t="s">
        <v>109</v>
      </c>
      <c r="AM315" s="91"/>
      <c r="AN315" s="91"/>
      <c r="AO315" s="92"/>
      <c r="AP315" s="92"/>
      <c r="AQ315" s="92"/>
      <c r="AR315" s="92"/>
      <c r="AS315" s="92"/>
      <c r="AT315" s="92"/>
      <c r="AU315" s="92"/>
      <c r="AV315" s="92"/>
      <c r="AW315" s="92"/>
      <c r="AX315" s="19" t="s">
        <v>283</v>
      </c>
      <c r="AY315" s="58" t="s">
        <v>267</v>
      </c>
      <c r="AZ315" s="58" t="s">
        <v>268</v>
      </c>
      <c r="BA315" s="19">
        <v>30</v>
      </c>
      <c r="BB315" s="92"/>
      <c r="BC315" s="92"/>
      <c r="BD315" s="104"/>
    </row>
    <row r="316" spans="36:56" ht="25.5" x14ac:dyDescent="0.2">
      <c r="AJ316" s="103" t="s">
        <v>334</v>
      </c>
      <c r="AK316" s="19" t="s">
        <v>327</v>
      </c>
      <c r="AL316" s="19" t="s">
        <v>111</v>
      </c>
      <c r="AM316" s="91"/>
      <c r="AN316" s="91"/>
      <c r="AO316" s="92"/>
      <c r="AP316" s="92"/>
      <c r="AQ316" s="92"/>
      <c r="AR316" s="92"/>
      <c r="AS316" s="92"/>
      <c r="AT316" s="92"/>
      <c r="AU316" s="92"/>
      <c r="AV316" s="92"/>
      <c r="AW316" s="92"/>
      <c r="AX316" s="19" t="s">
        <v>281</v>
      </c>
      <c r="AY316" s="58" t="s">
        <v>270</v>
      </c>
      <c r="AZ316" s="58" t="s">
        <v>144</v>
      </c>
      <c r="BA316" s="19">
        <v>61</v>
      </c>
      <c r="BB316" s="92"/>
      <c r="BC316" s="92"/>
      <c r="BD316" s="104"/>
    </row>
    <row r="317" spans="36:56" ht="25.5" x14ac:dyDescent="0.2">
      <c r="AJ317" s="103" t="s">
        <v>334</v>
      </c>
      <c r="AK317" s="19" t="s">
        <v>327</v>
      </c>
      <c r="AL317" s="19" t="s">
        <v>113</v>
      </c>
      <c r="AM317" s="91"/>
      <c r="AN317" s="91"/>
      <c r="AO317" s="92"/>
      <c r="AP317" s="92"/>
      <c r="AQ317" s="92"/>
      <c r="AR317" s="92"/>
      <c r="AS317" s="92"/>
      <c r="AT317" s="92"/>
      <c r="AU317" s="92"/>
      <c r="AV317" s="92"/>
      <c r="AW317" s="92"/>
      <c r="AX317" s="19" t="s">
        <v>311</v>
      </c>
      <c r="AY317" s="58" t="s">
        <v>147</v>
      </c>
      <c r="AZ317" s="19" t="s">
        <v>260</v>
      </c>
      <c r="BA317" s="19" t="s">
        <v>260</v>
      </c>
      <c r="BB317" s="92"/>
      <c r="BC317" s="92"/>
      <c r="BD317" s="104"/>
    </row>
    <row r="318" spans="36:56" ht="38.25" x14ac:dyDescent="0.2">
      <c r="AJ318" s="103" t="s">
        <v>334</v>
      </c>
      <c r="AK318" s="19" t="s">
        <v>327</v>
      </c>
      <c r="AL318" s="19" t="s">
        <v>115</v>
      </c>
      <c r="AM318" s="91"/>
      <c r="AN318" s="91"/>
      <c r="AO318" s="92"/>
      <c r="AP318" s="92"/>
      <c r="AQ318" s="92"/>
      <c r="AR318" s="92"/>
      <c r="AS318" s="92"/>
      <c r="AT318" s="92"/>
      <c r="AU318" s="92"/>
      <c r="AV318" s="92"/>
      <c r="AW318" s="92"/>
      <c r="AX318" s="19" t="s">
        <v>297</v>
      </c>
      <c r="AY318" s="58" t="s">
        <v>150</v>
      </c>
      <c r="AZ318" s="58" t="s">
        <v>273</v>
      </c>
      <c r="BA318" s="19">
        <v>31</v>
      </c>
      <c r="BB318" s="92"/>
      <c r="BC318" s="92"/>
      <c r="BD318" s="104"/>
    </row>
    <row r="319" spans="36:56" ht="38.25" x14ac:dyDescent="0.2">
      <c r="AJ319" s="103" t="s">
        <v>334</v>
      </c>
      <c r="AK319" s="19" t="s">
        <v>327</v>
      </c>
      <c r="AL319" s="19" t="s">
        <v>116</v>
      </c>
      <c r="AM319" s="91"/>
      <c r="AN319" s="91"/>
      <c r="AO319" s="92"/>
      <c r="AP319" s="92"/>
      <c r="AQ319" s="92"/>
      <c r="AR319" s="92"/>
      <c r="AS319" s="92"/>
      <c r="AT319" s="92"/>
      <c r="AU319" s="92"/>
      <c r="AV319" s="92"/>
      <c r="AW319" s="92"/>
      <c r="AX319" s="19" t="s">
        <v>272</v>
      </c>
      <c r="AY319" s="58" t="s">
        <v>275</v>
      </c>
      <c r="AZ319" s="58" t="s">
        <v>276</v>
      </c>
      <c r="BA319" s="19">
        <v>51</v>
      </c>
      <c r="BB319" s="92"/>
      <c r="BC319" s="92"/>
      <c r="BD319" s="104"/>
    </row>
    <row r="320" spans="36:56" ht="25.5" x14ac:dyDescent="0.2">
      <c r="AJ320" s="103" t="s">
        <v>334</v>
      </c>
      <c r="AK320" s="19" t="s">
        <v>327</v>
      </c>
      <c r="AL320" s="19" t="s">
        <v>118</v>
      </c>
      <c r="AM320" s="91"/>
      <c r="AN320" s="91"/>
      <c r="AO320" s="92"/>
      <c r="AP320" s="92"/>
      <c r="AQ320" s="92"/>
      <c r="AR320" s="92"/>
      <c r="AS320" s="92"/>
      <c r="AT320" s="92"/>
      <c r="AU320" s="92"/>
      <c r="AV320" s="92"/>
      <c r="AW320" s="92"/>
      <c r="AX320" s="19" t="s">
        <v>279</v>
      </c>
      <c r="AY320" s="58" t="s">
        <v>278</v>
      </c>
      <c r="AZ320" s="19" t="s">
        <v>260</v>
      </c>
      <c r="BA320" s="19" t="s">
        <v>260</v>
      </c>
      <c r="BB320" s="92"/>
      <c r="BC320" s="92"/>
      <c r="BD320" s="104"/>
    </row>
    <row r="321" spans="36:56" ht="38.25" x14ac:dyDescent="0.2">
      <c r="AJ321" s="103" t="s">
        <v>334</v>
      </c>
      <c r="AK321" s="19" t="s">
        <v>327</v>
      </c>
      <c r="AL321" s="19" t="s">
        <v>119</v>
      </c>
      <c r="AM321" s="91"/>
      <c r="AN321" s="91"/>
      <c r="AO321" s="92"/>
      <c r="AP321" s="92"/>
      <c r="AQ321" s="92"/>
      <c r="AR321" s="92"/>
      <c r="AS321" s="92"/>
      <c r="AT321" s="92"/>
      <c r="AU321" s="92"/>
      <c r="AV321" s="92"/>
      <c r="AW321" s="92"/>
      <c r="AX321" s="19" t="s">
        <v>304</v>
      </c>
      <c r="AY321" s="58" t="s">
        <v>165</v>
      </c>
      <c r="AZ321" s="58" t="s">
        <v>280</v>
      </c>
      <c r="BA321" s="19">
        <v>30</v>
      </c>
      <c r="BB321" s="92"/>
      <c r="BC321" s="92"/>
      <c r="BD321" s="104"/>
    </row>
    <row r="322" spans="36:56" ht="38.25" x14ac:dyDescent="0.2">
      <c r="AJ322" s="103" t="s">
        <v>334</v>
      </c>
      <c r="AK322" s="19" t="s">
        <v>327</v>
      </c>
      <c r="AL322" s="19" t="s">
        <v>120</v>
      </c>
      <c r="AM322" s="91"/>
      <c r="AN322" s="91"/>
      <c r="AO322" s="92"/>
      <c r="AP322" s="92"/>
      <c r="AQ322" s="92"/>
      <c r="AR322" s="92"/>
      <c r="AS322" s="92"/>
      <c r="AT322" s="92"/>
      <c r="AU322" s="92"/>
      <c r="AV322" s="92"/>
      <c r="AW322" s="92"/>
      <c r="AX322" s="19" t="s">
        <v>289</v>
      </c>
      <c r="AY322" s="58" t="s">
        <v>282</v>
      </c>
      <c r="AZ322" s="19" t="s">
        <v>260</v>
      </c>
      <c r="BA322" s="19" t="s">
        <v>260</v>
      </c>
      <c r="BB322" s="92"/>
      <c r="BC322" s="92"/>
      <c r="BD322" s="104"/>
    </row>
    <row r="323" spans="36:56" ht="38.25" x14ac:dyDescent="0.2">
      <c r="AJ323" s="103" t="s">
        <v>334</v>
      </c>
      <c r="AK323" s="19" t="s">
        <v>327</v>
      </c>
      <c r="AL323" s="19" t="s">
        <v>122</v>
      </c>
      <c r="AM323" s="91"/>
      <c r="AN323" s="91"/>
      <c r="AO323" s="92"/>
      <c r="AP323" s="92"/>
      <c r="AQ323" s="92"/>
      <c r="AR323" s="92"/>
      <c r="AS323" s="92"/>
      <c r="AT323" s="92"/>
      <c r="AU323" s="92"/>
      <c r="AV323" s="92"/>
      <c r="AW323" s="92"/>
      <c r="AX323" s="19" t="s">
        <v>286</v>
      </c>
      <c r="AY323" s="58" t="s">
        <v>284</v>
      </c>
      <c r="AZ323" s="58" t="s">
        <v>285</v>
      </c>
      <c r="BA323" s="19">
        <v>40</v>
      </c>
      <c r="BB323" s="92"/>
      <c r="BC323" s="92"/>
      <c r="BD323" s="104"/>
    </row>
    <row r="324" spans="36:56" ht="25.5" x14ac:dyDescent="0.2">
      <c r="AJ324" s="103" t="s">
        <v>334</v>
      </c>
      <c r="AK324" s="19" t="s">
        <v>327</v>
      </c>
      <c r="AL324" s="19" t="s">
        <v>123</v>
      </c>
      <c r="AM324" s="91"/>
      <c r="AN324" s="91"/>
      <c r="AO324" s="92"/>
      <c r="AP324" s="92"/>
      <c r="AQ324" s="92"/>
      <c r="AR324" s="92"/>
      <c r="AS324" s="92"/>
      <c r="AT324" s="92"/>
      <c r="AU324" s="92"/>
      <c r="AV324" s="92"/>
      <c r="AW324" s="92"/>
      <c r="AX324" s="19" t="s">
        <v>269</v>
      </c>
      <c r="AY324" s="58" t="s">
        <v>287</v>
      </c>
      <c r="AZ324" s="58" t="s">
        <v>288</v>
      </c>
      <c r="BA324" s="19">
        <v>41</v>
      </c>
      <c r="BB324" s="92"/>
      <c r="BC324" s="92"/>
      <c r="BD324" s="104"/>
    </row>
    <row r="325" spans="36:56" ht="25.5" x14ac:dyDescent="0.2">
      <c r="AJ325" s="103" t="s">
        <v>334</v>
      </c>
      <c r="AK325" s="19" t="s">
        <v>327</v>
      </c>
      <c r="AL325" s="19" t="s">
        <v>125</v>
      </c>
      <c r="AM325" s="91"/>
      <c r="AN325" s="91"/>
      <c r="AO325" s="92"/>
      <c r="AP325" s="92"/>
      <c r="AQ325" s="92"/>
      <c r="AR325" s="92"/>
      <c r="AS325" s="92"/>
      <c r="AT325" s="92"/>
      <c r="AU325" s="92"/>
      <c r="AV325" s="92"/>
      <c r="AW325" s="92"/>
      <c r="AX325" s="19" t="s">
        <v>292</v>
      </c>
      <c r="AY325" s="58" t="s">
        <v>290</v>
      </c>
      <c r="AZ325" s="58" t="s">
        <v>291</v>
      </c>
      <c r="BA325" s="19">
        <v>39</v>
      </c>
      <c r="BB325" s="92"/>
      <c r="BC325" s="92"/>
      <c r="BD325" s="104"/>
    </row>
    <row r="326" spans="36:56" ht="25.5" x14ac:dyDescent="0.2">
      <c r="AJ326" s="103" t="s">
        <v>334</v>
      </c>
      <c r="AK326" s="19" t="s">
        <v>327</v>
      </c>
      <c r="AL326" s="19" t="s">
        <v>127</v>
      </c>
      <c r="AM326" s="91"/>
      <c r="AN326" s="91"/>
      <c r="AO326" s="92"/>
      <c r="AP326" s="92"/>
      <c r="AQ326" s="92"/>
      <c r="AR326" s="92"/>
      <c r="AS326" s="92"/>
      <c r="AT326" s="92"/>
      <c r="AU326" s="92"/>
      <c r="AV326" s="92"/>
      <c r="AW326" s="92"/>
      <c r="AX326" s="19" t="s">
        <v>300</v>
      </c>
      <c r="AY326" s="58" t="s">
        <v>293</v>
      </c>
      <c r="AZ326" s="19" t="s">
        <v>260</v>
      </c>
      <c r="BA326" s="19" t="s">
        <v>260</v>
      </c>
      <c r="BB326" s="92"/>
      <c r="BC326" s="92"/>
      <c r="BD326" s="104"/>
    </row>
    <row r="327" spans="36:56" ht="25.5" x14ac:dyDescent="0.2">
      <c r="AJ327" s="103" t="s">
        <v>334</v>
      </c>
      <c r="AK327" s="19" t="s">
        <v>327</v>
      </c>
      <c r="AL327" s="19" t="s">
        <v>129</v>
      </c>
      <c r="AM327" s="91"/>
      <c r="AN327" s="91"/>
      <c r="AO327" s="92"/>
      <c r="AP327" s="92"/>
      <c r="AQ327" s="92"/>
      <c r="AR327" s="92"/>
      <c r="AS327" s="92"/>
      <c r="AT327" s="92"/>
      <c r="AU327" s="92"/>
      <c r="AV327" s="92"/>
      <c r="AW327" s="92"/>
      <c r="AX327" s="19" t="s">
        <v>271</v>
      </c>
      <c r="AY327" s="58" t="s">
        <v>295</v>
      </c>
      <c r="AZ327" s="58" t="s">
        <v>296</v>
      </c>
      <c r="BA327" s="19">
        <v>42</v>
      </c>
      <c r="BB327" s="92"/>
      <c r="BC327" s="92"/>
      <c r="BD327" s="104"/>
    </row>
    <row r="328" spans="36:56" ht="25.5" x14ac:dyDescent="0.2">
      <c r="AJ328" s="103" t="s">
        <v>334</v>
      </c>
      <c r="AK328" s="19" t="s">
        <v>327</v>
      </c>
      <c r="AL328" s="19" t="s">
        <v>131</v>
      </c>
      <c r="AM328" s="91"/>
      <c r="AN328" s="91"/>
      <c r="AO328" s="92"/>
      <c r="AP328" s="92"/>
      <c r="AQ328" s="92"/>
      <c r="AR328" s="92"/>
      <c r="AS328" s="92"/>
      <c r="AT328" s="92"/>
      <c r="AU328" s="92"/>
      <c r="AV328" s="92"/>
      <c r="AW328" s="92"/>
      <c r="AX328" s="19" t="s">
        <v>274</v>
      </c>
      <c r="AY328" s="58" t="s">
        <v>298</v>
      </c>
      <c r="AZ328" s="58" t="s">
        <v>299</v>
      </c>
      <c r="BA328" s="19">
        <v>61</v>
      </c>
      <c r="BB328" s="92"/>
      <c r="BC328" s="92"/>
      <c r="BD328" s="104"/>
    </row>
    <row r="329" spans="36:56" ht="26.25" thickBot="1" x14ac:dyDescent="0.25">
      <c r="AJ329" s="105" t="s">
        <v>334</v>
      </c>
      <c r="AK329" s="22" t="s">
        <v>327</v>
      </c>
      <c r="AL329" s="22" t="s">
        <v>132</v>
      </c>
      <c r="AM329" s="106"/>
      <c r="AN329" s="106"/>
      <c r="AO329" s="107"/>
      <c r="AP329" s="107"/>
      <c r="AQ329" s="107"/>
      <c r="AR329" s="107"/>
      <c r="AS329" s="107"/>
      <c r="AT329" s="107"/>
      <c r="AU329" s="107"/>
      <c r="AV329" s="107"/>
      <c r="AW329" s="107"/>
      <c r="AX329" s="22" t="s">
        <v>314</v>
      </c>
      <c r="AY329" s="60" t="s">
        <v>301</v>
      </c>
      <c r="AZ329" s="22" t="s">
        <v>260</v>
      </c>
      <c r="BA329" s="22" t="s">
        <v>260</v>
      </c>
      <c r="BB329" s="107"/>
      <c r="BC329" s="107"/>
      <c r="BD329" s="108"/>
    </row>
    <row r="330" spans="36:56" x14ac:dyDescent="0.2">
      <c r="AJ330" s="85"/>
      <c r="AK330" s="85"/>
      <c r="AL330" s="85"/>
    </row>
    <row r="331" spans="36:56" x14ac:dyDescent="0.2">
      <c r="AJ331" s="85"/>
      <c r="AK331" s="85"/>
      <c r="AL331" s="85"/>
    </row>
    <row r="332" spans="36:56" x14ac:dyDescent="0.2">
      <c r="AJ332" s="85"/>
      <c r="AK332" s="85"/>
      <c r="AL332" s="85"/>
    </row>
    <row r="333" spans="36:56" x14ac:dyDescent="0.2">
      <c r="AJ333" s="85"/>
      <c r="AK333" s="85"/>
      <c r="AL333" s="85"/>
    </row>
    <row r="334" spans="36:56" x14ac:dyDescent="0.2">
      <c r="AJ334" s="85"/>
      <c r="AK334" s="85"/>
      <c r="AL334" s="85"/>
    </row>
    <row r="335" spans="36:56" x14ac:dyDescent="0.2">
      <c r="AJ335" s="85"/>
      <c r="AK335" s="85"/>
      <c r="AL335" s="85"/>
    </row>
    <row r="336" spans="36:56" x14ac:dyDescent="0.2">
      <c r="AJ336" s="85"/>
      <c r="AK336" s="85"/>
      <c r="AL336" s="85"/>
    </row>
    <row r="337" spans="36:38" x14ac:dyDescent="0.2">
      <c r="AJ337" s="85"/>
      <c r="AK337" s="85"/>
      <c r="AL337" s="85"/>
    </row>
    <row r="338" spans="36:38" x14ac:dyDescent="0.2">
      <c r="AJ338" s="85"/>
      <c r="AK338" s="85"/>
      <c r="AL338" s="85"/>
    </row>
    <row r="339" spans="36:38" x14ac:dyDescent="0.2">
      <c r="AJ339" s="85"/>
      <c r="AK339" s="85"/>
      <c r="AL339" s="85"/>
    </row>
    <row r="340" spans="36:38" x14ac:dyDescent="0.2">
      <c r="AJ340" s="85"/>
      <c r="AK340" s="85"/>
      <c r="AL340" s="85"/>
    </row>
    <row r="341" spans="36:38" x14ac:dyDescent="0.2">
      <c r="AJ341" s="85"/>
      <c r="AK341" s="85"/>
      <c r="AL341" s="85"/>
    </row>
    <row r="342" spans="36:38" x14ac:dyDescent="0.2">
      <c r="AJ342" s="85"/>
      <c r="AK342" s="85"/>
      <c r="AL342" s="85"/>
    </row>
    <row r="343" spans="36:38" x14ac:dyDescent="0.2">
      <c r="AJ343" s="85"/>
      <c r="AK343" s="85"/>
      <c r="AL343" s="85"/>
    </row>
    <row r="344" spans="36:38" x14ac:dyDescent="0.2">
      <c r="AJ344" s="85"/>
      <c r="AK344" s="85"/>
      <c r="AL344" s="85"/>
    </row>
    <row r="345" spans="36:38" x14ac:dyDescent="0.2">
      <c r="AJ345" s="85"/>
      <c r="AK345" s="85"/>
      <c r="AL345" s="85"/>
    </row>
    <row r="346" spans="36:38" x14ac:dyDescent="0.2">
      <c r="AJ346" s="85"/>
      <c r="AK346" s="85"/>
      <c r="AL346" s="85"/>
    </row>
    <row r="347" spans="36:38" x14ac:dyDescent="0.2">
      <c r="AJ347" s="85"/>
      <c r="AK347" s="85"/>
      <c r="AL347" s="85"/>
    </row>
    <row r="348" spans="36:38" x14ac:dyDescent="0.2">
      <c r="AJ348" s="85"/>
      <c r="AK348" s="85"/>
      <c r="AL348" s="85"/>
    </row>
    <row r="349" spans="36:38" x14ac:dyDescent="0.2">
      <c r="AJ349" s="85"/>
      <c r="AK349" s="85"/>
      <c r="AL349" s="85"/>
    </row>
    <row r="350" spans="36:38" x14ac:dyDescent="0.2">
      <c r="AJ350" s="85"/>
      <c r="AK350" s="85"/>
      <c r="AL350" s="85"/>
    </row>
    <row r="351" spans="36:38" x14ac:dyDescent="0.2">
      <c r="AJ351" s="85"/>
      <c r="AK351" s="85"/>
      <c r="AL351" s="85"/>
    </row>
    <row r="352" spans="36:38" x14ac:dyDescent="0.2">
      <c r="AJ352" s="85"/>
      <c r="AK352" s="85"/>
      <c r="AL352" s="85"/>
    </row>
    <row r="353" spans="36:38" x14ac:dyDescent="0.2">
      <c r="AJ353" s="85"/>
      <c r="AK353" s="85"/>
      <c r="AL353" s="85"/>
    </row>
    <row r="354" spans="36:38" x14ac:dyDescent="0.2">
      <c r="AJ354" s="85"/>
      <c r="AK354" s="85"/>
      <c r="AL354" s="85"/>
    </row>
    <row r="355" spans="36:38" x14ac:dyDescent="0.2">
      <c r="AJ355" s="85"/>
      <c r="AK355" s="85"/>
      <c r="AL355" s="85"/>
    </row>
    <row r="356" spans="36:38" x14ac:dyDescent="0.2">
      <c r="AJ356" s="85"/>
      <c r="AK356" s="85"/>
      <c r="AL356" s="85"/>
    </row>
    <row r="357" spans="36:38" x14ac:dyDescent="0.2">
      <c r="AJ357" s="85"/>
      <c r="AK357" s="85"/>
      <c r="AL357" s="85"/>
    </row>
    <row r="358" spans="36:38" x14ac:dyDescent="0.2">
      <c r="AJ358" s="85"/>
      <c r="AK358" s="85"/>
      <c r="AL358" s="85"/>
    </row>
    <row r="359" spans="36:38" x14ac:dyDescent="0.2">
      <c r="AJ359" s="85"/>
      <c r="AK359" s="85"/>
      <c r="AL359" s="85"/>
    </row>
    <row r="360" spans="36:38" x14ac:dyDescent="0.2">
      <c r="AJ360" s="85"/>
      <c r="AK360" s="85"/>
      <c r="AL360" s="85"/>
    </row>
    <row r="361" spans="36:38" x14ac:dyDescent="0.2">
      <c r="AJ361" s="85"/>
      <c r="AK361" s="85"/>
      <c r="AL361" s="85"/>
    </row>
    <row r="362" spans="36:38" x14ac:dyDescent="0.2">
      <c r="AJ362" s="85"/>
      <c r="AK362" s="85"/>
      <c r="AL362" s="85"/>
    </row>
    <row r="363" spans="36:38" x14ac:dyDescent="0.2">
      <c r="AJ363" s="85"/>
      <c r="AK363" s="85"/>
      <c r="AL363" s="85"/>
    </row>
    <row r="364" spans="36:38" x14ac:dyDescent="0.2">
      <c r="AJ364" s="85"/>
      <c r="AK364" s="85"/>
      <c r="AL364" s="85"/>
    </row>
    <row r="365" spans="36:38" x14ac:dyDescent="0.2">
      <c r="AJ365" s="85"/>
      <c r="AK365" s="85"/>
      <c r="AL365" s="85"/>
    </row>
    <row r="366" spans="36:38" x14ac:dyDescent="0.2">
      <c r="AJ366" s="85"/>
      <c r="AK366" s="85"/>
      <c r="AL366" s="85"/>
    </row>
    <row r="367" spans="36:38" x14ac:dyDescent="0.2">
      <c r="AJ367" s="85"/>
      <c r="AK367" s="85"/>
      <c r="AL367" s="85"/>
    </row>
    <row r="368" spans="36:38" x14ac:dyDescent="0.2">
      <c r="AJ368" s="85"/>
      <c r="AK368" s="85"/>
      <c r="AL368" s="85"/>
    </row>
    <row r="369" spans="36:38" x14ac:dyDescent="0.2">
      <c r="AJ369" s="85"/>
      <c r="AK369" s="85"/>
      <c r="AL369" s="85"/>
    </row>
    <row r="370" spans="36:38" x14ac:dyDescent="0.2">
      <c r="AJ370" s="85"/>
      <c r="AK370" s="85"/>
      <c r="AL370" s="85"/>
    </row>
    <row r="371" spans="36:38" x14ac:dyDescent="0.2">
      <c r="AJ371" s="85"/>
      <c r="AK371" s="85"/>
      <c r="AL371" s="85"/>
    </row>
    <row r="372" spans="36:38" x14ac:dyDescent="0.2">
      <c r="AJ372" s="85"/>
      <c r="AK372" s="85"/>
      <c r="AL372" s="85"/>
    </row>
    <row r="373" spans="36:38" x14ac:dyDescent="0.2">
      <c r="AJ373" s="85"/>
      <c r="AK373" s="85"/>
      <c r="AL373" s="85"/>
    </row>
    <row r="374" spans="36:38" x14ac:dyDescent="0.2">
      <c r="AJ374" s="85"/>
      <c r="AK374" s="85"/>
      <c r="AL374" s="85"/>
    </row>
    <row r="375" spans="36:38" x14ac:dyDescent="0.2">
      <c r="AJ375" s="85"/>
      <c r="AK375" s="85"/>
      <c r="AL375" s="85"/>
    </row>
    <row r="376" spans="36:38" x14ac:dyDescent="0.2">
      <c r="AJ376" s="85"/>
      <c r="AK376" s="85"/>
      <c r="AL376" s="85"/>
    </row>
    <row r="377" spans="36:38" x14ac:dyDescent="0.2">
      <c r="AJ377" s="85"/>
      <c r="AK377" s="85"/>
      <c r="AL377" s="85"/>
    </row>
    <row r="378" spans="36:38" x14ac:dyDescent="0.2">
      <c r="AJ378" s="85"/>
      <c r="AK378" s="85"/>
      <c r="AL378" s="85"/>
    </row>
    <row r="379" spans="36:38" x14ac:dyDescent="0.2">
      <c r="AJ379" s="85"/>
      <c r="AK379" s="85"/>
      <c r="AL379" s="85"/>
    </row>
    <row r="380" spans="36:38" x14ac:dyDescent="0.2">
      <c r="AJ380" s="85"/>
      <c r="AK380" s="85"/>
      <c r="AL380" s="85"/>
    </row>
    <row r="381" spans="36:38" x14ac:dyDescent="0.2">
      <c r="AJ381" s="85"/>
      <c r="AK381" s="85"/>
      <c r="AL381" s="85"/>
    </row>
    <row r="382" spans="36:38" x14ac:dyDescent="0.2">
      <c r="AJ382" s="85"/>
      <c r="AK382" s="85"/>
      <c r="AL382" s="85"/>
    </row>
    <row r="383" spans="36:38" x14ac:dyDescent="0.2">
      <c r="AJ383" s="85"/>
      <c r="AK383" s="85"/>
      <c r="AL383" s="85"/>
    </row>
    <row r="384" spans="36:38" x14ac:dyDescent="0.2">
      <c r="AJ384" s="85"/>
      <c r="AK384" s="85"/>
      <c r="AL384" s="85"/>
    </row>
    <row r="385" spans="36:38" x14ac:dyDescent="0.2">
      <c r="AJ385" s="85"/>
      <c r="AK385" s="85"/>
      <c r="AL385" s="85"/>
    </row>
    <row r="386" spans="36:38" x14ac:dyDescent="0.2">
      <c r="AJ386" s="85"/>
      <c r="AK386" s="85"/>
      <c r="AL386" s="85"/>
    </row>
    <row r="387" spans="36:38" x14ac:dyDescent="0.2">
      <c r="AJ387" s="85"/>
      <c r="AK387" s="85"/>
      <c r="AL387" s="85"/>
    </row>
    <row r="388" spans="36:38" x14ac:dyDescent="0.2">
      <c r="AJ388" s="85"/>
      <c r="AK388" s="85"/>
      <c r="AL388" s="85"/>
    </row>
    <row r="389" spans="36:38" x14ac:dyDescent="0.2">
      <c r="AJ389" s="85"/>
      <c r="AK389" s="85"/>
      <c r="AL389" s="85"/>
    </row>
    <row r="390" spans="36:38" x14ac:dyDescent="0.2">
      <c r="AJ390" s="85"/>
      <c r="AK390" s="85"/>
      <c r="AL390" s="85"/>
    </row>
  </sheetData>
  <autoFilter ref="AJ2:BD2" xr:uid="{1C72461F-491D-4949-94CC-83B2E10E3229}"/>
  <mergeCells count="6">
    <mergeCell ref="AC1:AG1"/>
    <mergeCell ref="AJ1:BD1"/>
    <mergeCell ref="P1:T1"/>
    <mergeCell ref="V1:AA1"/>
    <mergeCell ref="A1:F1"/>
    <mergeCell ref="I1:N1"/>
  </mergeCells>
  <phoneticPr fontId="13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94986-37DA-436C-8F5A-E6107875C2C5}">
  <dimension ref="A1:T7"/>
  <sheetViews>
    <sheetView topLeftCell="A16" workbookViewId="0">
      <selection activeCell="P32" sqref="P32"/>
    </sheetView>
  </sheetViews>
  <sheetFormatPr defaultRowHeight="12.75" x14ac:dyDescent="0.2"/>
  <cols>
    <col min="1" max="1" width="16" bestFit="1" customWidth="1"/>
    <col min="2" max="2" width="21.140625" bestFit="1" customWidth="1"/>
    <col min="3" max="3" width="23" bestFit="1" customWidth="1"/>
    <col min="4" max="4" width="22" bestFit="1" customWidth="1"/>
    <col min="5" max="5" width="27.140625" bestFit="1" customWidth="1"/>
    <col min="6" max="6" width="33.42578125" bestFit="1" customWidth="1"/>
    <col min="7" max="7" width="27.85546875" bestFit="1" customWidth="1"/>
    <col min="8" max="8" width="32.7109375" bestFit="1" customWidth="1"/>
    <col min="9" max="9" width="19.140625" bestFit="1" customWidth="1"/>
    <col min="10" max="10" width="35.42578125" bestFit="1" customWidth="1"/>
    <col min="11" max="11" width="24.7109375" bestFit="1" customWidth="1"/>
    <col min="12" max="12" width="29.140625" bestFit="1" customWidth="1"/>
    <col min="13" max="13" width="29.28515625" bestFit="1" customWidth="1"/>
    <col min="14" max="14" width="37" bestFit="1" customWidth="1"/>
    <col min="15" max="15" width="25.28515625" bestFit="1" customWidth="1"/>
    <col min="16" max="16" width="43.42578125" bestFit="1" customWidth="1"/>
    <col min="17" max="17" width="38.7109375" bestFit="1" customWidth="1"/>
    <col min="18" max="18" width="22.140625" bestFit="1" customWidth="1"/>
    <col min="19" max="19" width="19.42578125" bestFit="1" customWidth="1"/>
    <col min="20" max="20" width="20.85546875" bestFit="1" customWidth="1"/>
  </cols>
  <sheetData>
    <row r="1" spans="1:20" x14ac:dyDescent="0.2">
      <c r="A1" s="32" t="s">
        <v>1</v>
      </c>
      <c r="B1" t="s" vm="3">
        <v>366</v>
      </c>
    </row>
    <row r="3" spans="1:20" x14ac:dyDescent="0.2">
      <c r="A3" s="32" t="s">
        <v>377</v>
      </c>
      <c r="B3" t="s">
        <v>329</v>
      </c>
      <c r="C3" t="s">
        <v>321</v>
      </c>
      <c r="D3" t="s">
        <v>322</v>
      </c>
      <c r="E3" t="s">
        <v>332</v>
      </c>
      <c r="F3" t="s">
        <v>365</v>
      </c>
      <c r="G3" t="s">
        <v>323</v>
      </c>
      <c r="H3" t="s">
        <v>350</v>
      </c>
      <c r="I3" t="s">
        <v>345</v>
      </c>
      <c r="J3" t="s">
        <v>364</v>
      </c>
      <c r="K3" t="s">
        <v>337</v>
      </c>
      <c r="L3" t="s">
        <v>346</v>
      </c>
      <c r="M3" t="s">
        <v>347</v>
      </c>
      <c r="N3" t="s">
        <v>374</v>
      </c>
      <c r="O3" t="s">
        <v>335</v>
      </c>
      <c r="P3" t="s">
        <v>375</v>
      </c>
      <c r="Q3" t="s">
        <v>376</v>
      </c>
      <c r="R3" t="s">
        <v>341</v>
      </c>
      <c r="S3" t="s">
        <v>342</v>
      </c>
      <c r="T3" t="s">
        <v>343</v>
      </c>
    </row>
    <row r="4" spans="1:20" x14ac:dyDescent="0.2">
      <c r="A4" s="33" t="s">
        <v>327</v>
      </c>
      <c r="B4" s="31">
        <v>108</v>
      </c>
      <c r="C4" s="31">
        <v>12450000</v>
      </c>
      <c r="D4" s="31">
        <v>15250000</v>
      </c>
      <c r="E4" s="31">
        <v>3.8012024482225724</v>
      </c>
      <c r="F4" s="31">
        <v>23</v>
      </c>
      <c r="G4" s="31">
        <v>16.198797551777432</v>
      </c>
      <c r="H4" s="31">
        <v>23</v>
      </c>
      <c r="I4" s="31">
        <v>20</v>
      </c>
      <c r="J4" s="31">
        <v>23</v>
      </c>
      <c r="K4" s="31">
        <v>20</v>
      </c>
      <c r="L4" s="31">
        <v>20</v>
      </c>
      <c r="M4" s="31">
        <v>61</v>
      </c>
      <c r="N4" s="31">
        <v>20</v>
      </c>
      <c r="O4" s="31">
        <v>20</v>
      </c>
      <c r="P4" s="31">
        <v>20</v>
      </c>
      <c r="Q4" s="31">
        <v>20</v>
      </c>
      <c r="R4" s="31">
        <v>226</v>
      </c>
      <c r="S4" s="31">
        <v>72</v>
      </c>
      <c r="T4" s="31">
        <v>12</v>
      </c>
    </row>
    <row r="5" spans="1:20" x14ac:dyDescent="0.2">
      <c r="A5" s="33" t="s">
        <v>325</v>
      </c>
      <c r="B5" s="31">
        <v>110</v>
      </c>
      <c r="C5" s="31">
        <v>12830000</v>
      </c>
      <c r="D5" s="31">
        <v>17200000</v>
      </c>
      <c r="E5" s="31">
        <v>4.8986987466998224</v>
      </c>
      <c r="F5" s="31">
        <v>25</v>
      </c>
      <c r="G5" s="31">
        <v>15.101301253300177</v>
      </c>
      <c r="H5" s="31">
        <v>25</v>
      </c>
      <c r="I5" s="31">
        <v>20</v>
      </c>
      <c r="J5" s="31">
        <v>25</v>
      </c>
      <c r="K5" s="31">
        <v>20</v>
      </c>
      <c r="L5" s="31">
        <v>20</v>
      </c>
      <c r="M5" s="31">
        <v>59</v>
      </c>
      <c r="N5" s="31">
        <v>20</v>
      </c>
      <c r="O5" s="31">
        <v>20</v>
      </c>
      <c r="P5" s="31">
        <v>20</v>
      </c>
      <c r="Q5" s="31">
        <v>20</v>
      </c>
      <c r="R5" s="31">
        <v>221</v>
      </c>
      <c r="S5" s="31">
        <v>71</v>
      </c>
      <c r="T5" s="31">
        <v>16</v>
      </c>
    </row>
    <row r="6" spans="1:20" x14ac:dyDescent="0.2">
      <c r="A6" s="33" t="s">
        <v>326</v>
      </c>
      <c r="B6" s="31">
        <v>109</v>
      </c>
      <c r="C6" s="31">
        <v>12000000</v>
      </c>
      <c r="D6" s="31">
        <v>15750000</v>
      </c>
      <c r="E6" s="31">
        <v>4.7193965863857503</v>
      </c>
      <c r="F6" s="31">
        <v>24</v>
      </c>
      <c r="G6" s="31">
        <v>15.280603413614248</v>
      </c>
      <c r="H6" s="31">
        <v>24</v>
      </c>
      <c r="I6" s="31">
        <v>20</v>
      </c>
      <c r="J6" s="31">
        <v>24</v>
      </c>
      <c r="K6" s="31">
        <v>20</v>
      </c>
      <c r="L6" s="31">
        <v>20</v>
      </c>
      <c r="M6" s="31">
        <v>61</v>
      </c>
      <c r="N6" s="31">
        <v>20</v>
      </c>
      <c r="O6" s="31">
        <v>20</v>
      </c>
      <c r="P6" s="31">
        <v>20</v>
      </c>
      <c r="Q6" s="31">
        <v>20</v>
      </c>
      <c r="R6" s="31">
        <v>220</v>
      </c>
      <c r="S6" s="31">
        <v>79</v>
      </c>
      <c r="T6" s="31">
        <v>13</v>
      </c>
    </row>
    <row r="7" spans="1:20" x14ac:dyDescent="0.2">
      <c r="A7" s="33" t="s">
        <v>320</v>
      </c>
      <c r="B7" s="31">
        <v>327</v>
      </c>
      <c r="C7" s="31">
        <v>37280000</v>
      </c>
      <c r="D7" s="31">
        <v>48200000</v>
      </c>
      <c r="E7" s="31">
        <v>13.419297781308144</v>
      </c>
      <c r="F7" s="31">
        <v>72</v>
      </c>
      <c r="G7" s="31">
        <v>46.580702218691847</v>
      </c>
      <c r="H7" s="31">
        <v>72</v>
      </c>
      <c r="I7" s="31">
        <v>60</v>
      </c>
      <c r="J7" s="31">
        <v>72</v>
      </c>
      <c r="K7" s="31">
        <v>60</v>
      </c>
      <c r="L7" s="31">
        <v>60</v>
      </c>
      <c r="M7" s="31">
        <v>181</v>
      </c>
      <c r="N7" s="31">
        <v>60</v>
      </c>
      <c r="O7" s="31">
        <v>60</v>
      </c>
      <c r="P7" s="31">
        <v>60</v>
      </c>
      <c r="Q7" s="31">
        <v>60</v>
      </c>
      <c r="R7" s="31">
        <v>667</v>
      </c>
      <c r="S7" s="31">
        <v>222</v>
      </c>
      <c r="T7" s="31">
        <v>41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Client Contract List</vt:lpstr>
      <vt:lpstr>CLIENT CONTRACT LIST ANALYSIS</vt:lpstr>
      <vt:lpstr>Client Response Times</vt:lpstr>
      <vt:lpstr>CLIENT RESPONSE TIME ANALYSIS</vt:lpstr>
      <vt:lpstr>Net Promoter Score</vt:lpstr>
      <vt:lpstr>NET PROMOTER SCORE ANALYSIS</vt:lpstr>
      <vt:lpstr>Project Completion Timelines</vt:lpstr>
      <vt:lpstr>PROJ. COMP. TIMELINES ANALYSIS</vt:lpstr>
      <vt:lpstr>Cost Effectiveness</vt:lpstr>
      <vt:lpstr>COST EFFECTIVENESS ANALYSIS</vt:lpstr>
      <vt:lpstr>Master Data</vt:lpstr>
      <vt:lpstr>COMBINED ANALYSIS</vt:lpstr>
      <vt:lpstr>'Master Data'!_FilterDatabase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Gordon Elliott Williams</dc:creator>
  <dc:description/>
  <cp:lastModifiedBy>Gordon Williams</cp:lastModifiedBy>
  <cp:revision>4</cp:revision>
  <dcterms:created xsi:type="dcterms:W3CDTF">2024-04-28T19:58:38Z</dcterms:created>
  <dcterms:modified xsi:type="dcterms:W3CDTF">2025-08-04T00:54:08Z</dcterms:modified>
  <dc:language>en-US</dc:language>
</cp:coreProperties>
</file>