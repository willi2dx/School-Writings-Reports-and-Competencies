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li\Desktop\GRADUATE POST\BUS 530\"/>
    </mc:Choice>
  </mc:AlternateContent>
  <xr:revisionPtr revIDLastSave="0" documentId="13_ncr:1_{2C98AE3E-B4DA-4823-B24F-7CF8F1F5ACC3}" xr6:coauthVersionLast="47" xr6:coauthVersionMax="47" xr10:uidLastSave="{00000000-0000-0000-0000-000000000000}"/>
  <bookViews>
    <workbookView xWindow="21120" yWindow="0" windowWidth="27135" windowHeight="15600" xr2:uid="{9E51031E-A79C-4EF7-9EA9-47C3AC64F3F5}"/>
  </bookViews>
  <sheets>
    <sheet name="Risk Register" sheetId="3" r:id="rId1"/>
    <sheet name="BUDGET" sheetId="2" r:id="rId2"/>
    <sheet name="WBS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3" l="1"/>
  <c r="F13" i="3"/>
  <c r="F12" i="3"/>
  <c r="F11" i="3"/>
  <c r="F10" i="3"/>
  <c r="F9" i="3"/>
  <c r="F8" i="3"/>
  <c r="F7" i="3"/>
  <c r="F6" i="3"/>
  <c r="F5" i="3"/>
  <c r="C97" i="2"/>
  <c r="C90" i="2"/>
  <c r="C77" i="2"/>
  <c r="C66" i="2"/>
  <c r="C59" i="2"/>
  <c r="C46" i="2"/>
  <c r="C35" i="2"/>
  <c r="C28" i="2"/>
  <c r="C14" i="2"/>
  <c r="D36" i="2" l="1"/>
  <c r="D98" i="2"/>
  <c r="D6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Gordon Elliott Williams</author>
  </authors>
  <commentList>
    <comment ref="A1" authorId="0" shapeId="0" xr:uid="{E9C10E4A-C8C9-4A6C-ADB1-D7ED140BC47F}">
      <text>
        <r>
          <rPr>
            <b/>
            <sz val="9"/>
            <color indexed="81"/>
            <rFont val="Tahoma"/>
            <family val="2"/>
          </rPr>
          <t>Gordon Elliott Williams:</t>
        </r>
        <r>
          <rPr>
            <sz val="9"/>
            <color indexed="81"/>
            <rFont val="Tahoma"/>
            <family val="2"/>
          </rPr>
          <t xml:space="preserve">
This was partially borrowed from LucidCharts.com</t>
        </r>
      </text>
    </comment>
  </commentList>
</comments>
</file>

<file path=xl/sharedStrings.xml><?xml version="1.0" encoding="utf-8"?>
<sst xmlns="http://schemas.openxmlformats.org/spreadsheetml/2006/main" count="527" uniqueCount="218">
  <si>
    <t>Task No.</t>
  </si>
  <si>
    <t>Project Name</t>
  </si>
  <si>
    <t>Project Manager</t>
  </si>
  <si>
    <t xml:space="preserve">Date </t>
  </si>
  <si>
    <t>Version</t>
  </si>
  <si>
    <t>In Progress</t>
  </si>
  <si>
    <t>Assigned</t>
  </si>
  <si>
    <t>Cost</t>
  </si>
  <si>
    <t>Estimated Completion</t>
  </si>
  <si>
    <t>Task              Status</t>
  </si>
  <si>
    <t>Start                Date</t>
  </si>
  <si>
    <t>Finish Date</t>
  </si>
  <si>
    <t>Task                         Owner</t>
  </si>
  <si>
    <t>Execution Phase</t>
  </si>
  <si>
    <t>2.2.1</t>
  </si>
  <si>
    <t>2.2.2</t>
  </si>
  <si>
    <t>2.0</t>
  </si>
  <si>
    <t>2.2</t>
  </si>
  <si>
    <t>2.3</t>
  </si>
  <si>
    <t>2.4</t>
  </si>
  <si>
    <t>2.5</t>
  </si>
  <si>
    <t>Level 1</t>
  </si>
  <si>
    <t>Level 2</t>
  </si>
  <si>
    <t>Level 3</t>
  </si>
  <si>
    <t>1.0</t>
  </si>
  <si>
    <t>Initiation &amp; Planning Phase</t>
  </si>
  <si>
    <t>3.0</t>
  </si>
  <si>
    <t>1.1</t>
  </si>
  <si>
    <t>1.2</t>
  </si>
  <si>
    <t>1.3</t>
  </si>
  <si>
    <t>1.4</t>
  </si>
  <si>
    <t>1.5</t>
  </si>
  <si>
    <t>1.2.1</t>
  </si>
  <si>
    <t>1.2.2</t>
  </si>
  <si>
    <t>1.3.1</t>
  </si>
  <si>
    <t>1.3.2</t>
  </si>
  <si>
    <t>1.3.3</t>
  </si>
  <si>
    <t>2.3.1</t>
  </si>
  <si>
    <t>2.3.2</t>
  </si>
  <si>
    <t>2.3.3</t>
  </si>
  <si>
    <t>3.1</t>
  </si>
  <si>
    <t>3.2</t>
  </si>
  <si>
    <t>3.3</t>
  </si>
  <si>
    <t>3.4</t>
  </si>
  <si>
    <t>3.5</t>
  </si>
  <si>
    <t>3.2.1</t>
  </si>
  <si>
    <t>3.2.2</t>
  </si>
  <si>
    <t>3.3.1</t>
  </si>
  <si>
    <t>3.3.2</t>
  </si>
  <si>
    <t>3.3.3</t>
  </si>
  <si>
    <t>Saving Terra</t>
  </si>
  <si>
    <t>Gordon Elliott Williams</t>
  </si>
  <si>
    <t>Class</t>
  </si>
  <si>
    <t>BUS530 - Project Management</t>
  </si>
  <si>
    <t>WORK BREAKDOWN STRUCTURE</t>
  </si>
  <si>
    <t>Congressional Approval for Fund Allocation</t>
  </si>
  <si>
    <t>Underground Engineering &amp; Excavation</t>
  </si>
  <si>
    <t>Offshore Engineering &amp; Builders</t>
  </si>
  <si>
    <t>Hyperloop Interconnectivity</t>
  </si>
  <si>
    <t>Level 1 - Fund Allocation &amp; Site Approval</t>
  </si>
  <si>
    <t>Level 2 - Communication &amp; Transportation</t>
  </si>
  <si>
    <t>Level 3 - Solicitation of Hiring Body</t>
  </si>
  <si>
    <t>Randstad</t>
  </si>
  <si>
    <t>ResearchGate</t>
  </si>
  <si>
    <t>Kolabtree</t>
  </si>
  <si>
    <t>Project Manager's Assistant</t>
  </si>
  <si>
    <t>Project Sponsor</t>
  </si>
  <si>
    <t>Primary Site Appropriation - Underground</t>
  </si>
  <si>
    <t>Secondary Site Appropriation - Offshore</t>
  </si>
  <si>
    <t>Elon Musk</t>
  </si>
  <si>
    <t>Underground Fiberoptics/Microtrenching</t>
  </si>
  <si>
    <t>$35/linear foot</t>
  </si>
  <si>
    <t>Teraspan</t>
  </si>
  <si>
    <t>$20 billion</t>
  </si>
  <si>
    <t>$2 million</t>
  </si>
  <si>
    <t>$100,0000 - $250,000</t>
  </si>
  <si>
    <t>Ongoing</t>
  </si>
  <si>
    <t>Unassigned</t>
  </si>
  <si>
    <t>$50 billion (military budget)</t>
  </si>
  <si>
    <t>1 year</t>
  </si>
  <si>
    <t>Task Description</t>
  </si>
  <si>
    <t>Unknown</t>
  </si>
  <si>
    <t>Summer 2021</t>
  </si>
  <si>
    <t>Primary &amp; Secondary Site Allocation</t>
  </si>
  <si>
    <t>Primary Site - Underground - Excavation</t>
  </si>
  <si>
    <t>Secondary Site - Abandoned Offshore Oil Rig - Refitment</t>
  </si>
  <si>
    <t>OSHA - Occupational Safety &amp; Health Administration</t>
  </si>
  <si>
    <t xml:space="preserve">Alcor - Cryogenic Freezing, Preservation, &amp; Storage </t>
  </si>
  <si>
    <t>Lockheed Martin - Electrical Engineering</t>
  </si>
  <si>
    <t>Baldridge &amp; Associates - Structural Engineering</t>
  </si>
  <si>
    <t>Roto Rooters - Plumbing Company</t>
  </si>
  <si>
    <t>Ameriquai - Meals Ready To Eat</t>
  </si>
  <si>
    <t>Blacks Water Conditioning - Water Purification</t>
  </si>
  <si>
    <t>Spring 2022</t>
  </si>
  <si>
    <t>Performance &amp; Monitoring Phase</t>
  </si>
  <si>
    <t>Completion of Facilities for Storage</t>
  </si>
  <si>
    <t>International Approval for Scientists to Enter Regions</t>
  </si>
  <si>
    <t>Primary backup of all seedlings of the Doomsday Vault</t>
  </si>
  <si>
    <t>Secondary backup of all seedlings of the Doomsday Vault</t>
  </si>
  <si>
    <t>1.3.4</t>
  </si>
  <si>
    <t>1.3.5</t>
  </si>
  <si>
    <t>Record Coordiation of all Sites &amp; Doomsday Vault</t>
  </si>
  <si>
    <t>Biologists</t>
  </si>
  <si>
    <t>Agronomists</t>
  </si>
  <si>
    <t>Botanists</t>
  </si>
  <si>
    <t>Cytologists</t>
  </si>
  <si>
    <t>Marine Biologists</t>
  </si>
  <si>
    <t>Course Project:  Projected Budget</t>
  </si>
  <si>
    <t>BUDGET FOR PRIMARY SITE</t>
  </si>
  <si>
    <t>Federal Legal Approvals, Taxes, Regulations, etc.</t>
  </si>
  <si>
    <t>State Legal Approvals, Taxes, Regulations, etc.</t>
  </si>
  <si>
    <t>Local Legal Approvals, Taxes, Regulations, etc.</t>
  </si>
  <si>
    <t>Primary Contractor</t>
  </si>
  <si>
    <t>Level 1 - Primary</t>
  </si>
  <si>
    <t>Level 2 - Subcontractors</t>
  </si>
  <si>
    <t>Foundations</t>
  </si>
  <si>
    <t>Security Systems</t>
  </si>
  <si>
    <t>HVAC</t>
  </si>
  <si>
    <t>Excavation and Soil Removal</t>
  </si>
  <si>
    <t>Tree Removal and Replantation (per State Agreement)</t>
  </si>
  <si>
    <t>Electrical and Fiberoptic Wiring</t>
  </si>
  <si>
    <t>Plumbing</t>
  </si>
  <si>
    <t>Technology, Internet</t>
  </si>
  <si>
    <t>Concrete Flatwork</t>
  </si>
  <si>
    <t>Roofing</t>
  </si>
  <si>
    <t>Interior Modeling (Security Level Delta-5 Black Clearance only)</t>
  </si>
  <si>
    <t>Microtrenching</t>
  </si>
  <si>
    <t>1.2.3</t>
  </si>
  <si>
    <t>1.2.4</t>
  </si>
  <si>
    <t>1.2.5</t>
  </si>
  <si>
    <t>1.2.6</t>
  </si>
  <si>
    <t>1.2.7</t>
  </si>
  <si>
    <t>1.2.8</t>
  </si>
  <si>
    <t>1.2.9</t>
  </si>
  <si>
    <t>1.2.A</t>
  </si>
  <si>
    <t>1.2.B</t>
  </si>
  <si>
    <t>1.2.C</t>
  </si>
  <si>
    <t>Level 3 - Secured Interior Projects</t>
  </si>
  <si>
    <t>Electrical and Cooling Systems</t>
  </si>
  <si>
    <t>Fire Systems</t>
  </si>
  <si>
    <t>Cryogenics and Cryopreservation</t>
  </si>
  <si>
    <t>Cell Harvesting</t>
  </si>
  <si>
    <t>Gene Therapy</t>
  </si>
  <si>
    <t>Estimated Cost(s)</t>
  </si>
  <si>
    <t>Subtotal</t>
  </si>
  <si>
    <t>Totals for Site A</t>
  </si>
  <si>
    <t>BUDGET FOR OFFSHORE SITE</t>
  </si>
  <si>
    <t>Primary Site Appropriation - Offshore</t>
  </si>
  <si>
    <t>Offshore/Seafaring Legal Approvals, Taxes, Regulations, etc.</t>
  </si>
  <si>
    <t>National Marine Fisheries Service</t>
  </si>
  <si>
    <t>National Oceanic and Atmospheric Administration</t>
  </si>
  <si>
    <t>Level 2 - Subcontractors &amp; Other Legal Entities</t>
  </si>
  <si>
    <t>Fishery Management Plan for Regulating Offfshore Aquaculture</t>
  </si>
  <si>
    <t>Gulf of Mexico Fishery Management Council</t>
  </si>
  <si>
    <t>Magnuson-Stevens Fishery Conversation and Management Act</t>
  </si>
  <si>
    <t>National Aquaculture Policy</t>
  </si>
  <si>
    <t>Federal Energy Regulatory Commission</t>
  </si>
  <si>
    <t>Bureau of Land Management</t>
  </si>
  <si>
    <t>Bureau of Ocean Energy Management</t>
  </si>
  <si>
    <t>Bureau of Safety and Environmental Enforcement</t>
  </si>
  <si>
    <t>Environmental Protection Agency</t>
  </si>
  <si>
    <t>Pipeline and Hazardous Materials Safety Administration</t>
  </si>
  <si>
    <t>Subcontractor Refitment of Site</t>
  </si>
  <si>
    <t>Level 3 - Security ans Safety</t>
  </si>
  <si>
    <t>Totals for Site B</t>
  </si>
  <si>
    <t>BUDGET FOR EMERGENCY HYPERLOOP</t>
  </si>
  <si>
    <t>Federal EPA Approvals</t>
  </si>
  <si>
    <t>Tubing (Security Level Delta-5 Black Clearance only)</t>
  </si>
  <si>
    <t>Excavation (Security Level Delta-5 Black Clearance only)</t>
  </si>
  <si>
    <t>American Steel Corporation</t>
  </si>
  <si>
    <t>Hyperloop Transportation Technologies</t>
  </si>
  <si>
    <t>SpaceX</t>
  </si>
  <si>
    <t>Tesla</t>
  </si>
  <si>
    <t>Virgin Hyperloop One</t>
  </si>
  <si>
    <t>Toray Advanced Composites</t>
  </si>
  <si>
    <t>Boeing</t>
  </si>
  <si>
    <t>Underwater Excavation</t>
  </si>
  <si>
    <t>Grand Total</t>
  </si>
  <si>
    <t>Items</t>
  </si>
  <si>
    <t>Estimated Costs</t>
  </si>
  <si>
    <t>RISK DESCRIPTION</t>
  </si>
  <si>
    <t>IMPACT DESCRIPTION</t>
  </si>
  <si>
    <t>IMPACT 
LEVEL</t>
  </si>
  <si>
    <t>PROBABILITY LEVEL</t>
  </si>
  <si>
    <t>PRIORITY LEVEL</t>
  </si>
  <si>
    <t>MITIGATION NOTES</t>
  </si>
  <si>
    <t>OWNER</t>
  </si>
  <si>
    <t>What will happen if the risk is not mitigated or eliminated?</t>
  </si>
  <si>
    <t>Rate 
1 (LOW) to 
5 (HIGH)</t>
  </si>
  <si>
    <t xml:space="preserve">(IMPACT X PROBABILITY)
Address the  highest first. </t>
  </si>
  <si>
    <t>What can be done to lower or eliminate the impact or probability?</t>
  </si>
  <si>
    <t>Who's responsible?</t>
  </si>
  <si>
    <t>PROBABILITY</t>
  </si>
  <si>
    <t>IMPACT</t>
  </si>
  <si>
    <t>RISK REGISTER</t>
  </si>
  <si>
    <t>Brief Summary</t>
  </si>
  <si>
    <t>Oil Platform Instability due to age</t>
  </si>
  <si>
    <t>Material/Steel shortage for hyper tunne4l construction</t>
  </si>
  <si>
    <t>Tesla backs out of project in construction of hyper tunnel</t>
  </si>
  <si>
    <t>Access denied to countries for plant/seed allocation</t>
  </si>
  <si>
    <t>Access denied to countries bordering seas for water life</t>
  </si>
  <si>
    <t>Not enough qualified American scientists</t>
  </si>
  <si>
    <t>Underground blockage of underwater tunnel constructiuon</t>
  </si>
  <si>
    <t>Cryogenic cell storage incompatible with water based sites</t>
  </si>
  <si>
    <t>Impending catastropphic event happeniong unexpectedly before completion of all projects</t>
  </si>
  <si>
    <t>Government funds become unapproved to fiinsh any site, tunnel, or project</t>
  </si>
  <si>
    <t>Find asotherr used platform</t>
  </si>
  <si>
    <t>Obtain steel from Canada or Mexico</t>
  </si>
  <si>
    <t>backup competitor: SpaceX or Boeing</t>
  </si>
  <si>
    <t>Seek assistance from one of their neighboring allies</t>
  </si>
  <si>
    <t>Seek emploployees from India, Russia, and Japan</t>
  </si>
  <si>
    <t>Reroute temporarily above sea level</t>
  </si>
  <si>
    <t>Secondary process option:  Vitrification</t>
  </si>
  <si>
    <t>Consider private fund borrowing or allocation from crypto-related based corporations</t>
  </si>
  <si>
    <t>Life possibly ends</t>
  </si>
  <si>
    <t>Negative</t>
  </si>
  <si>
    <t>Unintended</t>
  </si>
  <si>
    <t>Intended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</si>
</sst>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mm/dd/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Times New Roman"/>
      <family val="1"/>
    </font>
    <font>
      <b/>
      <sz val="20"/>
      <color theme="1" tint="0.34998626667073579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12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6" fontId="2" fillId="0" borderId="1" xfId="0" applyNumberFormat="1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6" fontId="4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49" fontId="4" fillId="3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6" fontId="4" fillId="6" borderId="1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15" fontId="4" fillId="3" borderId="5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49" fontId="4" fillId="3" borderId="9" xfId="0" applyNumberFormat="1" applyFont="1" applyFill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left" vertical="center"/>
    </xf>
    <xf numFmtId="0" fontId="2" fillId="2" borderId="11" xfId="0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49" fontId="4" fillId="6" borderId="4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15" fontId="4" fillId="3" borderId="9" xfId="0" applyNumberFormat="1" applyFont="1" applyFill="1" applyBorder="1" applyAlignment="1">
      <alignment horizontal="left" vertical="center"/>
    </xf>
    <xf numFmtId="49" fontId="3" fillId="4" borderId="20" xfId="0" applyNumberFormat="1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 wrapText="1"/>
    </xf>
    <xf numFmtId="49" fontId="4" fillId="3" borderId="10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left" vertical="center"/>
    </xf>
    <xf numFmtId="49" fontId="4" fillId="3" borderId="23" xfId="0" applyNumberFormat="1" applyFont="1" applyFill="1" applyBorder="1" applyAlignment="1">
      <alignment horizontal="left" vertical="center"/>
    </xf>
    <xf numFmtId="0" fontId="4" fillId="5" borderId="27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3" fillId="4" borderId="28" xfId="0" applyFont="1" applyFill="1" applyBorder="1" applyAlignment="1">
      <alignment horizontal="center" vertical="center"/>
    </xf>
    <xf numFmtId="6" fontId="4" fillId="5" borderId="5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right" vertical="center"/>
    </xf>
    <xf numFmtId="44" fontId="2" fillId="0" borderId="5" xfId="2" applyFont="1" applyBorder="1" applyAlignment="1">
      <alignment vertical="center"/>
    </xf>
    <xf numFmtId="44" fontId="3" fillId="4" borderId="28" xfId="2" applyFont="1" applyFill="1" applyBorder="1" applyAlignment="1">
      <alignment horizontal="center" vertical="center"/>
    </xf>
    <xf numFmtId="44" fontId="4" fillId="5" borderId="5" xfId="2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right" vertical="center"/>
    </xf>
    <xf numFmtId="44" fontId="3" fillId="4" borderId="29" xfId="2" applyFont="1" applyFill="1" applyBorder="1" applyAlignment="1">
      <alignment horizontal="center" vertical="center"/>
    </xf>
    <xf numFmtId="49" fontId="2" fillId="0" borderId="30" xfId="0" applyNumberFormat="1" applyFont="1" applyBorder="1" applyAlignment="1">
      <alignment horizontal="center" vertical="center"/>
    </xf>
    <xf numFmtId="44" fontId="4" fillId="7" borderId="17" xfId="2" applyFont="1" applyFill="1" applyBorder="1" applyAlignment="1">
      <alignment vertical="center"/>
    </xf>
    <xf numFmtId="0" fontId="2" fillId="0" borderId="32" xfId="0" applyFont="1" applyBorder="1" applyAlignment="1">
      <alignment vertical="center"/>
    </xf>
    <xf numFmtId="44" fontId="2" fillId="0" borderId="9" xfId="2" applyFont="1" applyBorder="1" applyAlignment="1">
      <alignment vertical="center"/>
    </xf>
    <xf numFmtId="44" fontId="4" fillId="7" borderId="26" xfId="2" applyFont="1" applyFill="1" applyBorder="1" applyAlignment="1">
      <alignment vertical="center"/>
    </xf>
    <xf numFmtId="0" fontId="0" fillId="0" borderId="0" xfId="0" applyAlignment="1">
      <alignment horizontal="left"/>
    </xf>
    <xf numFmtId="0" fontId="6" fillId="8" borderId="33" xfId="0" applyFont="1" applyFill="1" applyBorder="1"/>
    <xf numFmtId="44" fontId="3" fillId="0" borderId="0" xfId="2" applyFont="1" applyFill="1" applyBorder="1" applyAlignment="1">
      <alignment horizontal="center" vertical="center"/>
    </xf>
    <xf numFmtId="44" fontId="4" fillId="0" borderId="0" xfId="2" applyFont="1" applyFill="1" applyBorder="1" applyAlignment="1">
      <alignment horizontal="center" vertical="center"/>
    </xf>
    <xf numFmtId="44" fontId="0" fillId="0" borderId="0" xfId="2" applyFont="1"/>
    <xf numFmtId="44" fontId="2" fillId="0" borderId="0" xfId="2" applyFont="1" applyFill="1" applyBorder="1" applyAlignment="1">
      <alignment vertical="center"/>
    </xf>
    <xf numFmtId="44" fontId="2" fillId="0" borderId="0" xfId="2" applyFont="1" applyAlignment="1">
      <alignment vertical="center"/>
    </xf>
    <xf numFmtId="0" fontId="0" fillId="0" borderId="14" xfId="0" applyBorder="1" applyAlignment="1">
      <alignment horizontal="left"/>
    </xf>
    <xf numFmtId="44" fontId="0" fillId="0" borderId="18" xfId="2" applyFont="1" applyBorder="1"/>
    <xf numFmtId="0" fontId="0" fillId="0" borderId="15" xfId="0" applyBorder="1" applyAlignment="1">
      <alignment horizontal="left"/>
    </xf>
    <xf numFmtId="44" fontId="0" fillId="0" borderId="19" xfId="2" applyFont="1" applyBorder="1"/>
    <xf numFmtId="0" fontId="0" fillId="0" borderId="24" xfId="0" pivotButton="1" applyBorder="1"/>
    <xf numFmtId="44" fontId="0" fillId="0" borderId="26" xfId="2" applyFont="1" applyBorder="1"/>
    <xf numFmtId="0" fontId="0" fillId="0" borderId="24" xfId="0" applyBorder="1" applyAlignment="1">
      <alignment horizontal="left"/>
    </xf>
    <xf numFmtId="44" fontId="0" fillId="0" borderId="26" xfId="2" applyFont="1" applyBorder="1" applyAlignment="1">
      <alignment horizontal="center"/>
    </xf>
    <xf numFmtId="0" fontId="6" fillId="8" borderId="34" xfId="0" applyFont="1" applyFill="1" applyBorder="1" applyAlignment="1">
      <alignment horizontal="left"/>
    </xf>
    <xf numFmtId="44" fontId="6" fillId="8" borderId="33" xfId="2" applyFont="1" applyFill="1" applyBorder="1"/>
    <xf numFmtId="44" fontId="6" fillId="8" borderId="34" xfId="2" applyFont="1" applyFill="1" applyBorder="1"/>
    <xf numFmtId="49" fontId="3" fillId="2" borderId="24" xfId="0" applyNumberFormat="1" applyFont="1" applyFill="1" applyBorder="1" applyAlignment="1">
      <alignment horizontal="center" vertical="center"/>
    </xf>
    <xf numFmtId="49" fontId="3" fillId="2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right" vertical="center"/>
    </xf>
    <xf numFmtId="0" fontId="4" fillId="7" borderId="26" xfId="0" applyFont="1" applyFill="1" applyBorder="1" applyAlignment="1">
      <alignment horizontal="right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1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2" fillId="17" borderId="35" xfId="0" applyFont="1" applyFill="1" applyBorder="1" applyAlignment="1">
      <alignment horizontal="center" vertical="center" textRotation="90"/>
    </xf>
    <xf numFmtId="0" fontId="12" fillId="17" borderId="36" xfId="0" applyFont="1" applyFill="1" applyBorder="1" applyAlignment="1">
      <alignment horizontal="center" vertical="center" textRotation="90"/>
    </xf>
    <xf numFmtId="0" fontId="12" fillId="17" borderId="21" xfId="0" applyFont="1" applyFill="1" applyBorder="1" applyAlignment="1">
      <alignment horizontal="center" vertical="center" textRotation="90"/>
    </xf>
    <xf numFmtId="0" fontId="12" fillId="17" borderId="37" xfId="0" applyFont="1" applyFill="1" applyBorder="1" applyAlignment="1">
      <alignment horizontal="center" vertical="center"/>
    </xf>
    <xf numFmtId="0" fontId="12" fillId="17" borderId="38" xfId="0" applyFont="1" applyFill="1" applyBorder="1" applyAlignment="1">
      <alignment horizontal="center" vertical="center"/>
    </xf>
    <xf numFmtId="0" fontId="12" fillId="17" borderId="27" xfId="0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Normal 2" xfId="1" xr:uid="{71D7690E-E0ED-4E0F-A1EA-00CD515049CF}"/>
  </cellStyles>
  <dxfs count="13">
    <dxf>
      <fill>
        <patternFill>
          <bgColor rgb="FFBCE65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 Register, Budget, and WBS.xlsx]BUDGET!PivotTable3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BUDGET!$F$9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4FF7-4210-9D9C-98A8E1D9B6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4FF7-4210-9D9C-98A8E1D9B6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4FF7-4210-9D9C-98A8E1D9B6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4FF7-4210-9D9C-98A8E1D9B6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4FF7-4210-9D9C-98A8E1D9B60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4FF7-4210-9D9C-98A8E1D9B60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4FF7-4210-9D9C-98A8E1D9B60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4FF7-4210-9D9C-98A8E1D9B60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4FF7-4210-9D9C-98A8E1D9B60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4FF7-4210-9D9C-98A8E1D9B60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4FF7-4210-9D9C-98A8E1D9B60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4FF7-4210-9D9C-98A8E1D9B60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4FF7-4210-9D9C-98A8E1D9B60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4FF7-4210-9D9C-98A8E1D9B60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4FF7-4210-9D9C-98A8E1D9B60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4FF7-4210-9D9C-98A8E1D9B60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4FF7-4210-9D9C-98A8E1D9B60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4FF7-4210-9D9C-98A8E1D9B60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4FF7-4210-9D9C-98A8E1D9B60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4FF7-4210-9D9C-98A8E1D9B60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4FF7-4210-9D9C-98A8E1D9B60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4FF7-4210-9D9C-98A8E1D9B60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4FF7-4210-9D9C-98A8E1D9B603}"/>
              </c:ext>
            </c:extLst>
          </c:dPt>
          <c:cat>
            <c:strRef>
              <c:f>BUDGET!$E$10:$E$33</c:f>
              <c:strCache>
                <c:ptCount val="23"/>
                <c:pt idx="0">
                  <c:v>Cell Harvesting</c:v>
                </c:pt>
                <c:pt idx="1">
                  <c:v>Concrete Flatwork</c:v>
                </c:pt>
                <c:pt idx="2">
                  <c:v>Cryogenics and Cryopreservation</c:v>
                </c:pt>
                <c:pt idx="3">
                  <c:v>Electrical and Cooling Systems</c:v>
                </c:pt>
                <c:pt idx="4">
                  <c:v>Electrical and Fiberoptic Wiring</c:v>
                </c:pt>
                <c:pt idx="5">
                  <c:v>Excavation and Soil Removal</c:v>
                </c:pt>
                <c:pt idx="6">
                  <c:v>Federal Legal Approvals, Taxes, Regulations, etc.</c:v>
                </c:pt>
                <c:pt idx="7">
                  <c:v>Fire Systems</c:v>
                </c:pt>
                <c:pt idx="8">
                  <c:v>Foundations</c:v>
                </c:pt>
                <c:pt idx="9">
                  <c:v>Gene Therapy</c:v>
                </c:pt>
                <c:pt idx="10">
                  <c:v>HVAC</c:v>
                </c:pt>
                <c:pt idx="11">
                  <c:v>Interior Modeling (Security Level Delta-5 Black Clearance only)</c:v>
                </c:pt>
                <c:pt idx="12">
                  <c:v>Local Legal Approvals, Taxes, Regulations, etc.</c:v>
                </c:pt>
                <c:pt idx="13">
                  <c:v>Microtrenching</c:v>
                </c:pt>
                <c:pt idx="14">
                  <c:v>Plumbing</c:v>
                </c:pt>
                <c:pt idx="15">
                  <c:v>Primary Contractor</c:v>
                </c:pt>
                <c:pt idx="16">
                  <c:v>Primary Site Appropriation - Underground</c:v>
                </c:pt>
                <c:pt idx="17">
                  <c:v>Roofing</c:v>
                </c:pt>
                <c:pt idx="18">
                  <c:v>Security Systems</c:v>
                </c:pt>
                <c:pt idx="19">
                  <c:v>State Legal Approvals, Taxes, Regulations, etc.</c:v>
                </c:pt>
                <c:pt idx="20">
                  <c:v>Subtotal</c:v>
                </c:pt>
                <c:pt idx="21">
                  <c:v>Technology, Internet</c:v>
                </c:pt>
                <c:pt idx="22">
                  <c:v>Tree Removal and Replantation (per State Agreement)</c:v>
                </c:pt>
              </c:strCache>
            </c:strRef>
          </c:cat>
          <c:val>
            <c:numRef>
              <c:f>BUDGET!$F$10:$F$33</c:f>
              <c:numCache>
                <c:formatCode>_("$"* #,##0.00_);_("$"* \(#,##0.00\);_("$"* "-"??_);_(@_)</c:formatCode>
                <c:ptCount val="23"/>
                <c:pt idx="0">
                  <c:v>40000000</c:v>
                </c:pt>
                <c:pt idx="1">
                  <c:v>750000</c:v>
                </c:pt>
                <c:pt idx="2">
                  <c:v>12000000</c:v>
                </c:pt>
                <c:pt idx="3">
                  <c:v>4500000</c:v>
                </c:pt>
                <c:pt idx="4">
                  <c:v>1750000</c:v>
                </c:pt>
                <c:pt idx="5">
                  <c:v>3000000</c:v>
                </c:pt>
                <c:pt idx="6">
                  <c:v>500000</c:v>
                </c:pt>
                <c:pt idx="7">
                  <c:v>4200000</c:v>
                </c:pt>
                <c:pt idx="8">
                  <c:v>3000000</c:v>
                </c:pt>
                <c:pt idx="9">
                  <c:v>65000000</c:v>
                </c:pt>
                <c:pt idx="10">
                  <c:v>2000000</c:v>
                </c:pt>
                <c:pt idx="11">
                  <c:v>5000000</c:v>
                </c:pt>
                <c:pt idx="12">
                  <c:v>300000</c:v>
                </c:pt>
                <c:pt idx="13">
                  <c:v>2000000</c:v>
                </c:pt>
                <c:pt idx="14">
                  <c:v>4500000</c:v>
                </c:pt>
                <c:pt idx="15">
                  <c:v>6000000</c:v>
                </c:pt>
                <c:pt idx="16">
                  <c:v>2000000</c:v>
                </c:pt>
                <c:pt idx="17">
                  <c:v>1000800</c:v>
                </c:pt>
                <c:pt idx="18">
                  <c:v>2000000</c:v>
                </c:pt>
                <c:pt idx="19">
                  <c:v>480000</c:v>
                </c:pt>
                <c:pt idx="20">
                  <c:v>160690800</c:v>
                </c:pt>
                <c:pt idx="21">
                  <c:v>230000</c:v>
                </c:pt>
                <c:pt idx="22">
                  <c:v>480000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C-4ECB-8A0D-4D0ECF973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25"/>
              <c:pt idx="0">
                <c:v>Bureau of Land Management</c:v>
              </c:pt>
              <c:pt idx="1">
                <c:v>Bureau of Ocean Energy Management</c:v>
              </c:pt>
              <c:pt idx="2">
                <c:v>Bureau of Safety and Environmental Enforcement</c:v>
              </c:pt>
              <c:pt idx="3">
                <c:v>Cell Harvesting</c:v>
              </c:pt>
              <c:pt idx="4">
                <c:v>Cryogenics and Cryopreservation</c:v>
              </c:pt>
              <c:pt idx="5">
                <c:v>Electrical and Cooling Systems</c:v>
              </c:pt>
              <c:pt idx="6">
                <c:v>Environmental Protection Agency</c:v>
              </c:pt>
              <c:pt idx="7">
                <c:v>Federal Energy Regulatory Commission</c:v>
              </c:pt>
              <c:pt idx="8">
                <c:v>Federal Legal Approvals, Taxes, Regulations, etc.</c:v>
              </c:pt>
              <c:pt idx="9">
                <c:v>Fire Systems</c:v>
              </c:pt>
              <c:pt idx="10">
                <c:v>Fishery Management Plan for Regulating Offfshore Aquaculture</c:v>
              </c:pt>
              <c:pt idx="11">
                <c:v>Gene Therapy</c:v>
              </c:pt>
              <c:pt idx="12">
                <c:v>Gulf of Mexico Fishery Management Council</c:v>
              </c:pt>
              <c:pt idx="13">
                <c:v>Level 1 - Primary</c:v>
              </c:pt>
              <c:pt idx="14">
                <c:v>Level 2 - Subcontractors &amp; Other Legal Entities</c:v>
              </c:pt>
              <c:pt idx="15">
                <c:v>Level 3 - Security ans Safety</c:v>
              </c:pt>
              <c:pt idx="16">
                <c:v>Magnuson-Stevens Fishery Conversation and Management Act</c:v>
              </c:pt>
              <c:pt idx="17">
                <c:v>National Aquaculture Policy</c:v>
              </c:pt>
              <c:pt idx="18">
                <c:v>National Marine Fisheries Service</c:v>
              </c:pt>
              <c:pt idx="19">
                <c:v>National Oceanic and Atmospheric Administration</c:v>
              </c:pt>
              <c:pt idx="20">
                <c:v>Offshore/Seafaring Legal Approvals, Taxes, Regulations, etc.</c:v>
              </c:pt>
              <c:pt idx="21">
                <c:v>Pipeline and Hazardous Materials Safety Administration</c:v>
              </c:pt>
              <c:pt idx="22">
                <c:v>Primary Site Appropriation - Offshore</c:v>
              </c:pt>
              <c:pt idx="23">
                <c:v>Subcontractor Refitment of Site</c:v>
              </c:pt>
              <c:pt idx="24">
                <c:v>Subtotal</c:v>
              </c:pt>
            </c:strLit>
          </c:cat>
          <c:val>
            <c:numLit>
              <c:formatCode>General</c:formatCode>
              <c:ptCount val="25"/>
              <c:pt idx="0">
                <c:v>1000000</c:v>
              </c:pt>
              <c:pt idx="1">
                <c:v>1000000</c:v>
              </c:pt>
              <c:pt idx="2">
                <c:v>1000000</c:v>
              </c:pt>
              <c:pt idx="3">
                <c:v>40000000</c:v>
              </c:pt>
              <c:pt idx="4">
                <c:v>12000000</c:v>
              </c:pt>
              <c:pt idx="5">
                <c:v>4500000</c:v>
              </c:pt>
              <c:pt idx="6">
                <c:v>1000000</c:v>
              </c:pt>
              <c:pt idx="7">
                <c:v>1000000</c:v>
              </c:pt>
              <c:pt idx="8">
                <c:v>500000</c:v>
              </c:pt>
              <c:pt idx="9">
                <c:v>4200000</c:v>
              </c:pt>
              <c:pt idx="10">
                <c:v>1000000</c:v>
              </c:pt>
              <c:pt idx="11">
                <c:v>65000000</c:v>
              </c:pt>
              <c:pt idx="12">
                <c:v>1000000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1000000</c:v>
              </c:pt>
              <c:pt idx="17">
                <c:v>1000000</c:v>
              </c:pt>
              <c:pt idx="18">
                <c:v>250000</c:v>
              </c:pt>
              <c:pt idx="19">
                <c:v>425000</c:v>
              </c:pt>
              <c:pt idx="20">
                <c:v>500000</c:v>
              </c:pt>
              <c:pt idx="21">
                <c:v>5000000</c:v>
              </c:pt>
              <c:pt idx="22">
                <c:v>650000000</c:v>
              </c:pt>
              <c:pt idx="23">
                <c:v>250000000</c:v>
              </c:pt>
              <c:pt idx="24">
                <c:v>1041375000</c:v>
              </c:pt>
            </c:numLit>
          </c:val>
          <c:extLst>
            <c:ext xmlns:c16="http://schemas.microsoft.com/office/drawing/2014/chart" uri="{C3380CC4-5D6E-409C-BE32-E72D297353CC}">
              <c16:uniqueId val="{00000000-F160-4FBE-B7AE-8A69CF0D6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51484944"/>
        <c:axId val="2051478288"/>
        <c:axId val="0"/>
      </c:bar3DChart>
      <c:catAx>
        <c:axId val="205148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478288"/>
        <c:crosses val="autoZero"/>
        <c:auto val="1"/>
        <c:lblAlgn val="ctr"/>
        <c:lblOffset val="100"/>
        <c:noMultiLvlLbl val="0"/>
      </c:catAx>
      <c:valAx>
        <c:axId val="205147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48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147985564304463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BUDGET!$F$69</c:f>
              <c:strCache>
                <c:ptCount val="1"/>
                <c:pt idx="0">
                  <c:v> Estimated Costs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C50-4E92-8645-454525E05E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C50-4E92-8645-454525E05E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C50-4E92-8645-454525E05E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C50-4E92-8645-454525E05E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C50-4E92-8645-454525E05E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C50-4E92-8645-454525E05EF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C50-4E92-8645-454525E05EF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C50-4E92-8645-454525E05EF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C50-4E92-8645-454525E05EF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C50-4E92-8645-454525E05EF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C50-4E92-8645-454525E05EF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C50-4E92-8645-454525E05EF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1C50-4E92-8645-454525E05EF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1C50-4E92-8645-454525E05EF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1C50-4E92-8645-454525E05EF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1C50-4E92-8645-454525E05EF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1C50-4E92-8645-454525E05EF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1C50-4E92-8645-454525E05EF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1C50-4E92-8645-454525E05EF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1C50-4E92-8645-454525E05EF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1C50-4E92-8645-454525E05EF4}"/>
              </c:ext>
            </c:extLst>
          </c:dPt>
          <c:cat>
            <c:strRef>
              <c:f>BUDGET!$E$70:$E$90</c:f>
              <c:strCache>
                <c:ptCount val="21"/>
                <c:pt idx="0">
                  <c:v>American Steel Corporation</c:v>
                </c:pt>
                <c:pt idx="1">
                  <c:v>Boeing</c:v>
                </c:pt>
                <c:pt idx="2">
                  <c:v>Cell Harvesting</c:v>
                </c:pt>
                <c:pt idx="3">
                  <c:v>Cryogenics and Cryopreservation</c:v>
                </c:pt>
                <c:pt idx="4">
                  <c:v>Electrical and Cooling Systems</c:v>
                </c:pt>
                <c:pt idx="5">
                  <c:v>Excavation (Security Level Delta-5 Black Clearance only)</c:v>
                </c:pt>
                <c:pt idx="6">
                  <c:v>Federal Energy Regulatory Commission</c:v>
                </c:pt>
                <c:pt idx="7">
                  <c:v>Federal EPA Approvals</c:v>
                </c:pt>
                <c:pt idx="8">
                  <c:v>Federal Legal Approvals, Taxes, Regulations, etc.</c:v>
                </c:pt>
                <c:pt idx="9">
                  <c:v>Fire Systems</c:v>
                </c:pt>
                <c:pt idx="10">
                  <c:v>Gene Therapy</c:v>
                </c:pt>
                <c:pt idx="11">
                  <c:v>Hyperloop Transportation Technologies</c:v>
                </c:pt>
                <c:pt idx="12">
                  <c:v>Local Legal Approvals, Taxes, Regulations, etc.</c:v>
                </c:pt>
                <c:pt idx="13">
                  <c:v>Primary Contractor</c:v>
                </c:pt>
                <c:pt idx="14">
                  <c:v>SpaceX</c:v>
                </c:pt>
                <c:pt idx="15">
                  <c:v>State Legal Approvals, Taxes, Regulations, etc.</c:v>
                </c:pt>
                <c:pt idx="16">
                  <c:v>Tesla</c:v>
                </c:pt>
                <c:pt idx="17">
                  <c:v>Toray Advanced Composites</c:v>
                </c:pt>
                <c:pt idx="18">
                  <c:v>Tubing (Security Level Delta-5 Black Clearance only)</c:v>
                </c:pt>
                <c:pt idx="19">
                  <c:v>Underwater Excavation</c:v>
                </c:pt>
                <c:pt idx="20">
                  <c:v>Virgin Hyperloop One</c:v>
                </c:pt>
              </c:strCache>
            </c:strRef>
          </c:cat>
          <c:val>
            <c:numRef>
              <c:f>BUDGET!$F$70:$F$90</c:f>
              <c:numCache>
                <c:formatCode>_("$"* #,##0.00_);_("$"* \(#,##0.00\);_("$"* "-"??_);_(@_)</c:formatCode>
                <c:ptCount val="21"/>
                <c:pt idx="0">
                  <c:v>1000000000</c:v>
                </c:pt>
                <c:pt idx="1">
                  <c:v>658000000</c:v>
                </c:pt>
                <c:pt idx="2">
                  <c:v>40000000</c:v>
                </c:pt>
                <c:pt idx="3">
                  <c:v>12000000</c:v>
                </c:pt>
                <c:pt idx="4">
                  <c:v>4500000</c:v>
                </c:pt>
                <c:pt idx="5">
                  <c:v>17000000</c:v>
                </c:pt>
                <c:pt idx="6">
                  <c:v>1000000</c:v>
                </c:pt>
                <c:pt idx="7">
                  <c:v>650000000</c:v>
                </c:pt>
                <c:pt idx="8">
                  <c:v>500000</c:v>
                </c:pt>
                <c:pt idx="9">
                  <c:v>4200000</c:v>
                </c:pt>
                <c:pt idx="10">
                  <c:v>65000000</c:v>
                </c:pt>
                <c:pt idx="11">
                  <c:v>650000000</c:v>
                </c:pt>
                <c:pt idx="12">
                  <c:v>300000</c:v>
                </c:pt>
                <c:pt idx="13">
                  <c:v>6000000</c:v>
                </c:pt>
                <c:pt idx="14">
                  <c:v>820196000</c:v>
                </c:pt>
                <c:pt idx="15">
                  <c:v>480000</c:v>
                </c:pt>
                <c:pt idx="16">
                  <c:v>0</c:v>
                </c:pt>
                <c:pt idx="17">
                  <c:v>423000000</c:v>
                </c:pt>
                <c:pt idx="18">
                  <c:v>130000000</c:v>
                </c:pt>
                <c:pt idx="19">
                  <c:v>45000000</c:v>
                </c:pt>
                <c:pt idx="20">
                  <c:v>765000000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8-4DF7-881D-E8902D526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4761</xdr:colOff>
      <xdr:row>7</xdr:row>
      <xdr:rowOff>200025</xdr:rowOff>
    </xdr:from>
    <xdr:to>
      <xdr:col>24</xdr:col>
      <xdr:colOff>581024</xdr:colOff>
      <xdr:row>32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A986B7-44D4-411F-84C8-3A8D2B364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36</xdr:row>
      <xdr:rowOff>14287</xdr:rowOff>
    </xdr:from>
    <xdr:to>
      <xdr:col>25</xdr:col>
      <xdr:colOff>9524</xdr:colOff>
      <xdr:row>63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BDA28B-12EF-467D-922A-768C3A878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585786</xdr:colOff>
      <xdr:row>67</xdr:row>
      <xdr:rowOff>204786</xdr:rowOff>
    </xdr:from>
    <xdr:to>
      <xdr:col>24</xdr:col>
      <xdr:colOff>476249</xdr:colOff>
      <xdr:row>90</xdr:row>
      <xdr:rowOff>200024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46F2F5-0223-4F41-A153-DFF91236E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0</xdr:row>
      <xdr:rowOff>19050</xdr:rowOff>
    </xdr:from>
    <xdr:to>
      <xdr:col>8</xdr:col>
      <xdr:colOff>14655</xdr:colOff>
      <xdr:row>3</xdr:row>
      <xdr:rowOff>21981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CCB8BD-9F85-4AE7-AC21-CF952A17C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1" y="19050"/>
          <a:ext cx="5319346" cy="59641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rdon Elliott Williams" refreshedDate="44354.025558912035" createdVersion="7" refreshedVersion="7" minRefreshableVersion="3" recordCount="27" xr:uid="{39F02BFB-221C-44D4-B072-B2C6C05A75E6}">
  <cacheSource type="worksheet">
    <worksheetSource ref="E8:F35" sheet="BUDGET"/>
  </cacheSource>
  <cacheFields count="2">
    <cacheField name="Row Labels" numFmtId="0">
      <sharedItems count="27">
        <s v="Cell Harvesting"/>
        <s v="Concrete Flatwork"/>
        <s v="Cryogenics and Cryopreservation"/>
        <s v="Electrical and Cooling Systems"/>
        <s v="Electrical and Fiberoptic Wiring"/>
        <s v="Excavation and Soil Removal"/>
        <s v="Federal Legal Approvals, Taxes, Regulations, etc."/>
        <s v="Fire Systems"/>
        <s v="Foundations"/>
        <s v="Gene Therapy"/>
        <s v="HVAC"/>
        <s v="Interior Modeling (Security Level Delta-5 Black Clearance only)"/>
        <s v="Level 1 - Primary"/>
        <s v="Level 2 - Subcontractors"/>
        <s v="Level 3 - Secured Interior Projects"/>
        <s v="Local Legal Approvals, Taxes, Regulations, etc."/>
        <s v="Microtrenching"/>
        <s v="Plumbing"/>
        <s v="Primary Contractor"/>
        <s v="Primary Site Appropriation - Underground"/>
        <s v="Roofing"/>
        <s v="Security Systems"/>
        <s v="State Legal Approvals, Taxes, Regulations, etc."/>
        <s v="Subtotal"/>
        <s v="Technology, Internet"/>
        <s v="Totals for Site A"/>
        <s v="Tree Removal and Replantation (per State Agreement)"/>
      </sharedItems>
    </cacheField>
    <cacheField name="Sum of Estimated Cost(s)" numFmtId="44">
      <sharedItems containsString="0" containsBlank="1" containsNumber="1" containsInteger="1" minValue="230000" maxValue="160690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n v="40000000"/>
  </r>
  <r>
    <x v="1"/>
    <n v="750000"/>
  </r>
  <r>
    <x v="2"/>
    <n v="12000000"/>
  </r>
  <r>
    <x v="3"/>
    <n v="4500000"/>
  </r>
  <r>
    <x v="4"/>
    <n v="1750000"/>
  </r>
  <r>
    <x v="5"/>
    <n v="3000000"/>
  </r>
  <r>
    <x v="6"/>
    <n v="500000"/>
  </r>
  <r>
    <x v="7"/>
    <n v="4200000"/>
  </r>
  <r>
    <x v="8"/>
    <n v="3000000"/>
  </r>
  <r>
    <x v="9"/>
    <n v="65000000"/>
  </r>
  <r>
    <x v="10"/>
    <n v="2000000"/>
  </r>
  <r>
    <x v="11"/>
    <n v="5000000"/>
  </r>
  <r>
    <x v="12"/>
    <m/>
  </r>
  <r>
    <x v="13"/>
    <m/>
  </r>
  <r>
    <x v="14"/>
    <m/>
  </r>
  <r>
    <x v="15"/>
    <n v="300000"/>
  </r>
  <r>
    <x v="16"/>
    <n v="2000000"/>
  </r>
  <r>
    <x v="17"/>
    <n v="4500000"/>
  </r>
  <r>
    <x v="18"/>
    <n v="6000000"/>
  </r>
  <r>
    <x v="19"/>
    <n v="2000000"/>
  </r>
  <r>
    <x v="20"/>
    <n v="1000800"/>
  </r>
  <r>
    <x v="21"/>
    <n v="2000000"/>
  </r>
  <r>
    <x v="22"/>
    <n v="480000"/>
  </r>
  <r>
    <x v="23"/>
    <n v="160690800"/>
  </r>
  <r>
    <x v="24"/>
    <n v="230000"/>
  </r>
  <r>
    <x v="25"/>
    <m/>
  </r>
  <r>
    <x v="26"/>
    <n v="48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27705-46E1-4624-BD09-12F252DC5CF7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Items">
  <location ref="E9:F33" firstHeaderRow="1" firstDataRow="1" firstDataCol="1"/>
  <pivotFields count="2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h="1" x="13"/>
        <item h="1" x="14"/>
        <item x="15"/>
        <item x="16"/>
        <item x="17"/>
        <item x="18"/>
        <item x="19"/>
        <item x="20"/>
        <item x="21"/>
        <item x="22"/>
        <item x="23"/>
        <item x="24"/>
        <item h="1" x="25"/>
        <item x="26"/>
        <item t="default"/>
      </items>
    </pivotField>
    <pivotField dataField="1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 t="grand">
      <x/>
    </i>
  </rowItems>
  <colItems count="1">
    <i/>
  </colItems>
  <dataFields count="1">
    <dataField name="Estimated Costs" fld="1" baseField="0" baseItem="0"/>
  </dataFields>
  <formats count="9">
    <format dxfId="12">
      <pivotArea collapsedLevelsAreSubtotals="1" fieldPosition="0">
        <references count="1">
          <reference field="0" count="0"/>
        </references>
      </pivotArea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outline="0" axis="axisValues" fieldPosition="0"/>
    </format>
    <format dxfId="8">
      <pivotArea field="0" type="button" dataOnly="0" labelOnly="1" outline="0" axis="axisRow" fieldPosition="0"/>
    </format>
    <format dxfId="7">
      <pivotArea dataOnly="0" labelOnly="1" outline="0" axis="axisValues" fieldPosition="0"/>
    </format>
    <format dxfId="6">
      <pivotArea grandRow="1" outline="0" collapsedLevelsAreSubtotals="1" fieldPosition="0"/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chartFormats count="2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700C9-950B-494F-9289-C84F60934E60}">
  <dimension ref="A1:Q14"/>
  <sheetViews>
    <sheetView tabSelected="1" workbookViewId="0">
      <selection activeCell="O4" sqref="O4"/>
    </sheetView>
  </sheetViews>
  <sheetFormatPr defaultRowHeight="15" x14ac:dyDescent="0.25"/>
  <cols>
    <col min="1" max="1" width="9.140625" style="102"/>
    <col min="2" max="2" width="28.5703125" style="102" customWidth="1"/>
    <col min="3" max="8" width="18.28515625" style="102" customWidth="1"/>
    <col min="9" max="16384" width="9.140625" style="102"/>
  </cols>
  <sheetData>
    <row r="1" spans="1:17" ht="72.75" customHeight="1" x14ac:dyDescent="0.25">
      <c r="A1" s="101" t="s">
        <v>194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</row>
    <row r="2" spans="1:17" x14ac:dyDescent="0.25">
      <c r="B2" s="103"/>
      <c r="C2" s="103"/>
      <c r="D2" s="103"/>
      <c r="E2" s="103"/>
      <c r="F2" s="103"/>
      <c r="G2" s="103"/>
      <c r="H2" s="103"/>
    </row>
    <row r="3" spans="1:17" ht="24" customHeight="1" x14ac:dyDescent="0.25">
      <c r="B3" s="110" t="s">
        <v>180</v>
      </c>
      <c r="C3" s="110" t="s">
        <v>181</v>
      </c>
      <c r="D3" s="110" t="s">
        <v>182</v>
      </c>
      <c r="E3" s="110" t="s">
        <v>183</v>
      </c>
      <c r="F3" s="110" t="s">
        <v>184</v>
      </c>
      <c r="G3" s="110" t="s">
        <v>185</v>
      </c>
      <c r="H3" s="110" t="s">
        <v>186</v>
      </c>
    </row>
    <row r="4" spans="1:17" ht="60" customHeight="1" x14ac:dyDescent="0.25">
      <c r="B4" s="111" t="s">
        <v>195</v>
      </c>
      <c r="C4" s="111" t="s">
        <v>187</v>
      </c>
      <c r="D4" s="111" t="s">
        <v>188</v>
      </c>
      <c r="E4" s="111" t="s">
        <v>188</v>
      </c>
      <c r="F4" s="111" t="s">
        <v>189</v>
      </c>
      <c r="G4" s="111" t="s">
        <v>190</v>
      </c>
      <c r="H4" s="111" t="s">
        <v>191</v>
      </c>
    </row>
    <row r="5" spans="1:17" ht="46.5" customHeight="1" x14ac:dyDescent="0.25">
      <c r="B5" s="112" t="s">
        <v>196</v>
      </c>
      <c r="C5" s="112" t="s">
        <v>215</v>
      </c>
      <c r="D5" s="113">
        <v>2</v>
      </c>
      <c r="E5" s="113">
        <v>4</v>
      </c>
      <c r="F5" s="114">
        <f>IF(D5*E5=0,"",D5*E5)</f>
        <v>8</v>
      </c>
      <c r="G5" s="112" t="s">
        <v>206</v>
      </c>
      <c r="H5" s="112" t="s">
        <v>2</v>
      </c>
      <c r="J5" s="118" t="s">
        <v>192</v>
      </c>
      <c r="K5" s="104">
        <v>5</v>
      </c>
      <c r="L5" s="105">
        <v>5</v>
      </c>
      <c r="M5" s="106">
        <v>10</v>
      </c>
      <c r="N5" s="107">
        <v>15</v>
      </c>
      <c r="O5" s="107">
        <v>20</v>
      </c>
      <c r="P5" s="108">
        <v>25</v>
      </c>
    </row>
    <row r="6" spans="1:17" ht="46.5" customHeight="1" x14ac:dyDescent="0.25">
      <c r="B6" s="115" t="s">
        <v>197</v>
      </c>
      <c r="C6" s="115" t="s">
        <v>216</v>
      </c>
      <c r="D6" s="116">
        <v>4</v>
      </c>
      <c r="E6" s="116">
        <v>3</v>
      </c>
      <c r="F6" s="117">
        <f t="shared" ref="F6:F14" si="0">IF(D6*E6=0,"",D6*E6)</f>
        <v>12</v>
      </c>
      <c r="G6" s="115" t="s">
        <v>207</v>
      </c>
      <c r="H6" s="115" t="s">
        <v>66</v>
      </c>
      <c r="J6" s="119"/>
      <c r="K6" s="104">
        <v>4</v>
      </c>
      <c r="L6" s="105">
        <v>4</v>
      </c>
      <c r="M6" s="106">
        <v>8</v>
      </c>
      <c r="N6" s="106">
        <v>12</v>
      </c>
      <c r="O6" s="107">
        <v>16</v>
      </c>
      <c r="P6" s="107">
        <v>20</v>
      </c>
    </row>
    <row r="7" spans="1:17" ht="46.5" customHeight="1" x14ac:dyDescent="0.25">
      <c r="B7" s="112" t="s">
        <v>198</v>
      </c>
      <c r="C7" s="112" t="s">
        <v>216</v>
      </c>
      <c r="D7" s="113">
        <v>2</v>
      </c>
      <c r="E7" s="113">
        <v>2</v>
      </c>
      <c r="F7" s="114">
        <f t="shared" si="0"/>
        <v>4</v>
      </c>
      <c r="G7" s="112" t="s">
        <v>208</v>
      </c>
      <c r="H7" s="115" t="s">
        <v>66</v>
      </c>
      <c r="J7" s="119"/>
      <c r="K7" s="104">
        <v>3</v>
      </c>
      <c r="L7" s="105">
        <v>3</v>
      </c>
      <c r="M7" s="106">
        <v>6</v>
      </c>
      <c r="N7" s="106">
        <v>9</v>
      </c>
      <c r="O7" s="106">
        <v>12</v>
      </c>
      <c r="P7" s="107">
        <v>15</v>
      </c>
    </row>
    <row r="8" spans="1:17" ht="46.5" customHeight="1" x14ac:dyDescent="0.25">
      <c r="B8" s="115" t="s">
        <v>199</v>
      </c>
      <c r="C8" s="115" t="s">
        <v>216</v>
      </c>
      <c r="D8" s="116">
        <v>2</v>
      </c>
      <c r="E8" s="116">
        <v>4</v>
      </c>
      <c r="F8" s="117">
        <f t="shared" si="0"/>
        <v>8</v>
      </c>
      <c r="G8" s="115" t="s">
        <v>209</v>
      </c>
      <c r="H8" s="112" t="s">
        <v>2</v>
      </c>
      <c r="J8" s="119"/>
      <c r="K8" s="104">
        <v>2</v>
      </c>
      <c r="L8" s="105">
        <v>2</v>
      </c>
      <c r="M8" s="105">
        <v>4</v>
      </c>
      <c r="N8" s="106">
        <v>6</v>
      </c>
      <c r="O8" s="106">
        <v>8</v>
      </c>
      <c r="P8" s="106">
        <v>10</v>
      </c>
    </row>
    <row r="9" spans="1:17" ht="46.5" customHeight="1" x14ac:dyDescent="0.25">
      <c r="B9" s="112" t="s">
        <v>200</v>
      </c>
      <c r="C9" s="112" t="s">
        <v>216</v>
      </c>
      <c r="D9" s="113">
        <v>3</v>
      </c>
      <c r="E9" s="113">
        <v>2</v>
      </c>
      <c r="F9" s="114">
        <f t="shared" si="0"/>
        <v>6</v>
      </c>
      <c r="G9" s="112" t="s">
        <v>209</v>
      </c>
      <c r="H9" s="112" t="s">
        <v>2</v>
      </c>
      <c r="J9" s="119"/>
      <c r="K9" s="104">
        <v>1</v>
      </c>
      <c r="L9" s="105">
        <v>1</v>
      </c>
      <c r="M9" s="105">
        <v>2</v>
      </c>
      <c r="N9" s="105">
        <v>3</v>
      </c>
      <c r="O9" s="105">
        <v>4</v>
      </c>
      <c r="P9" s="105">
        <v>5</v>
      </c>
    </row>
    <row r="10" spans="1:17" ht="46.5" customHeight="1" x14ac:dyDescent="0.25">
      <c r="B10" s="115" t="s">
        <v>201</v>
      </c>
      <c r="C10" s="115" t="s">
        <v>215</v>
      </c>
      <c r="D10" s="116">
        <v>4</v>
      </c>
      <c r="E10" s="116">
        <v>4</v>
      </c>
      <c r="F10" s="117">
        <f t="shared" si="0"/>
        <v>16</v>
      </c>
      <c r="G10" s="115" t="s">
        <v>210</v>
      </c>
      <c r="H10" s="115" t="s">
        <v>66</v>
      </c>
      <c r="J10" s="120"/>
      <c r="K10" s="104"/>
      <c r="L10" s="104">
        <v>1</v>
      </c>
      <c r="M10" s="104">
        <v>2</v>
      </c>
      <c r="N10" s="104">
        <v>3</v>
      </c>
      <c r="O10" s="104">
        <v>4</v>
      </c>
      <c r="P10" s="104">
        <v>5</v>
      </c>
    </row>
    <row r="11" spans="1:17" ht="46.5" customHeight="1" x14ac:dyDescent="0.25">
      <c r="B11" s="112" t="s">
        <v>202</v>
      </c>
      <c r="C11" s="112" t="s">
        <v>217</v>
      </c>
      <c r="D11" s="113">
        <v>5</v>
      </c>
      <c r="E11" s="113">
        <v>5</v>
      </c>
      <c r="F11" s="114">
        <f t="shared" si="0"/>
        <v>25</v>
      </c>
      <c r="G11" s="112" t="s">
        <v>211</v>
      </c>
      <c r="H11" s="112" t="s">
        <v>2</v>
      </c>
      <c r="J11" s="109"/>
      <c r="K11" s="121" t="s">
        <v>193</v>
      </c>
      <c r="L11" s="122"/>
      <c r="M11" s="122"/>
      <c r="N11" s="122"/>
      <c r="O11" s="122"/>
      <c r="P11" s="123"/>
    </row>
    <row r="12" spans="1:17" ht="46.5" customHeight="1" x14ac:dyDescent="0.25">
      <c r="B12" s="115" t="s">
        <v>203</v>
      </c>
      <c r="C12" s="115" t="s">
        <v>216</v>
      </c>
      <c r="D12" s="116">
        <v>3</v>
      </c>
      <c r="E12" s="116">
        <v>4</v>
      </c>
      <c r="F12" s="117">
        <f t="shared" si="0"/>
        <v>12</v>
      </c>
      <c r="G12" s="115" t="s">
        <v>212</v>
      </c>
      <c r="H12" s="115" t="s">
        <v>66</v>
      </c>
    </row>
    <row r="13" spans="1:17" ht="46.5" customHeight="1" x14ac:dyDescent="0.25">
      <c r="B13" s="112" t="s">
        <v>204</v>
      </c>
      <c r="C13" s="112" t="s">
        <v>215</v>
      </c>
      <c r="D13" s="113">
        <v>5</v>
      </c>
      <c r="E13" s="113">
        <v>5</v>
      </c>
      <c r="F13" s="114">
        <f t="shared" si="0"/>
        <v>25</v>
      </c>
      <c r="G13" s="112" t="s">
        <v>214</v>
      </c>
      <c r="H13" s="115" t="s">
        <v>66</v>
      </c>
    </row>
    <row r="14" spans="1:17" ht="46.5" customHeight="1" x14ac:dyDescent="0.25">
      <c r="B14" s="115" t="s">
        <v>205</v>
      </c>
      <c r="C14" s="115" t="s">
        <v>215</v>
      </c>
      <c r="D14" s="116">
        <v>2</v>
      </c>
      <c r="E14" s="116">
        <v>2</v>
      </c>
      <c r="F14" s="117">
        <f t="shared" si="0"/>
        <v>4</v>
      </c>
      <c r="G14" s="115" t="s">
        <v>213</v>
      </c>
      <c r="H14" s="112" t="s">
        <v>2</v>
      </c>
    </row>
  </sheetData>
  <mergeCells count="3">
    <mergeCell ref="A1:Q1"/>
    <mergeCell ref="J5:J10"/>
    <mergeCell ref="K11:P11"/>
  </mergeCells>
  <conditionalFormatting sqref="F5:F14">
    <cfRule type="cellIs" dxfId="3" priority="1" operator="equal">
      <formula>25</formula>
    </cfRule>
    <cfRule type="cellIs" dxfId="2" priority="2" operator="between">
      <formula>15</formula>
      <formula>20</formula>
    </cfRule>
    <cfRule type="cellIs" dxfId="1" priority="3" operator="between">
      <formula>6</formula>
      <formula>12</formula>
    </cfRule>
    <cfRule type="cellIs" dxfId="0" priority="4" operator="between">
      <formula>1</formula>
      <formula>5</formula>
    </cfRule>
  </conditionalFormatting>
  <dataValidations count="1">
    <dataValidation type="list" allowBlank="1" showInputMessage="1" showErrorMessage="1" sqref="D5:E14" xr:uid="{A8189EE4-2F16-4B2E-ACEA-EE2C08C7A797}">
      <formula1>#REF!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4C37-DFC2-4B12-9E56-96DAAD751B8F}">
  <dimension ref="A1:Y98"/>
  <sheetViews>
    <sheetView workbookViewId="0">
      <selection activeCell="D20" sqref="D20"/>
    </sheetView>
  </sheetViews>
  <sheetFormatPr defaultColWidth="8.85546875" defaultRowHeight="15.75" x14ac:dyDescent="0.25"/>
  <cols>
    <col min="1" max="1" width="11" style="10" customWidth="1"/>
    <col min="2" max="2" width="57.5703125" style="7" customWidth="1"/>
    <col min="3" max="4" width="31.5703125" style="7" customWidth="1"/>
    <col min="5" max="5" width="57.5703125" style="7" bestFit="1" customWidth="1"/>
    <col min="6" max="6" width="31.140625" style="75" customWidth="1"/>
    <col min="7" max="16384" width="8.85546875" style="27"/>
  </cols>
  <sheetData>
    <row r="1" spans="1:25" s="26" customFormat="1" ht="15.75" customHeight="1" x14ac:dyDescent="0.25">
      <c r="A1" s="9"/>
      <c r="B1" s="21" t="s">
        <v>1</v>
      </c>
      <c r="C1" s="22" t="s">
        <v>50</v>
      </c>
      <c r="D1" s="92" t="s">
        <v>107</v>
      </c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4"/>
    </row>
    <row r="2" spans="1:25" s="26" customFormat="1" ht="15.75" customHeight="1" x14ac:dyDescent="0.25">
      <c r="A2" s="9"/>
      <c r="B2" s="23" t="s">
        <v>2</v>
      </c>
      <c r="C2" s="24" t="s">
        <v>51</v>
      </c>
      <c r="D2" s="95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7"/>
    </row>
    <row r="3" spans="1:25" s="26" customFormat="1" ht="15.75" customHeight="1" x14ac:dyDescent="0.25">
      <c r="A3" s="9"/>
      <c r="B3" s="23" t="s">
        <v>3</v>
      </c>
      <c r="C3" s="25">
        <v>44353</v>
      </c>
      <c r="D3" s="95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</row>
    <row r="4" spans="1:25" s="26" customFormat="1" ht="16.5" customHeight="1" thickBot="1" x14ac:dyDescent="0.3">
      <c r="A4" s="9"/>
      <c r="B4" s="47" t="s">
        <v>52</v>
      </c>
      <c r="C4" s="48" t="s">
        <v>53</v>
      </c>
      <c r="D4" s="95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7"/>
    </row>
    <row r="5" spans="1:25" s="26" customFormat="1" ht="13.5" customHeight="1" thickBot="1" x14ac:dyDescent="0.3">
      <c r="A5" s="51"/>
      <c r="B5" s="52" t="s">
        <v>4</v>
      </c>
      <c r="C5" s="53" t="s">
        <v>16</v>
      </c>
      <c r="D5" s="98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100"/>
    </row>
    <row r="6" spans="1:25" ht="21.75" customHeight="1" thickBot="1" x14ac:dyDescent="0.3">
      <c r="A6" s="87" t="s">
        <v>108</v>
      </c>
      <c r="B6" s="88"/>
      <c r="C6" s="89"/>
      <c r="D6" s="28"/>
      <c r="E6" s="28"/>
      <c r="F6" s="71"/>
    </row>
    <row r="7" spans="1:25" s="28" customFormat="1" ht="34.5" customHeight="1" x14ac:dyDescent="0.25">
      <c r="A7" s="49" t="s">
        <v>0</v>
      </c>
      <c r="B7" s="50" t="s">
        <v>80</v>
      </c>
      <c r="C7" s="56" t="s">
        <v>143</v>
      </c>
      <c r="F7" s="71"/>
    </row>
    <row r="8" spans="1:25" s="29" customFormat="1" ht="16.5" thickBot="1" x14ac:dyDescent="0.3">
      <c r="A8" s="40"/>
      <c r="B8" s="54" t="s">
        <v>113</v>
      </c>
      <c r="C8" s="57"/>
      <c r="F8" s="72"/>
    </row>
    <row r="9" spans="1:25" ht="16.5" thickBot="1" x14ac:dyDescent="0.3">
      <c r="A9" s="42" t="s">
        <v>27</v>
      </c>
      <c r="B9" s="55" t="s">
        <v>67</v>
      </c>
      <c r="C9" s="59">
        <v>2000000</v>
      </c>
      <c r="D9" s="27"/>
      <c r="E9" s="80" t="s">
        <v>178</v>
      </c>
      <c r="F9" s="83" t="s">
        <v>179</v>
      </c>
      <c r="G9"/>
    </row>
    <row r="10" spans="1:25" x14ac:dyDescent="0.25">
      <c r="A10" s="42" t="s">
        <v>28</v>
      </c>
      <c r="B10" s="55" t="s">
        <v>109</v>
      </c>
      <c r="C10" s="59">
        <v>500000</v>
      </c>
      <c r="D10" s="27"/>
      <c r="E10" s="76" t="s">
        <v>141</v>
      </c>
      <c r="F10" s="77">
        <v>40000000</v>
      </c>
      <c r="G10"/>
    </row>
    <row r="11" spans="1:25" x14ac:dyDescent="0.25">
      <c r="A11" s="42" t="s">
        <v>29</v>
      </c>
      <c r="B11" s="55" t="s">
        <v>110</v>
      </c>
      <c r="C11" s="59">
        <v>480000</v>
      </c>
      <c r="D11" s="27"/>
      <c r="E11" s="76" t="s">
        <v>123</v>
      </c>
      <c r="F11" s="77">
        <v>750000</v>
      </c>
      <c r="G11"/>
    </row>
    <row r="12" spans="1:25" x14ac:dyDescent="0.25">
      <c r="A12" s="42" t="s">
        <v>30</v>
      </c>
      <c r="B12" s="55" t="s">
        <v>111</v>
      </c>
      <c r="C12" s="59">
        <v>300000</v>
      </c>
      <c r="D12" s="27"/>
      <c r="E12" s="76" t="s">
        <v>140</v>
      </c>
      <c r="F12" s="77">
        <v>12000000</v>
      </c>
      <c r="G12"/>
    </row>
    <row r="13" spans="1:25" x14ac:dyDescent="0.25">
      <c r="A13" s="42" t="s">
        <v>31</v>
      </c>
      <c r="B13" s="66" t="s">
        <v>112</v>
      </c>
      <c r="C13" s="67">
        <v>6000000</v>
      </c>
      <c r="D13" s="27"/>
      <c r="E13" s="76" t="s">
        <v>138</v>
      </c>
      <c r="F13" s="77">
        <v>4500000</v>
      </c>
      <c r="G13"/>
    </row>
    <row r="14" spans="1:25" x14ac:dyDescent="0.25">
      <c r="A14" s="42"/>
      <c r="B14" s="58" t="s">
        <v>144</v>
      </c>
      <c r="C14" s="60">
        <f>SUM(C9:C13)</f>
        <v>9280000</v>
      </c>
      <c r="D14" s="27"/>
      <c r="E14" s="76" t="s">
        <v>120</v>
      </c>
      <c r="F14" s="77">
        <v>1750000</v>
      </c>
      <c r="G14"/>
    </row>
    <row r="15" spans="1:25" s="29" customFormat="1" x14ac:dyDescent="0.25">
      <c r="A15" s="40"/>
      <c r="B15" s="5" t="s">
        <v>114</v>
      </c>
      <c r="C15" s="61"/>
      <c r="E15" s="76" t="s">
        <v>118</v>
      </c>
      <c r="F15" s="77">
        <v>3000000</v>
      </c>
      <c r="G15"/>
    </row>
    <row r="16" spans="1:25" x14ac:dyDescent="0.25">
      <c r="A16" s="42" t="s">
        <v>32</v>
      </c>
      <c r="B16" s="3" t="s">
        <v>116</v>
      </c>
      <c r="C16" s="59">
        <v>2000000</v>
      </c>
      <c r="D16" s="27"/>
      <c r="E16" s="76" t="s">
        <v>109</v>
      </c>
      <c r="F16" s="77">
        <v>500000</v>
      </c>
      <c r="G16"/>
    </row>
    <row r="17" spans="1:7" x14ac:dyDescent="0.25">
      <c r="A17" s="42" t="s">
        <v>33</v>
      </c>
      <c r="B17" s="3" t="s">
        <v>117</v>
      </c>
      <c r="C17" s="59">
        <v>2000000</v>
      </c>
      <c r="D17" s="27"/>
      <c r="E17" s="76" t="s">
        <v>139</v>
      </c>
      <c r="F17" s="77">
        <v>4200000</v>
      </c>
      <c r="G17"/>
    </row>
    <row r="18" spans="1:7" x14ac:dyDescent="0.25">
      <c r="A18" s="42" t="s">
        <v>127</v>
      </c>
      <c r="B18" s="3" t="s">
        <v>118</v>
      </c>
      <c r="C18" s="59">
        <v>3000000</v>
      </c>
      <c r="D18" s="27"/>
      <c r="E18" s="76" t="s">
        <v>115</v>
      </c>
      <c r="F18" s="77">
        <v>3000000</v>
      </c>
      <c r="G18"/>
    </row>
    <row r="19" spans="1:7" x14ac:dyDescent="0.25">
      <c r="A19" s="42" t="s">
        <v>128</v>
      </c>
      <c r="B19" s="3" t="s">
        <v>119</v>
      </c>
      <c r="C19" s="59">
        <v>480000</v>
      </c>
      <c r="D19" s="27"/>
      <c r="E19" s="76" t="s">
        <v>142</v>
      </c>
      <c r="F19" s="77">
        <v>65000000</v>
      </c>
      <c r="G19"/>
    </row>
    <row r="20" spans="1:7" x14ac:dyDescent="0.25">
      <c r="A20" s="42" t="s">
        <v>129</v>
      </c>
      <c r="B20" s="3" t="s">
        <v>120</v>
      </c>
      <c r="C20" s="59">
        <v>1750000</v>
      </c>
      <c r="D20" s="27"/>
      <c r="E20" s="76" t="s">
        <v>117</v>
      </c>
      <c r="F20" s="77">
        <v>2000000</v>
      </c>
      <c r="G20"/>
    </row>
    <row r="21" spans="1:7" x14ac:dyDescent="0.25">
      <c r="A21" s="42" t="s">
        <v>130</v>
      </c>
      <c r="B21" s="3" t="s">
        <v>121</v>
      </c>
      <c r="C21" s="59">
        <v>4500000</v>
      </c>
      <c r="D21" s="27"/>
      <c r="E21" s="76" t="s">
        <v>125</v>
      </c>
      <c r="F21" s="77">
        <v>5000000</v>
      </c>
      <c r="G21"/>
    </row>
    <row r="22" spans="1:7" x14ac:dyDescent="0.25">
      <c r="A22" s="42" t="s">
        <v>131</v>
      </c>
      <c r="B22" s="3" t="s">
        <v>122</v>
      </c>
      <c r="C22" s="59">
        <v>230000</v>
      </c>
      <c r="D22" s="27"/>
      <c r="E22" s="76" t="s">
        <v>111</v>
      </c>
      <c r="F22" s="77">
        <v>300000</v>
      </c>
      <c r="G22"/>
    </row>
    <row r="23" spans="1:7" x14ac:dyDescent="0.25">
      <c r="A23" s="42" t="s">
        <v>132</v>
      </c>
      <c r="B23" s="3" t="s">
        <v>115</v>
      </c>
      <c r="C23" s="59">
        <v>3000000</v>
      </c>
      <c r="D23" s="27"/>
      <c r="E23" s="76" t="s">
        <v>126</v>
      </c>
      <c r="F23" s="77">
        <v>2000000</v>
      </c>
      <c r="G23"/>
    </row>
    <row r="24" spans="1:7" x14ac:dyDescent="0.25">
      <c r="A24" s="42" t="s">
        <v>133</v>
      </c>
      <c r="B24" s="3" t="s">
        <v>123</v>
      </c>
      <c r="C24" s="59">
        <v>750000</v>
      </c>
      <c r="D24" s="27"/>
      <c r="E24" s="76" t="s">
        <v>121</v>
      </c>
      <c r="F24" s="77">
        <v>4500000</v>
      </c>
      <c r="G24"/>
    </row>
    <row r="25" spans="1:7" x14ac:dyDescent="0.25">
      <c r="A25" s="42" t="s">
        <v>134</v>
      </c>
      <c r="B25" s="3" t="s">
        <v>124</v>
      </c>
      <c r="C25" s="59">
        <v>1000800</v>
      </c>
      <c r="D25" s="27"/>
      <c r="E25" s="76" t="s">
        <v>112</v>
      </c>
      <c r="F25" s="77">
        <v>6000000</v>
      </c>
      <c r="G25"/>
    </row>
    <row r="26" spans="1:7" x14ac:dyDescent="0.25">
      <c r="A26" s="42" t="s">
        <v>135</v>
      </c>
      <c r="B26" s="3" t="s">
        <v>125</v>
      </c>
      <c r="C26" s="59">
        <v>5000000</v>
      </c>
      <c r="D26" s="27"/>
      <c r="E26" s="76" t="s">
        <v>67</v>
      </c>
      <c r="F26" s="77">
        <v>2000000</v>
      </c>
      <c r="G26"/>
    </row>
    <row r="27" spans="1:7" x14ac:dyDescent="0.25">
      <c r="A27" s="42" t="s">
        <v>136</v>
      </c>
      <c r="B27" s="3" t="s">
        <v>126</v>
      </c>
      <c r="C27" s="59">
        <v>2000000</v>
      </c>
      <c r="D27" s="27"/>
      <c r="E27" s="76" t="s">
        <v>124</v>
      </c>
      <c r="F27" s="77">
        <v>1000800</v>
      </c>
    </row>
    <row r="28" spans="1:7" x14ac:dyDescent="0.25">
      <c r="A28" s="42"/>
      <c r="B28" s="58" t="s">
        <v>144</v>
      </c>
      <c r="C28" s="60">
        <f>SUM(C16:C27)</f>
        <v>25710800</v>
      </c>
      <c r="D28" s="27"/>
      <c r="E28" s="76" t="s">
        <v>116</v>
      </c>
      <c r="F28" s="77">
        <v>2000000</v>
      </c>
    </row>
    <row r="29" spans="1:7" s="29" customFormat="1" x14ac:dyDescent="0.25">
      <c r="A29" s="40"/>
      <c r="B29" s="5" t="s">
        <v>137</v>
      </c>
      <c r="C29" s="61"/>
      <c r="E29" s="76" t="s">
        <v>110</v>
      </c>
      <c r="F29" s="77">
        <v>480000</v>
      </c>
    </row>
    <row r="30" spans="1:7" x14ac:dyDescent="0.25">
      <c r="A30" s="42" t="s">
        <v>34</v>
      </c>
      <c r="B30" s="3" t="s">
        <v>140</v>
      </c>
      <c r="C30" s="59">
        <v>12000000</v>
      </c>
      <c r="D30" s="27"/>
      <c r="E30" s="76" t="s">
        <v>144</v>
      </c>
      <c r="F30" s="77">
        <v>160690800</v>
      </c>
    </row>
    <row r="31" spans="1:7" x14ac:dyDescent="0.25">
      <c r="A31" s="42" t="s">
        <v>35</v>
      </c>
      <c r="B31" s="3" t="s">
        <v>138</v>
      </c>
      <c r="C31" s="59">
        <v>4500000</v>
      </c>
      <c r="D31" s="27"/>
      <c r="E31" s="76" t="s">
        <v>122</v>
      </c>
      <c r="F31" s="77">
        <v>230000</v>
      </c>
    </row>
    <row r="32" spans="1:7" ht="16.5" thickBot="1" x14ac:dyDescent="0.3">
      <c r="A32" s="42" t="s">
        <v>36</v>
      </c>
      <c r="B32" s="3" t="s">
        <v>139</v>
      </c>
      <c r="C32" s="59">
        <v>4200000</v>
      </c>
      <c r="D32" s="27"/>
      <c r="E32" s="78" t="s">
        <v>119</v>
      </c>
      <c r="F32" s="79">
        <v>480000</v>
      </c>
    </row>
    <row r="33" spans="1:6" ht="16.5" thickBot="1" x14ac:dyDescent="0.3">
      <c r="A33" s="42" t="s">
        <v>99</v>
      </c>
      <c r="B33" s="3" t="s">
        <v>141</v>
      </c>
      <c r="C33" s="59">
        <v>40000000</v>
      </c>
      <c r="D33" s="27"/>
      <c r="E33" s="82" t="s">
        <v>177</v>
      </c>
      <c r="F33" s="81">
        <v>321381600</v>
      </c>
    </row>
    <row r="34" spans="1:6" x14ac:dyDescent="0.25">
      <c r="A34" s="42" t="s">
        <v>100</v>
      </c>
      <c r="B34" s="3" t="s">
        <v>142</v>
      </c>
      <c r="C34" s="59">
        <v>65000000</v>
      </c>
      <c r="D34" s="27"/>
      <c r="E34"/>
      <c r="F34" s="73"/>
    </row>
    <row r="35" spans="1:6" ht="16.5" thickBot="1" x14ac:dyDescent="0.3">
      <c r="A35" s="44"/>
      <c r="B35" s="62" t="s">
        <v>144</v>
      </c>
      <c r="C35" s="63">
        <f>SUM(C30:C34)</f>
        <v>125700000</v>
      </c>
      <c r="D35" s="27"/>
      <c r="E35"/>
      <c r="F35" s="73"/>
    </row>
    <row r="36" spans="1:6" ht="16.5" thickBot="1" x14ac:dyDescent="0.3">
      <c r="A36" s="64"/>
      <c r="B36" s="90" t="s">
        <v>145</v>
      </c>
      <c r="C36" s="91"/>
      <c r="D36" s="65">
        <f>C14+C28+C35</f>
        <v>160690800</v>
      </c>
      <c r="E36"/>
      <c r="F36" s="73"/>
    </row>
    <row r="37" spans="1:6" ht="16.5" thickBot="1" x14ac:dyDescent="0.3">
      <c r="E37"/>
      <c r="F37" s="73"/>
    </row>
    <row r="38" spans="1:6" ht="16.5" thickBot="1" x14ac:dyDescent="0.3">
      <c r="A38" s="87" t="s">
        <v>146</v>
      </c>
      <c r="B38" s="88"/>
      <c r="C38" s="89"/>
      <c r="D38" s="28"/>
      <c r="E38" s="28"/>
      <c r="F38" s="71"/>
    </row>
    <row r="39" spans="1:6" s="28" customFormat="1" x14ac:dyDescent="0.25">
      <c r="A39" s="49" t="s">
        <v>0</v>
      </c>
      <c r="B39" s="50" t="s">
        <v>80</v>
      </c>
      <c r="C39" s="56" t="s">
        <v>143</v>
      </c>
      <c r="F39" s="71"/>
    </row>
    <row r="40" spans="1:6" s="29" customFormat="1" x14ac:dyDescent="0.25">
      <c r="A40" s="40"/>
      <c r="B40" s="54" t="s">
        <v>113</v>
      </c>
      <c r="C40" s="57"/>
      <c r="F40" s="72"/>
    </row>
    <row r="41" spans="1:6" x14ac:dyDescent="0.25">
      <c r="A41" s="42" t="s">
        <v>27</v>
      </c>
      <c r="B41" s="55" t="s">
        <v>147</v>
      </c>
      <c r="C41" s="59">
        <v>650000000</v>
      </c>
      <c r="D41" s="27"/>
      <c r="E41" s="27"/>
      <c r="F41" s="74"/>
    </row>
    <row r="42" spans="1:6" x14ac:dyDescent="0.25">
      <c r="A42" s="42" t="s">
        <v>28</v>
      </c>
      <c r="B42" s="55" t="s">
        <v>109</v>
      </c>
      <c r="C42" s="59">
        <v>500000</v>
      </c>
      <c r="D42" s="27"/>
      <c r="E42" s="27"/>
      <c r="F42" s="74"/>
    </row>
    <row r="43" spans="1:6" x14ac:dyDescent="0.25">
      <c r="A43" s="42" t="s">
        <v>29</v>
      </c>
      <c r="B43" s="55" t="s">
        <v>148</v>
      </c>
      <c r="C43" s="59">
        <v>500000</v>
      </c>
      <c r="D43" s="27"/>
      <c r="E43" s="27"/>
      <c r="F43" s="74"/>
    </row>
    <row r="44" spans="1:6" x14ac:dyDescent="0.25">
      <c r="A44" s="42" t="s">
        <v>30</v>
      </c>
      <c r="B44" s="55" t="s">
        <v>149</v>
      </c>
      <c r="C44" s="59">
        <v>250000</v>
      </c>
      <c r="D44" s="27"/>
      <c r="E44" s="27"/>
      <c r="F44" s="74"/>
    </row>
    <row r="45" spans="1:6" x14ac:dyDescent="0.25">
      <c r="A45" s="42" t="s">
        <v>31</v>
      </c>
      <c r="B45" s="66" t="s">
        <v>150</v>
      </c>
      <c r="C45" s="67">
        <v>425000</v>
      </c>
      <c r="D45" s="27"/>
      <c r="E45" s="27"/>
      <c r="F45" s="74"/>
    </row>
    <row r="46" spans="1:6" x14ac:dyDescent="0.25">
      <c r="A46" s="42"/>
      <c r="B46" s="58" t="s">
        <v>144</v>
      </c>
      <c r="C46" s="60">
        <f>SUM(C41:C45)</f>
        <v>651675000</v>
      </c>
      <c r="D46" s="27"/>
      <c r="E46" s="27"/>
      <c r="F46" s="74"/>
    </row>
    <row r="47" spans="1:6" s="29" customFormat="1" x14ac:dyDescent="0.25">
      <c r="A47" s="40"/>
      <c r="B47" s="5" t="s">
        <v>151</v>
      </c>
      <c r="C47" s="61"/>
      <c r="F47" s="72"/>
    </row>
    <row r="48" spans="1:6" x14ac:dyDescent="0.25">
      <c r="A48" s="42" t="s">
        <v>32</v>
      </c>
      <c r="B48" s="3" t="s">
        <v>152</v>
      </c>
      <c r="C48" s="59">
        <v>1000000</v>
      </c>
      <c r="D48" s="27"/>
      <c r="E48" s="27"/>
      <c r="F48" s="74"/>
    </row>
    <row r="49" spans="1:6" x14ac:dyDescent="0.25">
      <c r="A49" s="42" t="s">
        <v>33</v>
      </c>
      <c r="B49" s="3" t="s">
        <v>153</v>
      </c>
      <c r="C49" s="59">
        <v>1000000</v>
      </c>
      <c r="D49" s="27"/>
      <c r="E49" s="27"/>
      <c r="F49" s="74"/>
    </row>
    <row r="50" spans="1:6" x14ac:dyDescent="0.25">
      <c r="A50" s="42" t="s">
        <v>127</v>
      </c>
      <c r="B50" s="3" t="s">
        <v>154</v>
      </c>
      <c r="C50" s="59">
        <v>1000000</v>
      </c>
      <c r="D50" s="27"/>
      <c r="E50" s="27"/>
      <c r="F50" s="74"/>
    </row>
    <row r="51" spans="1:6" x14ac:dyDescent="0.25">
      <c r="A51" s="42" t="s">
        <v>128</v>
      </c>
      <c r="B51" s="3" t="s">
        <v>155</v>
      </c>
      <c r="C51" s="59">
        <v>1000000</v>
      </c>
      <c r="D51" s="27"/>
      <c r="E51" s="27"/>
      <c r="F51" s="74"/>
    </row>
    <row r="52" spans="1:6" x14ac:dyDescent="0.25">
      <c r="A52" s="42" t="s">
        <v>129</v>
      </c>
      <c r="B52" s="3" t="s">
        <v>156</v>
      </c>
      <c r="C52" s="59">
        <v>1000000</v>
      </c>
      <c r="D52" s="27"/>
      <c r="E52" s="27"/>
      <c r="F52" s="74"/>
    </row>
    <row r="53" spans="1:6" x14ac:dyDescent="0.25">
      <c r="A53" s="42" t="s">
        <v>130</v>
      </c>
      <c r="B53" s="3" t="s">
        <v>157</v>
      </c>
      <c r="C53" s="59">
        <v>1000000</v>
      </c>
      <c r="D53" s="27"/>
      <c r="E53" s="27"/>
      <c r="F53" s="74"/>
    </row>
    <row r="54" spans="1:6" x14ac:dyDescent="0.25">
      <c r="A54" s="42" t="s">
        <v>131</v>
      </c>
      <c r="B54" s="3" t="s">
        <v>158</v>
      </c>
      <c r="C54" s="59">
        <v>1000000</v>
      </c>
      <c r="D54" s="27"/>
      <c r="E54" s="27"/>
      <c r="F54" s="74"/>
    </row>
    <row r="55" spans="1:6" x14ac:dyDescent="0.25">
      <c r="A55" s="42" t="s">
        <v>132</v>
      </c>
      <c r="B55" s="3" t="s">
        <v>159</v>
      </c>
      <c r="C55" s="59">
        <v>1000000</v>
      </c>
      <c r="D55" s="27"/>
      <c r="E55" s="27"/>
      <c r="F55" s="74"/>
    </row>
    <row r="56" spans="1:6" x14ac:dyDescent="0.25">
      <c r="A56" s="42" t="s">
        <v>133</v>
      </c>
      <c r="B56" s="3" t="s">
        <v>160</v>
      </c>
      <c r="C56" s="59">
        <v>1000000</v>
      </c>
      <c r="D56" s="27"/>
      <c r="E56" s="27"/>
      <c r="F56" s="74"/>
    </row>
    <row r="57" spans="1:6" x14ac:dyDescent="0.25">
      <c r="A57" s="42" t="s">
        <v>134</v>
      </c>
      <c r="B57" s="3" t="s">
        <v>161</v>
      </c>
      <c r="C57" s="59">
        <v>5000000</v>
      </c>
      <c r="D57" s="27"/>
      <c r="E57" s="27"/>
      <c r="F57" s="74"/>
    </row>
    <row r="58" spans="1:6" x14ac:dyDescent="0.25">
      <c r="A58" s="42" t="s">
        <v>135</v>
      </c>
      <c r="B58" s="3" t="s">
        <v>162</v>
      </c>
      <c r="C58" s="59">
        <v>250000000</v>
      </c>
      <c r="D58" s="27"/>
      <c r="E58" s="27"/>
      <c r="F58" s="74"/>
    </row>
    <row r="59" spans="1:6" x14ac:dyDescent="0.25">
      <c r="A59" s="42"/>
      <c r="B59" s="58" t="s">
        <v>144</v>
      </c>
      <c r="C59" s="60">
        <f>SUM(C48:C58)</f>
        <v>264000000</v>
      </c>
      <c r="D59" s="27"/>
      <c r="E59" s="27"/>
      <c r="F59" s="74"/>
    </row>
    <row r="60" spans="1:6" s="29" customFormat="1" x14ac:dyDescent="0.25">
      <c r="A60" s="40"/>
      <c r="B60" s="5" t="s">
        <v>163</v>
      </c>
      <c r="C60" s="61"/>
      <c r="F60" s="72"/>
    </row>
    <row r="61" spans="1:6" x14ac:dyDescent="0.25">
      <c r="A61" s="42" t="s">
        <v>34</v>
      </c>
      <c r="B61" s="3" t="s">
        <v>140</v>
      </c>
      <c r="C61" s="59">
        <v>12000000</v>
      </c>
      <c r="D61" s="27"/>
      <c r="E61" s="27"/>
      <c r="F61" s="74"/>
    </row>
    <row r="62" spans="1:6" x14ac:dyDescent="0.25">
      <c r="A62" s="42" t="s">
        <v>35</v>
      </c>
      <c r="B62" s="3" t="s">
        <v>138</v>
      </c>
      <c r="C62" s="59">
        <v>4500000</v>
      </c>
      <c r="D62" s="27"/>
      <c r="E62" s="27"/>
      <c r="F62" s="74"/>
    </row>
    <row r="63" spans="1:6" x14ac:dyDescent="0.25">
      <c r="A63" s="42" t="s">
        <v>36</v>
      </c>
      <c r="B63" s="3" t="s">
        <v>139</v>
      </c>
      <c r="C63" s="59">
        <v>4200000</v>
      </c>
      <c r="D63" s="27"/>
      <c r="E63" s="27"/>
      <c r="F63" s="74"/>
    </row>
    <row r="64" spans="1:6" x14ac:dyDescent="0.25">
      <c r="A64" s="42" t="s">
        <v>99</v>
      </c>
      <c r="B64" s="3" t="s">
        <v>141</v>
      </c>
      <c r="C64" s="59">
        <v>40000000</v>
      </c>
      <c r="D64" s="27"/>
      <c r="E64" s="27"/>
      <c r="F64" s="74"/>
    </row>
    <row r="65" spans="1:6" x14ac:dyDescent="0.25">
      <c r="A65" s="42" t="s">
        <v>100</v>
      </c>
      <c r="B65" s="3" t="s">
        <v>142</v>
      </c>
      <c r="C65" s="59">
        <v>65000000</v>
      </c>
      <c r="D65" s="27"/>
      <c r="E65" s="27"/>
      <c r="F65" s="74"/>
    </row>
    <row r="66" spans="1:6" ht="16.5" thickBot="1" x14ac:dyDescent="0.3">
      <c r="A66" s="44"/>
      <c r="B66" s="62" t="s">
        <v>144</v>
      </c>
      <c r="C66" s="63">
        <f>SUM(C61:C65)</f>
        <v>125700000</v>
      </c>
      <c r="D66" s="27"/>
      <c r="E66" s="27"/>
      <c r="F66" s="74"/>
    </row>
    <row r="67" spans="1:6" ht="16.5" thickBot="1" x14ac:dyDescent="0.3">
      <c r="A67" s="64"/>
      <c r="B67" s="90" t="s">
        <v>164</v>
      </c>
      <c r="C67" s="91"/>
      <c r="D67" s="68">
        <f>C46+C59+C66</f>
        <v>1041375000</v>
      </c>
      <c r="E67" s="27"/>
      <c r="F67" s="74"/>
    </row>
    <row r="68" spans="1:6" ht="16.5" thickBot="1" x14ac:dyDescent="0.3"/>
    <row r="69" spans="1:6" ht="16.5" thickBot="1" x14ac:dyDescent="0.3">
      <c r="A69" s="87" t="s">
        <v>165</v>
      </c>
      <c r="B69" s="88"/>
      <c r="C69" s="89"/>
      <c r="D69" s="28"/>
      <c r="E69" s="70" t="s">
        <v>178</v>
      </c>
      <c r="F69" s="85" t="s">
        <v>179</v>
      </c>
    </row>
    <row r="70" spans="1:6" s="28" customFormat="1" x14ac:dyDescent="0.25">
      <c r="A70" s="49" t="s">
        <v>0</v>
      </c>
      <c r="B70" s="50" t="s">
        <v>80</v>
      </c>
      <c r="C70" s="56" t="s">
        <v>143</v>
      </c>
      <c r="E70" s="69" t="s">
        <v>169</v>
      </c>
      <c r="F70" s="73">
        <v>1000000000</v>
      </c>
    </row>
    <row r="71" spans="1:6" s="29" customFormat="1" x14ac:dyDescent="0.25">
      <c r="A71" s="40"/>
      <c r="B71" s="54" t="s">
        <v>113</v>
      </c>
      <c r="C71" s="57"/>
      <c r="E71" s="69" t="s">
        <v>175</v>
      </c>
      <c r="F71" s="73">
        <v>658000000</v>
      </c>
    </row>
    <row r="72" spans="1:6" x14ac:dyDescent="0.25">
      <c r="A72" s="42" t="s">
        <v>27</v>
      </c>
      <c r="B72" s="55" t="s">
        <v>166</v>
      </c>
      <c r="C72" s="59">
        <v>650000000</v>
      </c>
      <c r="D72" s="27"/>
      <c r="E72" s="69" t="s">
        <v>141</v>
      </c>
      <c r="F72" s="73">
        <v>40000000</v>
      </c>
    </row>
    <row r="73" spans="1:6" x14ac:dyDescent="0.25">
      <c r="A73" s="42" t="s">
        <v>28</v>
      </c>
      <c r="B73" s="55" t="s">
        <v>109</v>
      </c>
      <c r="C73" s="59">
        <v>500000</v>
      </c>
      <c r="D73" s="27"/>
      <c r="E73" s="69" t="s">
        <v>140</v>
      </c>
      <c r="F73" s="73">
        <v>12000000</v>
      </c>
    </row>
    <row r="74" spans="1:6" x14ac:dyDescent="0.25">
      <c r="A74" s="42" t="s">
        <v>29</v>
      </c>
      <c r="B74" s="55" t="s">
        <v>110</v>
      </c>
      <c r="C74" s="59">
        <v>480000</v>
      </c>
      <c r="D74" s="27"/>
      <c r="E74" s="69" t="s">
        <v>138</v>
      </c>
      <c r="F74" s="73">
        <v>4500000</v>
      </c>
    </row>
    <row r="75" spans="1:6" x14ac:dyDescent="0.25">
      <c r="A75" s="42" t="s">
        <v>30</v>
      </c>
      <c r="B75" s="55" t="s">
        <v>111</v>
      </c>
      <c r="C75" s="59">
        <v>300000</v>
      </c>
      <c r="D75" s="27"/>
      <c r="E75" s="69" t="s">
        <v>168</v>
      </c>
      <c r="F75" s="73">
        <v>17000000</v>
      </c>
    </row>
    <row r="76" spans="1:6" x14ac:dyDescent="0.25">
      <c r="A76" s="42" t="s">
        <v>31</v>
      </c>
      <c r="B76" s="66" t="s">
        <v>112</v>
      </c>
      <c r="C76" s="67">
        <v>6000000</v>
      </c>
      <c r="D76" s="27"/>
      <c r="E76" s="69" t="s">
        <v>156</v>
      </c>
      <c r="F76" s="73">
        <v>1000000</v>
      </c>
    </row>
    <row r="77" spans="1:6" x14ac:dyDescent="0.25">
      <c r="A77" s="42"/>
      <c r="B77" s="58" t="s">
        <v>144</v>
      </c>
      <c r="C77" s="60">
        <f>SUM(C72:C76)</f>
        <v>657280000</v>
      </c>
      <c r="D77" s="27"/>
      <c r="E77" s="69" t="s">
        <v>166</v>
      </c>
      <c r="F77" s="73">
        <v>650000000</v>
      </c>
    </row>
    <row r="78" spans="1:6" s="29" customFormat="1" x14ac:dyDescent="0.25">
      <c r="A78" s="40"/>
      <c r="B78" s="5" t="s">
        <v>114</v>
      </c>
      <c r="C78" s="61"/>
      <c r="E78" s="69" t="s">
        <v>109</v>
      </c>
      <c r="F78" s="73">
        <v>500000</v>
      </c>
    </row>
    <row r="79" spans="1:6" x14ac:dyDescent="0.25">
      <c r="A79" s="42" t="s">
        <v>32</v>
      </c>
      <c r="B79" s="3" t="s">
        <v>167</v>
      </c>
      <c r="C79" s="59">
        <v>130000000</v>
      </c>
      <c r="D79" s="27"/>
      <c r="E79" s="69" t="s">
        <v>139</v>
      </c>
      <c r="F79" s="73">
        <v>4200000</v>
      </c>
    </row>
    <row r="80" spans="1:6" x14ac:dyDescent="0.25">
      <c r="A80" s="42" t="s">
        <v>33</v>
      </c>
      <c r="B80" s="3" t="s">
        <v>168</v>
      </c>
      <c r="C80" s="59">
        <v>17000000</v>
      </c>
      <c r="D80" s="27"/>
      <c r="E80" s="69" t="s">
        <v>142</v>
      </c>
      <c r="F80" s="73">
        <v>65000000</v>
      </c>
    </row>
    <row r="81" spans="1:6" x14ac:dyDescent="0.25">
      <c r="A81" s="42" t="s">
        <v>127</v>
      </c>
      <c r="B81" s="3" t="s">
        <v>176</v>
      </c>
      <c r="C81" s="59">
        <v>45000000</v>
      </c>
      <c r="D81" s="27"/>
      <c r="E81" s="69" t="s">
        <v>170</v>
      </c>
      <c r="F81" s="73">
        <v>650000000</v>
      </c>
    </row>
    <row r="82" spans="1:6" x14ac:dyDescent="0.25">
      <c r="A82" s="42" t="s">
        <v>128</v>
      </c>
      <c r="B82" s="3" t="s">
        <v>170</v>
      </c>
      <c r="C82" s="59">
        <v>650000000</v>
      </c>
      <c r="D82" s="27"/>
      <c r="E82" s="69" t="s">
        <v>111</v>
      </c>
      <c r="F82" s="73">
        <v>300000</v>
      </c>
    </row>
    <row r="83" spans="1:6" x14ac:dyDescent="0.25">
      <c r="A83" s="42" t="s">
        <v>129</v>
      </c>
      <c r="B83" s="3" t="s">
        <v>156</v>
      </c>
      <c r="C83" s="59">
        <v>1000000</v>
      </c>
      <c r="D83" s="27"/>
      <c r="E83" s="69" t="s">
        <v>112</v>
      </c>
      <c r="F83" s="73">
        <v>6000000</v>
      </c>
    </row>
    <row r="84" spans="1:6" x14ac:dyDescent="0.25">
      <c r="A84" s="42" t="s">
        <v>130</v>
      </c>
      <c r="B84" s="3" t="s">
        <v>171</v>
      </c>
      <c r="C84" s="59">
        <v>820196000</v>
      </c>
      <c r="D84" s="27"/>
      <c r="E84" s="69" t="s">
        <v>171</v>
      </c>
      <c r="F84" s="73">
        <v>820196000</v>
      </c>
    </row>
    <row r="85" spans="1:6" x14ac:dyDescent="0.25">
      <c r="A85" s="42" t="s">
        <v>131</v>
      </c>
      <c r="B85" s="3" t="s">
        <v>172</v>
      </c>
      <c r="C85" s="59">
        <v>0</v>
      </c>
      <c r="D85" s="27"/>
      <c r="E85" s="69" t="s">
        <v>110</v>
      </c>
      <c r="F85" s="73">
        <v>480000</v>
      </c>
    </row>
    <row r="86" spans="1:6" x14ac:dyDescent="0.25">
      <c r="A86" s="42" t="s">
        <v>132</v>
      </c>
      <c r="B86" s="3" t="s">
        <v>173</v>
      </c>
      <c r="C86" s="59">
        <v>765000000</v>
      </c>
      <c r="D86" s="27"/>
      <c r="E86" s="69" t="s">
        <v>172</v>
      </c>
      <c r="F86" s="73">
        <v>0</v>
      </c>
    </row>
    <row r="87" spans="1:6" x14ac:dyDescent="0.25">
      <c r="A87" s="42" t="s">
        <v>133</v>
      </c>
      <c r="B87" s="3" t="s">
        <v>174</v>
      </c>
      <c r="C87" s="59">
        <v>423000000</v>
      </c>
      <c r="D87" s="27"/>
      <c r="E87" s="69" t="s">
        <v>174</v>
      </c>
      <c r="F87" s="73">
        <v>423000000</v>
      </c>
    </row>
    <row r="88" spans="1:6" x14ac:dyDescent="0.25">
      <c r="A88" s="42" t="s">
        <v>134</v>
      </c>
      <c r="B88" s="3" t="s">
        <v>175</v>
      </c>
      <c r="C88" s="59">
        <v>658000000</v>
      </c>
      <c r="D88" s="27"/>
      <c r="E88" s="69" t="s">
        <v>167</v>
      </c>
      <c r="F88" s="73">
        <v>130000000</v>
      </c>
    </row>
    <row r="89" spans="1:6" x14ac:dyDescent="0.25">
      <c r="A89" s="42" t="s">
        <v>135</v>
      </c>
      <c r="B89" s="3" t="s">
        <v>169</v>
      </c>
      <c r="C89" s="59">
        <v>1000000000</v>
      </c>
      <c r="D89" s="27"/>
      <c r="E89" s="69" t="s">
        <v>176</v>
      </c>
      <c r="F89" s="73">
        <v>45000000</v>
      </c>
    </row>
    <row r="90" spans="1:6" x14ac:dyDescent="0.25">
      <c r="A90" s="42"/>
      <c r="B90" s="58" t="s">
        <v>144</v>
      </c>
      <c r="C90" s="60">
        <f>SUM(C79:C89)</f>
        <v>4509196000</v>
      </c>
      <c r="D90" s="27"/>
      <c r="E90" s="69" t="s">
        <v>173</v>
      </c>
      <c r="F90" s="73">
        <v>765000000</v>
      </c>
    </row>
    <row r="91" spans="1:6" s="29" customFormat="1" x14ac:dyDescent="0.25">
      <c r="A91" s="40"/>
      <c r="B91" s="5" t="s">
        <v>163</v>
      </c>
      <c r="C91" s="61"/>
      <c r="E91" s="84" t="s">
        <v>177</v>
      </c>
      <c r="F91" s="86">
        <v>10584352000</v>
      </c>
    </row>
    <row r="92" spans="1:6" x14ac:dyDescent="0.25">
      <c r="A92" s="42" t="s">
        <v>34</v>
      </c>
      <c r="B92" s="3" t="s">
        <v>140</v>
      </c>
      <c r="C92" s="59">
        <v>12000000</v>
      </c>
      <c r="D92" s="27"/>
      <c r="E92" s="27"/>
      <c r="F92" s="74"/>
    </row>
    <row r="93" spans="1:6" x14ac:dyDescent="0.25">
      <c r="A93" s="42" t="s">
        <v>35</v>
      </c>
      <c r="B93" s="3" t="s">
        <v>138</v>
      </c>
      <c r="C93" s="59">
        <v>4500000</v>
      </c>
      <c r="D93" s="27"/>
      <c r="E93" s="27"/>
      <c r="F93" s="74"/>
    </row>
    <row r="94" spans="1:6" x14ac:dyDescent="0.25">
      <c r="A94" s="42" t="s">
        <v>36</v>
      </c>
      <c r="B94" s="3" t="s">
        <v>139</v>
      </c>
      <c r="C94" s="59">
        <v>4200000</v>
      </c>
      <c r="D94" s="27"/>
      <c r="E94" s="27"/>
      <c r="F94" s="74"/>
    </row>
    <row r="95" spans="1:6" x14ac:dyDescent="0.25">
      <c r="A95" s="42" t="s">
        <v>99</v>
      </c>
      <c r="B95" s="3" t="s">
        <v>141</v>
      </c>
      <c r="C95" s="59">
        <v>40000000</v>
      </c>
      <c r="D95" s="27"/>
    </row>
    <row r="96" spans="1:6" x14ac:dyDescent="0.25">
      <c r="A96" s="42" t="s">
        <v>100</v>
      </c>
      <c r="B96" s="3" t="s">
        <v>142</v>
      </c>
      <c r="C96" s="59">
        <v>65000000</v>
      </c>
      <c r="D96" s="27"/>
    </row>
    <row r="97" spans="1:4" ht="16.5" thickBot="1" x14ac:dyDescent="0.3">
      <c r="A97" s="44"/>
      <c r="B97" s="62" t="s">
        <v>144</v>
      </c>
      <c r="C97" s="63">
        <f>SUM(C92:C96)</f>
        <v>125700000</v>
      </c>
      <c r="D97" s="27"/>
    </row>
    <row r="98" spans="1:4" ht="16.5" thickBot="1" x14ac:dyDescent="0.3">
      <c r="A98" s="64"/>
      <c r="B98" s="90" t="s">
        <v>164</v>
      </c>
      <c r="C98" s="91"/>
      <c r="D98" s="65">
        <f>C77+C90+C97</f>
        <v>5292176000</v>
      </c>
    </row>
  </sheetData>
  <mergeCells count="7">
    <mergeCell ref="A38:C38"/>
    <mergeCell ref="B67:C67"/>
    <mergeCell ref="A69:C69"/>
    <mergeCell ref="B98:C98"/>
    <mergeCell ref="D1:Y5"/>
    <mergeCell ref="A6:C6"/>
    <mergeCell ref="B36:C36"/>
  </mergeCell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59EC-2525-47BF-BCB1-B089B18331FD}">
  <dimension ref="A1:H51"/>
  <sheetViews>
    <sheetView zoomScale="130" zoomScaleNormal="130" workbookViewId="0">
      <pane ySplit="7" topLeftCell="A8" activePane="bottomLeft" state="frozen"/>
      <selection sqref="A1:XFD1048576"/>
      <selection pane="bottomLeft" activeCell="B22" sqref="B22"/>
    </sheetView>
  </sheetViews>
  <sheetFormatPr defaultColWidth="8.85546875" defaultRowHeight="15.75" x14ac:dyDescent="0.25"/>
  <cols>
    <col min="1" max="1" width="11" style="10" customWidth="1"/>
    <col min="2" max="2" width="54.5703125" style="7" bestFit="1" customWidth="1"/>
    <col min="3" max="3" width="31.5703125" style="7" customWidth="1"/>
    <col min="4" max="4" width="12.28515625" style="7" customWidth="1"/>
    <col min="5" max="5" width="27.42578125" style="7" customWidth="1"/>
    <col min="6" max="6" width="14.140625" style="18" bestFit="1" customWidth="1"/>
    <col min="7" max="7" width="16.7109375" style="7" customWidth="1"/>
    <col min="8" max="8" width="8.85546875" style="7"/>
    <col min="9" max="16384" width="8.85546875" style="27"/>
  </cols>
  <sheetData>
    <row r="1" spans="1:8" s="26" customFormat="1" x14ac:dyDescent="0.25">
      <c r="A1" s="9"/>
      <c r="B1" s="21" t="s">
        <v>1</v>
      </c>
      <c r="C1" s="22" t="s">
        <v>50</v>
      </c>
      <c r="D1" s="8"/>
      <c r="E1" s="8"/>
      <c r="F1" s="13"/>
      <c r="G1" s="8"/>
      <c r="H1" s="8"/>
    </row>
    <row r="2" spans="1:8" s="26" customFormat="1" x14ac:dyDescent="0.25">
      <c r="A2" s="9"/>
      <c r="B2" s="23" t="s">
        <v>2</v>
      </c>
      <c r="C2" s="24" t="s">
        <v>51</v>
      </c>
      <c r="D2" s="8"/>
      <c r="E2" s="8"/>
      <c r="F2" s="13"/>
      <c r="G2" s="8"/>
      <c r="H2" s="8"/>
    </row>
    <row r="3" spans="1:8" s="26" customFormat="1" x14ac:dyDescent="0.25">
      <c r="A3" s="9"/>
      <c r="B3" s="23" t="s">
        <v>3</v>
      </c>
      <c r="C3" s="25">
        <v>44344</v>
      </c>
      <c r="D3" s="8"/>
      <c r="E3" s="8"/>
      <c r="F3" s="13"/>
      <c r="G3" s="8"/>
      <c r="H3" s="8"/>
    </row>
    <row r="4" spans="1:8" s="26" customFormat="1" x14ac:dyDescent="0.25">
      <c r="A4" s="9"/>
      <c r="B4" s="23" t="s">
        <v>52</v>
      </c>
      <c r="C4" s="25" t="s">
        <v>53</v>
      </c>
      <c r="D4" s="8"/>
      <c r="E4" s="8"/>
      <c r="F4" s="13"/>
      <c r="G4" s="8"/>
      <c r="H4" s="8"/>
    </row>
    <row r="5" spans="1:8" s="26" customFormat="1" ht="13.5" customHeight="1" thickBot="1" x14ac:dyDescent="0.3">
      <c r="A5" s="9"/>
      <c r="B5" s="30" t="s">
        <v>4</v>
      </c>
      <c r="C5" s="31" t="s">
        <v>24</v>
      </c>
      <c r="D5" s="8"/>
      <c r="E5" s="8"/>
      <c r="F5" s="13"/>
      <c r="G5" s="8"/>
      <c r="H5" s="8"/>
    </row>
    <row r="6" spans="1:8" ht="21.75" customHeight="1" x14ac:dyDescent="0.25">
      <c r="A6" s="32" t="s">
        <v>54</v>
      </c>
      <c r="B6" s="33"/>
      <c r="C6" s="33"/>
      <c r="D6" s="33"/>
      <c r="E6" s="33"/>
      <c r="F6" s="34"/>
      <c r="G6" s="33"/>
      <c r="H6" s="35"/>
    </row>
    <row r="7" spans="1:8" s="28" customFormat="1" ht="34.5" customHeight="1" x14ac:dyDescent="0.25">
      <c r="A7" s="36" t="s">
        <v>0</v>
      </c>
      <c r="B7" s="2" t="s">
        <v>80</v>
      </c>
      <c r="C7" s="2" t="s">
        <v>12</v>
      </c>
      <c r="D7" s="2" t="s">
        <v>9</v>
      </c>
      <c r="E7" s="1" t="s">
        <v>7</v>
      </c>
      <c r="F7" s="14" t="s">
        <v>10</v>
      </c>
      <c r="G7" s="2" t="s">
        <v>8</v>
      </c>
      <c r="H7" s="37" t="s">
        <v>11</v>
      </c>
    </row>
    <row r="8" spans="1:8" s="29" customFormat="1" x14ac:dyDescent="0.25">
      <c r="A8" s="38" t="s">
        <v>24</v>
      </c>
      <c r="B8" s="11" t="s">
        <v>25</v>
      </c>
      <c r="C8" s="11"/>
      <c r="D8" s="11"/>
      <c r="E8" s="12"/>
      <c r="F8" s="15"/>
      <c r="G8" s="11"/>
      <c r="H8" s="39"/>
    </row>
    <row r="9" spans="1:8" s="29" customFormat="1" x14ac:dyDescent="0.25">
      <c r="A9" s="40"/>
      <c r="B9" s="5" t="s">
        <v>59</v>
      </c>
      <c r="C9" s="5"/>
      <c r="D9" s="5"/>
      <c r="E9" s="6"/>
      <c r="F9" s="16"/>
      <c r="G9" s="5"/>
      <c r="H9" s="41"/>
    </row>
    <row r="10" spans="1:8" x14ac:dyDescent="0.25">
      <c r="A10" s="42" t="s">
        <v>27</v>
      </c>
      <c r="B10" s="3" t="s">
        <v>67</v>
      </c>
      <c r="C10" s="3" t="s">
        <v>2</v>
      </c>
      <c r="D10" s="3" t="s">
        <v>5</v>
      </c>
      <c r="E10" s="3" t="s">
        <v>74</v>
      </c>
      <c r="F10" s="17">
        <v>44378</v>
      </c>
      <c r="G10" s="19" t="s">
        <v>76</v>
      </c>
      <c r="H10" s="43"/>
    </row>
    <row r="11" spans="1:8" x14ac:dyDescent="0.25">
      <c r="A11" s="42" t="s">
        <v>28</v>
      </c>
      <c r="B11" s="3" t="s">
        <v>68</v>
      </c>
      <c r="C11" s="3" t="s">
        <v>2</v>
      </c>
      <c r="D11" s="3" t="s">
        <v>5</v>
      </c>
      <c r="E11" s="4" t="s">
        <v>75</v>
      </c>
      <c r="F11" s="17">
        <v>44378</v>
      </c>
      <c r="G11" s="19" t="s">
        <v>76</v>
      </c>
      <c r="H11" s="43"/>
    </row>
    <row r="12" spans="1:8" x14ac:dyDescent="0.25">
      <c r="A12" s="42" t="s">
        <v>29</v>
      </c>
      <c r="B12" s="3" t="s">
        <v>55</v>
      </c>
      <c r="C12" s="3" t="s">
        <v>2</v>
      </c>
      <c r="D12" s="3" t="s">
        <v>5</v>
      </c>
      <c r="E12" s="4" t="s">
        <v>78</v>
      </c>
      <c r="F12" s="17">
        <v>44377</v>
      </c>
      <c r="G12" s="19" t="s">
        <v>76</v>
      </c>
      <c r="H12" s="43"/>
    </row>
    <row r="13" spans="1:8" x14ac:dyDescent="0.25">
      <c r="A13" s="42" t="s">
        <v>30</v>
      </c>
      <c r="B13" s="3" t="s">
        <v>56</v>
      </c>
      <c r="C13" s="3" t="s">
        <v>2</v>
      </c>
      <c r="D13" s="3" t="s">
        <v>5</v>
      </c>
      <c r="E13" s="4" t="s">
        <v>78</v>
      </c>
      <c r="F13" s="17">
        <v>44409</v>
      </c>
      <c r="G13" s="19" t="s">
        <v>76</v>
      </c>
      <c r="H13" s="43"/>
    </row>
    <row r="14" spans="1:8" x14ac:dyDescent="0.25">
      <c r="A14" s="42" t="s">
        <v>31</v>
      </c>
      <c r="B14" s="3" t="s">
        <v>57</v>
      </c>
      <c r="C14" s="3" t="s">
        <v>2</v>
      </c>
      <c r="D14" s="3" t="s">
        <v>5</v>
      </c>
      <c r="E14" s="4" t="s">
        <v>75</v>
      </c>
      <c r="F14" s="17">
        <v>44409</v>
      </c>
      <c r="G14" s="19" t="s">
        <v>76</v>
      </c>
      <c r="H14" s="43"/>
    </row>
    <row r="15" spans="1:8" s="29" customFormat="1" x14ac:dyDescent="0.25">
      <c r="A15" s="40"/>
      <c r="B15" s="5" t="s">
        <v>60</v>
      </c>
      <c r="C15" s="5"/>
      <c r="D15" s="5"/>
      <c r="E15" s="6"/>
      <c r="F15" s="16"/>
      <c r="G15" s="5"/>
      <c r="H15" s="41"/>
    </row>
    <row r="16" spans="1:8" x14ac:dyDescent="0.25">
      <c r="A16" s="42" t="s">
        <v>32</v>
      </c>
      <c r="B16" s="3" t="s">
        <v>58</v>
      </c>
      <c r="C16" s="3" t="s">
        <v>69</v>
      </c>
      <c r="D16" s="3" t="s">
        <v>6</v>
      </c>
      <c r="E16" s="3" t="s">
        <v>73</v>
      </c>
      <c r="F16" s="17">
        <v>44896</v>
      </c>
      <c r="G16" s="20" t="s">
        <v>79</v>
      </c>
      <c r="H16" s="43"/>
    </row>
    <row r="17" spans="1:8" x14ac:dyDescent="0.25">
      <c r="A17" s="42" t="s">
        <v>33</v>
      </c>
      <c r="B17" s="3" t="s">
        <v>70</v>
      </c>
      <c r="C17" s="3" t="s">
        <v>72</v>
      </c>
      <c r="D17" s="3" t="s">
        <v>6</v>
      </c>
      <c r="E17" s="3" t="s">
        <v>71</v>
      </c>
      <c r="F17" s="17">
        <v>44896</v>
      </c>
      <c r="G17" s="20" t="s">
        <v>79</v>
      </c>
      <c r="H17" s="43"/>
    </row>
    <row r="18" spans="1:8" s="29" customFormat="1" x14ac:dyDescent="0.25">
      <c r="A18" s="40"/>
      <c r="B18" s="5" t="s">
        <v>61</v>
      </c>
      <c r="C18" s="5"/>
      <c r="D18" s="5"/>
      <c r="E18" s="6"/>
      <c r="F18" s="16"/>
      <c r="G18" s="5"/>
      <c r="H18" s="41"/>
    </row>
    <row r="19" spans="1:8" x14ac:dyDescent="0.25">
      <c r="A19" s="42" t="s">
        <v>34</v>
      </c>
      <c r="B19" s="3" t="s">
        <v>65</v>
      </c>
      <c r="C19" s="3" t="s">
        <v>2</v>
      </c>
      <c r="D19" s="3" t="s">
        <v>6</v>
      </c>
      <c r="E19" s="4" t="s">
        <v>81</v>
      </c>
      <c r="F19" s="17" t="s">
        <v>82</v>
      </c>
      <c r="G19" s="19" t="s">
        <v>76</v>
      </c>
      <c r="H19" s="43"/>
    </row>
    <row r="20" spans="1:8" x14ac:dyDescent="0.25">
      <c r="A20" s="42" t="s">
        <v>35</v>
      </c>
      <c r="B20" s="3" t="s">
        <v>66</v>
      </c>
      <c r="C20" s="3" t="s">
        <v>2</v>
      </c>
      <c r="D20" s="3" t="s">
        <v>6</v>
      </c>
      <c r="E20" s="4" t="s">
        <v>81</v>
      </c>
      <c r="F20" s="17" t="s">
        <v>82</v>
      </c>
      <c r="G20" s="19" t="s">
        <v>76</v>
      </c>
      <c r="H20" s="43"/>
    </row>
    <row r="21" spans="1:8" x14ac:dyDescent="0.25">
      <c r="A21" s="42" t="s">
        <v>36</v>
      </c>
      <c r="B21" s="3" t="s">
        <v>62</v>
      </c>
      <c r="C21" s="3" t="s">
        <v>66</v>
      </c>
      <c r="D21" s="3" t="s">
        <v>6</v>
      </c>
      <c r="E21" s="4" t="s">
        <v>81</v>
      </c>
      <c r="F21" s="17" t="s">
        <v>82</v>
      </c>
      <c r="G21" s="19" t="s">
        <v>76</v>
      </c>
      <c r="H21" s="43"/>
    </row>
    <row r="22" spans="1:8" x14ac:dyDescent="0.25">
      <c r="A22" s="42" t="s">
        <v>99</v>
      </c>
      <c r="B22" s="3" t="s">
        <v>63</v>
      </c>
      <c r="C22" s="3" t="s">
        <v>66</v>
      </c>
      <c r="D22" s="3" t="s">
        <v>6</v>
      </c>
      <c r="E22" s="4" t="s">
        <v>81</v>
      </c>
      <c r="F22" s="17" t="s">
        <v>82</v>
      </c>
      <c r="G22" s="19" t="s">
        <v>76</v>
      </c>
      <c r="H22" s="43"/>
    </row>
    <row r="23" spans="1:8" x14ac:dyDescent="0.25">
      <c r="A23" s="42" t="s">
        <v>100</v>
      </c>
      <c r="B23" s="3" t="s">
        <v>64</v>
      </c>
      <c r="C23" s="3" t="s">
        <v>66</v>
      </c>
      <c r="D23" s="3" t="s">
        <v>6</v>
      </c>
      <c r="E23" s="4" t="s">
        <v>81</v>
      </c>
      <c r="F23" s="17" t="s">
        <v>82</v>
      </c>
      <c r="G23" s="19" t="s">
        <v>76</v>
      </c>
      <c r="H23" s="43"/>
    </row>
    <row r="24" spans="1:8" s="29" customFormat="1" x14ac:dyDescent="0.25">
      <c r="A24" s="38" t="s">
        <v>16</v>
      </c>
      <c r="B24" s="11" t="s">
        <v>13</v>
      </c>
      <c r="C24" s="11"/>
      <c r="D24" s="11"/>
      <c r="E24" s="12"/>
      <c r="F24" s="15"/>
      <c r="G24" s="11"/>
      <c r="H24" s="39"/>
    </row>
    <row r="25" spans="1:8" s="29" customFormat="1" x14ac:dyDescent="0.25">
      <c r="A25" s="40"/>
      <c r="B25" s="5" t="s">
        <v>21</v>
      </c>
      <c r="C25" s="5"/>
      <c r="D25" s="5"/>
      <c r="E25" s="6"/>
      <c r="F25" s="16"/>
      <c r="G25" s="5"/>
      <c r="H25" s="41"/>
    </row>
    <row r="26" spans="1:8" x14ac:dyDescent="0.25">
      <c r="A26" s="42">
        <v>2.1</v>
      </c>
      <c r="B26" s="3" t="s">
        <v>83</v>
      </c>
      <c r="C26" s="3" t="s">
        <v>66</v>
      </c>
      <c r="D26" s="3" t="s">
        <v>77</v>
      </c>
      <c r="E26" s="4" t="s">
        <v>81</v>
      </c>
      <c r="F26" s="17" t="s">
        <v>82</v>
      </c>
      <c r="G26" s="19" t="s">
        <v>76</v>
      </c>
      <c r="H26" s="43"/>
    </row>
    <row r="27" spans="1:8" x14ac:dyDescent="0.25">
      <c r="A27" s="42" t="s">
        <v>17</v>
      </c>
      <c r="B27" s="3" t="s">
        <v>84</v>
      </c>
      <c r="C27" s="3" t="s">
        <v>66</v>
      </c>
      <c r="D27" s="3" t="s">
        <v>77</v>
      </c>
      <c r="E27" s="4" t="s">
        <v>81</v>
      </c>
      <c r="F27" s="17" t="s">
        <v>82</v>
      </c>
      <c r="G27" s="19" t="s">
        <v>76</v>
      </c>
      <c r="H27" s="43"/>
    </row>
    <row r="28" spans="1:8" x14ac:dyDescent="0.25">
      <c r="A28" s="42" t="s">
        <v>18</v>
      </c>
      <c r="B28" s="3" t="s">
        <v>85</v>
      </c>
      <c r="C28" s="3" t="s">
        <v>66</v>
      </c>
      <c r="D28" s="3" t="s">
        <v>77</v>
      </c>
      <c r="E28" s="4" t="s">
        <v>81</v>
      </c>
      <c r="F28" s="17" t="s">
        <v>82</v>
      </c>
      <c r="G28" s="19" t="s">
        <v>76</v>
      </c>
      <c r="H28" s="43"/>
    </row>
    <row r="29" spans="1:8" x14ac:dyDescent="0.25">
      <c r="A29" s="42" t="s">
        <v>19</v>
      </c>
      <c r="B29" s="3" t="s">
        <v>86</v>
      </c>
      <c r="C29" s="3" t="s">
        <v>66</v>
      </c>
      <c r="D29" s="3" t="s">
        <v>77</v>
      </c>
      <c r="E29" s="4" t="s">
        <v>81</v>
      </c>
      <c r="F29" s="17" t="s">
        <v>82</v>
      </c>
      <c r="G29" s="19" t="s">
        <v>76</v>
      </c>
      <c r="H29" s="43"/>
    </row>
    <row r="30" spans="1:8" x14ac:dyDescent="0.25">
      <c r="A30" s="42" t="s">
        <v>20</v>
      </c>
      <c r="B30" s="3" t="s">
        <v>87</v>
      </c>
      <c r="C30" s="3" t="s">
        <v>66</v>
      </c>
      <c r="D30" s="3" t="s">
        <v>77</v>
      </c>
      <c r="E30" s="4" t="s">
        <v>81</v>
      </c>
      <c r="F30" s="17" t="s">
        <v>82</v>
      </c>
      <c r="G30" s="19" t="s">
        <v>76</v>
      </c>
      <c r="H30" s="43"/>
    </row>
    <row r="31" spans="1:8" s="29" customFormat="1" x14ac:dyDescent="0.25">
      <c r="A31" s="40"/>
      <c r="B31" s="5" t="s">
        <v>22</v>
      </c>
      <c r="C31" s="5"/>
      <c r="D31" s="5"/>
      <c r="E31" s="6"/>
      <c r="F31" s="16"/>
      <c r="G31" s="5"/>
      <c r="H31" s="41"/>
    </row>
    <row r="32" spans="1:8" x14ac:dyDescent="0.25">
      <c r="A32" s="42" t="s">
        <v>14</v>
      </c>
      <c r="B32" s="3" t="s">
        <v>88</v>
      </c>
      <c r="C32" s="3" t="s">
        <v>66</v>
      </c>
      <c r="D32" s="3" t="s">
        <v>6</v>
      </c>
      <c r="E32" s="4" t="s">
        <v>81</v>
      </c>
      <c r="F32" s="17" t="s">
        <v>93</v>
      </c>
      <c r="G32" s="19" t="s">
        <v>76</v>
      </c>
      <c r="H32" s="43"/>
    </row>
    <row r="33" spans="1:8" x14ac:dyDescent="0.25">
      <c r="A33" s="42" t="s">
        <v>15</v>
      </c>
      <c r="B33" s="3" t="s">
        <v>89</v>
      </c>
      <c r="C33" s="3" t="s">
        <v>66</v>
      </c>
      <c r="D33" s="3" t="s">
        <v>77</v>
      </c>
      <c r="E33" s="4" t="s">
        <v>81</v>
      </c>
      <c r="F33" s="17" t="s">
        <v>93</v>
      </c>
      <c r="G33" s="19" t="s">
        <v>76</v>
      </c>
      <c r="H33" s="43"/>
    </row>
    <row r="34" spans="1:8" s="29" customFormat="1" x14ac:dyDescent="0.25">
      <c r="A34" s="40"/>
      <c r="B34" s="5" t="s">
        <v>23</v>
      </c>
      <c r="C34" s="5"/>
      <c r="D34" s="5"/>
      <c r="E34" s="6"/>
      <c r="F34" s="16"/>
      <c r="G34" s="5"/>
      <c r="H34" s="41"/>
    </row>
    <row r="35" spans="1:8" x14ac:dyDescent="0.25">
      <c r="A35" s="42" t="s">
        <v>37</v>
      </c>
      <c r="B35" s="3" t="s">
        <v>90</v>
      </c>
      <c r="C35" s="3" t="s">
        <v>66</v>
      </c>
      <c r="D35" s="3" t="s">
        <v>77</v>
      </c>
      <c r="E35" s="4" t="s">
        <v>81</v>
      </c>
      <c r="F35" s="4" t="s">
        <v>81</v>
      </c>
      <c r="G35" s="19" t="s">
        <v>76</v>
      </c>
      <c r="H35" s="43"/>
    </row>
    <row r="36" spans="1:8" x14ac:dyDescent="0.25">
      <c r="A36" s="42" t="s">
        <v>38</v>
      </c>
      <c r="B36" s="3" t="s">
        <v>91</v>
      </c>
      <c r="C36" s="3" t="s">
        <v>66</v>
      </c>
      <c r="D36" s="3" t="s">
        <v>77</v>
      </c>
      <c r="E36" s="4" t="s">
        <v>81</v>
      </c>
      <c r="F36" s="4" t="s">
        <v>81</v>
      </c>
      <c r="G36" s="19" t="s">
        <v>76</v>
      </c>
      <c r="H36" s="43"/>
    </row>
    <row r="37" spans="1:8" x14ac:dyDescent="0.25">
      <c r="A37" s="42" t="s">
        <v>39</v>
      </c>
      <c r="B37" s="3" t="s">
        <v>92</v>
      </c>
      <c r="C37" s="3" t="s">
        <v>66</v>
      </c>
      <c r="D37" s="3" t="s">
        <v>77</v>
      </c>
      <c r="E37" s="4" t="s">
        <v>81</v>
      </c>
      <c r="F37" s="4" t="s">
        <v>81</v>
      </c>
      <c r="G37" s="19" t="s">
        <v>76</v>
      </c>
      <c r="H37" s="43"/>
    </row>
    <row r="38" spans="1:8" s="29" customFormat="1" x14ac:dyDescent="0.25">
      <c r="A38" s="38" t="s">
        <v>26</v>
      </c>
      <c r="B38" s="11" t="s">
        <v>94</v>
      </c>
      <c r="C38" s="11"/>
      <c r="D38" s="11"/>
      <c r="E38" s="12"/>
      <c r="F38" s="15"/>
      <c r="G38" s="11"/>
      <c r="H38" s="39"/>
    </row>
    <row r="39" spans="1:8" s="29" customFormat="1" x14ac:dyDescent="0.25">
      <c r="A39" s="40"/>
      <c r="B39" s="5" t="s">
        <v>21</v>
      </c>
      <c r="C39" s="5"/>
      <c r="D39" s="5"/>
      <c r="E39" s="6"/>
      <c r="F39" s="16"/>
      <c r="G39" s="5"/>
      <c r="H39" s="41"/>
    </row>
    <row r="40" spans="1:8" x14ac:dyDescent="0.25">
      <c r="A40" s="42" t="s">
        <v>40</v>
      </c>
      <c r="B40" s="3" t="s">
        <v>95</v>
      </c>
      <c r="C40" s="3" t="s">
        <v>66</v>
      </c>
      <c r="D40" s="3" t="s">
        <v>77</v>
      </c>
      <c r="E40" s="4" t="s">
        <v>81</v>
      </c>
      <c r="F40" s="4" t="s">
        <v>81</v>
      </c>
      <c r="G40" s="19" t="s">
        <v>76</v>
      </c>
      <c r="H40" s="43"/>
    </row>
    <row r="41" spans="1:8" x14ac:dyDescent="0.25">
      <c r="A41" s="42" t="s">
        <v>41</v>
      </c>
      <c r="B41" s="3" t="s">
        <v>96</v>
      </c>
      <c r="C41" s="3" t="s">
        <v>66</v>
      </c>
      <c r="D41" s="3" t="s">
        <v>77</v>
      </c>
      <c r="E41" s="4" t="s">
        <v>81</v>
      </c>
      <c r="F41" s="4" t="s">
        <v>81</v>
      </c>
      <c r="G41" s="19" t="s">
        <v>76</v>
      </c>
      <c r="H41" s="43"/>
    </row>
    <row r="42" spans="1:8" x14ac:dyDescent="0.25">
      <c r="A42" s="42" t="s">
        <v>42</v>
      </c>
      <c r="B42" s="3" t="s">
        <v>97</v>
      </c>
      <c r="C42" s="3" t="s">
        <v>66</v>
      </c>
      <c r="D42" s="3" t="s">
        <v>77</v>
      </c>
      <c r="E42" s="4" t="s">
        <v>81</v>
      </c>
      <c r="F42" s="4" t="s">
        <v>81</v>
      </c>
      <c r="G42" s="19" t="s">
        <v>76</v>
      </c>
      <c r="H42" s="43"/>
    </row>
    <row r="43" spans="1:8" x14ac:dyDescent="0.25">
      <c r="A43" s="42" t="s">
        <v>43</v>
      </c>
      <c r="B43" s="3" t="s">
        <v>98</v>
      </c>
      <c r="C43" s="3" t="s">
        <v>66</v>
      </c>
      <c r="D43" s="3" t="s">
        <v>77</v>
      </c>
      <c r="E43" s="4" t="s">
        <v>81</v>
      </c>
      <c r="F43" s="4" t="s">
        <v>81</v>
      </c>
      <c r="G43" s="19" t="s">
        <v>76</v>
      </c>
      <c r="H43" s="43"/>
    </row>
    <row r="44" spans="1:8" x14ac:dyDescent="0.25">
      <c r="A44" s="42" t="s">
        <v>44</v>
      </c>
      <c r="B44" s="3" t="s">
        <v>101</v>
      </c>
      <c r="C44" s="3" t="s">
        <v>66</v>
      </c>
      <c r="D44" s="3" t="s">
        <v>77</v>
      </c>
      <c r="E44" s="4" t="s">
        <v>81</v>
      </c>
      <c r="F44" s="4" t="s">
        <v>81</v>
      </c>
      <c r="G44" s="19" t="s">
        <v>76</v>
      </c>
      <c r="H44" s="43"/>
    </row>
    <row r="45" spans="1:8" s="29" customFormat="1" x14ac:dyDescent="0.25">
      <c r="A45" s="40"/>
      <c r="B45" s="5" t="s">
        <v>22</v>
      </c>
      <c r="C45" s="5"/>
      <c r="D45" s="5"/>
      <c r="E45" s="6"/>
      <c r="F45" s="16"/>
      <c r="G45" s="5"/>
      <c r="H45" s="41"/>
    </row>
    <row r="46" spans="1:8" x14ac:dyDescent="0.25">
      <c r="A46" s="42" t="s">
        <v>45</v>
      </c>
      <c r="B46" s="3" t="s">
        <v>102</v>
      </c>
      <c r="C46" s="3" t="s">
        <v>66</v>
      </c>
      <c r="D46" s="3" t="s">
        <v>77</v>
      </c>
      <c r="E46" s="4" t="s">
        <v>81</v>
      </c>
      <c r="F46" s="4" t="s">
        <v>81</v>
      </c>
      <c r="G46" s="19" t="s">
        <v>76</v>
      </c>
      <c r="H46" s="43"/>
    </row>
    <row r="47" spans="1:8" x14ac:dyDescent="0.25">
      <c r="A47" s="42" t="s">
        <v>46</v>
      </c>
      <c r="B47" s="3" t="s">
        <v>103</v>
      </c>
      <c r="C47" s="3" t="s">
        <v>66</v>
      </c>
      <c r="D47" s="3" t="s">
        <v>77</v>
      </c>
      <c r="E47" s="4" t="s">
        <v>81</v>
      </c>
      <c r="F47" s="4" t="s">
        <v>81</v>
      </c>
      <c r="G47" s="19" t="s">
        <v>76</v>
      </c>
      <c r="H47" s="43"/>
    </row>
    <row r="48" spans="1:8" s="29" customFormat="1" x14ac:dyDescent="0.25">
      <c r="A48" s="40"/>
      <c r="B48" s="5" t="s">
        <v>23</v>
      </c>
      <c r="C48" s="5"/>
      <c r="D48" s="5"/>
      <c r="E48" s="6"/>
      <c r="F48" s="16"/>
      <c r="G48" s="5"/>
      <c r="H48" s="41"/>
    </row>
    <row r="49" spans="1:8" x14ac:dyDescent="0.25">
      <c r="A49" s="42" t="s">
        <v>47</v>
      </c>
      <c r="B49" s="3" t="s">
        <v>104</v>
      </c>
      <c r="C49" s="3" t="s">
        <v>66</v>
      </c>
      <c r="D49" s="3" t="s">
        <v>77</v>
      </c>
      <c r="E49" s="4" t="s">
        <v>81</v>
      </c>
      <c r="F49" s="4" t="s">
        <v>81</v>
      </c>
      <c r="G49" s="19" t="s">
        <v>76</v>
      </c>
      <c r="H49" s="43"/>
    </row>
    <row r="50" spans="1:8" x14ac:dyDescent="0.25">
      <c r="A50" s="42" t="s">
        <v>48</v>
      </c>
      <c r="B50" s="3" t="s">
        <v>105</v>
      </c>
      <c r="C50" s="3" t="s">
        <v>66</v>
      </c>
      <c r="D50" s="3" t="s">
        <v>77</v>
      </c>
      <c r="E50" s="4" t="s">
        <v>81</v>
      </c>
      <c r="F50" s="4" t="s">
        <v>81</v>
      </c>
      <c r="G50" s="19" t="s">
        <v>76</v>
      </c>
      <c r="H50" s="43"/>
    </row>
    <row r="51" spans="1:8" ht="16.5" thickBot="1" x14ac:dyDescent="0.3">
      <c r="A51" s="44" t="s">
        <v>49</v>
      </c>
      <c r="B51" s="45" t="s">
        <v>106</v>
      </c>
      <c r="C51" s="3" t="s">
        <v>66</v>
      </c>
      <c r="D51" s="3" t="s">
        <v>77</v>
      </c>
      <c r="E51" s="4" t="s">
        <v>81</v>
      </c>
      <c r="F51" s="4" t="s">
        <v>81</v>
      </c>
      <c r="G51" s="19" t="s">
        <v>76</v>
      </c>
      <c r="H51" s="46"/>
    </row>
  </sheetData>
  <dataValidations count="1">
    <dataValidation type="list" allowBlank="1" showInputMessage="1" showErrorMessage="1" sqref="D8:D67" xr:uid="{8A5B9483-F8DE-4340-A4A1-67EEDD34EED1}">
      <formula1>"Unassigned, Assigned, In Progress, Late, Complete"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BUDGET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Gordon Elliott Williams</cp:lastModifiedBy>
  <dcterms:created xsi:type="dcterms:W3CDTF">2019-08-02T16:07:55Z</dcterms:created>
  <dcterms:modified xsi:type="dcterms:W3CDTF">2021-06-14T03:22:36Z</dcterms:modified>
</cp:coreProperties>
</file>