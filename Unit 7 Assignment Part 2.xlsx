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elli\Desktop\Education Accolades\Post - GRADUATE\MS Data Analytics\BIA520-30 Balanced Scorecards and Performance Dashboards\"/>
    </mc:Choice>
  </mc:AlternateContent>
  <xr:revisionPtr revIDLastSave="0" documentId="13_ncr:1_{287525CA-3D58-48F8-9F53-580435902994}" xr6:coauthVersionLast="47" xr6:coauthVersionMax="47" xr10:uidLastSave="{00000000-0000-0000-0000-000000000000}"/>
  <bookViews>
    <workbookView xWindow="27945" yWindow="0" windowWidth="29610" windowHeight="15600" firstSheet="2" activeTab="4" xr2:uid="{04DCE0C6-CDD6-430E-9012-12D97C6728D8}"/>
  </bookViews>
  <sheets>
    <sheet name=" Key Fin Perf by Subsidiary" sheetId="1" r:id="rId1"/>
    <sheet name="Employee &amp; Customer Data" sheetId="2" r:id="rId2"/>
    <sheet name="M&amp;A Activity and Sector Growth" sheetId="4" r:id="rId3"/>
    <sheet name="Employee Retention &amp; Revenue " sheetId="5" r:id="rId4"/>
    <sheet name="Economic Indicators &amp; Competiti" sheetId="3" r:id="rId5"/>
  </sheets>
  <definedNames>
    <definedName name="_xlcn.WorksheetConnection_Book1Table21" hidden="1">Table2[]</definedName>
    <definedName name="_xlcn.WorksheetConnection_Unit7AssignmentPart2.xlsxTable31" hidden="1">Table3[]</definedName>
    <definedName name="_xlcn.WorksheetConnection_Unit7AssignmentPart2.xlsxTable41" hidden="1">Table4[]</definedName>
    <definedName name="_xlcn.WorksheetConnection_Unit7AssignmentPart2.xlsxTable51" hidden="1">Table5[]</definedName>
  </definedNames>
  <calcPr calcId="191029"/>
  <pivotCaches>
    <pivotCache cacheId="66" r:id="rId6"/>
    <pivotCache cacheId="67" r:id="rId7"/>
    <pivotCache cacheId="68" r:id="rId8"/>
  </pivotCaches>
  <extLst>
    <ext xmlns:x15="http://schemas.microsoft.com/office/spreadsheetml/2010/11/main" uri="{841E416B-1EF1-43b6-AB56-02D37102CBD5}">
      <x15:pivotCaches>
        <pivotCache cacheId="75" r:id="rId9"/>
      </x15:pivotCaches>
    </ext>
    <ext xmlns:x15="http://schemas.microsoft.com/office/spreadsheetml/2010/11/main" uri="{983426D0-5260-488c-9760-48F4B6AC55F4}">
      <x15:pivotTableReferences>
        <x15:pivotTableReference r:id="rId1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Book1!Table2"/>
          <x15:modelTable id="Table3" name="Table3" connection="WorksheetConnection_Unit 7 Assignment Part 2.xlsx!Table3"/>
          <x15:modelTable id="Table5" name="Table5" connection="WorksheetConnection_Unit 7 Assignment Part 2.xlsx!Table5"/>
          <x15:modelTable id="Table4" name="Table4" connection="WorksheetConnection_Unit 7 Assignment Part 2.xlsx!Table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8C64F4-8462-4F71-843C-53A413DDE3B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1FEF6BF-979F-47FB-92D9-0CE6290B2755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Book1Table21"/>
        </x15:connection>
      </ext>
    </extLst>
  </connection>
  <connection id="3" xr16:uid="{86528B71-C07A-44BE-9196-BD50AC3B9C67}" name="WorksheetConnection_Unit 7 Assignment Part 2.xlsx!Table3" type="102" refreshedVersion="8" minRefreshableVersion="5">
    <extLst>
      <ext xmlns:x15="http://schemas.microsoft.com/office/spreadsheetml/2010/11/main" uri="{DE250136-89BD-433C-8126-D09CA5730AF9}">
        <x15:connection id="Table3" autoDelete="1">
          <x15:rangePr sourceName="_xlcn.WorksheetConnection_Unit7AssignmentPart2.xlsxTable31"/>
        </x15:connection>
      </ext>
    </extLst>
  </connection>
  <connection id="4" xr16:uid="{9D22D331-3D6C-48E5-AE27-E97A6614DDBA}" name="WorksheetConnection_Unit 7 Assignment Part 2.xlsx!Table4" type="102" refreshedVersion="8" minRefreshableVersion="5">
    <extLst>
      <ext xmlns:x15="http://schemas.microsoft.com/office/spreadsheetml/2010/11/main" uri="{DE250136-89BD-433C-8126-D09CA5730AF9}">
        <x15:connection id="Table4" autoDelete="1">
          <x15:rangePr sourceName="_xlcn.WorksheetConnection_Unit7AssignmentPart2.xlsxTable41"/>
        </x15:connection>
      </ext>
    </extLst>
  </connection>
  <connection id="5" xr16:uid="{D7D539D4-E607-46C6-A2C9-42DBA097D257}" name="WorksheetConnection_Unit 7 Assignment Part 2.xlsx!Table5" type="102" refreshedVersion="8" minRefreshableVersion="5">
    <extLst>
      <ext xmlns:x15="http://schemas.microsoft.com/office/spreadsheetml/2010/11/main" uri="{DE250136-89BD-433C-8126-D09CA5730AF9}">
        <x15:connection id="Table5" autoDelete="1">
          <x15:rangePr sourceName="_xlcn.WorksheetConnection_Unit7AssignmentPart2.xlsxTable5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able2].[Subsidiary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<sst xmlns="http://schemas.openxmlformats.org/spreadsheetml/2006/main" count="102" uniqueCount="54">
  <si>
    <t>Subsidiary</t>
  </si>
  <si>
    <t>Revenue ($M)</t>
  </si>
  <si>
    <t>Revenue Growth (%)</t>
  </si>
  <si>
    <t>Profit Margin (%)</t>
  </si>
  <si>
    <t xml:space="preserve">Subsidiary 1: (AR, AP, and Cash Application services): </t>
  </si>
  <si>
    <t>Location</t>
  </si>
  <si>
    <t>Atlanta, GA</t>
  </si>
  <si>
    <t>Dallas, TX</t>
  </si>
  <si>
    <t>Subsidiary 3: (Undergarment Sales and Distribution)</t>
  </si>
  <si>
    <t>Chicago, IL</t>
  </si>
  <si>
    <t xml:space="preserve">Subsidiary 2: (E-gaming applications): </t>
  </si>
  <si>
    <t>Subsidiary 4: (Disability Staffing Service)</t>
  </si>
  <si>
    <t>San Diago, CA</t>
  </si>
  <si>
    <t xml:space="preserve">Subsidiary 5: (Disability Travel Agency): </t>
  </si>
  <si>
    <t>Miami, FL</t>
  </si>
  <si>
    <t>Subsidiary 6: (International Business Phone Book)</t>
  </si>
  <si>
    <t>New York, NY</t>
  </si>
  <si>
    <t>GW Holdings, LLC</t>
  </si>
  <si>
    <t>Totals</t>
  </si>
  <si>
    <t>Employee Retention Rate (%)</t>
  </si>
  <si>
    <t>% Revenue from Top 3 Clients</t>
  </si>
  <si>
    <t>GW HOLDINGS, LLC</t>
  </si>
  <si>
    <t>Row Labels</t>
  </si>
  <si>
    <t>Subsidiary 1: (AR, AP, and Cash Application services):</t>
  </si>
  <si>
    <t>Subsidiary 2: (E-gaming applications):</t>
  </si>
  <si>
    <t>Subsidiary 5: (Disability Travel Agency):</t>
  </si>
  <si>
    <t>Grand Total</t>
  </si>
  <si>
    <t>Sum of Revenue ($M)</t>
  </si>
  <si>
    <t>Sum of Revenue Growth (%)</t>
  </si>
  <si>
    <t>Sum of Profit Margin (%)</t>
  </si>
  <si>
    <t>(blank)</t>
  </si>
  <si>
    <t>All</t>
  </si>
  <si>
    <t>Sum of Employee Retention Rate (%)</t>
  </si>
  <si>
    <t>Sum of % Revenue from Top 3 Clients</t>
  </si>
  <si>
    <t>Date</t>
  </si>
  <si>
    <t>10-Year Treasury Yield</t>
  </si>
  <si>
    <t>Economic Trend - Rising Interest Rates</t>
  </si>
  <si>
    <t>GW Holdings, LLC.</t>
  </si>
  <si>
    <t>Competitive Market Share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</si>
  <si>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</si>
  <si>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</si>
  <si>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</si>
  <si>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</si>
  <si>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</si>
  <si>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</si>
  <si>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</si>
  <si>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</si>
  <si>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</si>
  <si>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</si>
  <si>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</si>
  <si>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</si>
  <si>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</si>
  <si>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Competitor Market Share (%)</t>
  </si>
  <si>
    <t>Sum of Competitor Market 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</si>
</sst>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28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2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9" fontId="3" fillId="0" borderId="1" xfId="0" applyNumberFormat="1" applyFont="1" applyBorder="1" applyAlignment="1">
      <alignment horizontal="right" wrapText="1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wrapText="1"/>
    </xf>
    <xf numFmtId="9" fontId="3" fillId="0" borderId="5" xfId="0" applyNumberFormat="1" applyFont="1" applyBorder="1" applyAlignment="1">
      <alignment horizontal="right" wrapText="1"/>
    </xf>
    <xf numFmtId="0" fontId="3" fillId="0" borderId="9" xfId="0" applyFont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9" fontId="3" fillId="0" borderId="1" xfId="0" applyNumberFormat="1" applyFont="1" applyBorder="1" applyAlignment="1">
      <alignment horizontal="right" vertical="center" wrapText="1"/>
    </xf>
    <xf numFmtId="9" fontId="3" fillId="0" borderId="5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right" wrapText="1"/>
    </xf>
    <xf numFmtId="9" fontId="3" fillId="0" borderId="10" xfId="0" applyNumberFormat="1" applyFont="1" applyBorder="1" applyAlignment="1">
      <alignment horizontal="right" wrapText="1"/>
    </xf>
    <xf numFmtId="0" fontId="6" fillId="3" borderId="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7" fillId="5" borderId="0" xfId="0" applyFont="1" applyFill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/>
    </xf>
    <xf numFmtId="10" fontId="9" fillId="0" borderId="5" xfId="0" applyNumberFormat="1" applyFont="1" applyBorder="1" applyAlignment="1">
      <alignment horizontal="right" wrapText="1"/>
    </xf>
    <xf numFmtId="10" fontId="9" fillId="0" borderId="10" xfId="0" applyNumberFormat="1" applyFont="1" applyBorder="1" applyAlignment="1">
      <alignment horizontal="right" wrapText="1"/>
    </xf>
    <xf numFmtId="0" fontId="8" fillId="6" borderId="0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 wrapText="1"/>
    </xf>
    <xf numFmtId="168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3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8" formatCode="0.0%"/>
      <alignment horizontal="center" vertical="bottom" textRotation="0" wrapText="0" indent="0" justifyLastLine="0" shrinkToFit="0" readingOrder="0"/>
    </dxf>
    <dxf>
      <font>
        <b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8"/>
          <bgColor theme="8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border outline="0">
        <bottom style="medium">
          <color rgb="FFCCCCCC"/>
        </bottom>
      </border>
    </dxf>
    <dxf>
      <border outline="0">
        <top style="medium">
          <color rgb="FFCCCCCC"/>
        </top>
      </border>
    </dxf>
    <dxf>
      <font>
        <b/>
      </font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right" vertical="bottom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righ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Table" Target="pivotTables/pivotTabl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7 Assignment Part 2.xlsx]M&amp;A Activity and Sector Growth!PivotTable1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M&amp;A ACTIVITY BY SUBSIDIARY</a:t>
            </a:r>
          </a:p>
        </c:rich>
      </c:tx>
      <c:layout>
        <c:manualLayout>
          <c:xMode val="edge"/>
          <c:yMode val="edge"/>
          <c:x val="0.32404146091907998"/>
          <c:y val="0.11280480791013983"/>
        </c:manualLayout>
      </c:layout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'M&amp;A Activity and Sector Growth'!$B$3</c:f>
              <c:strCache>
                <c:ptCount val="1"/>
                <c:pt idx="0">
                  <c:v>Sum of Revenue ($M)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'M&amp;A Activity and Sector Growth'!$A$4:$A$11</c:f>
              <c:strCache>
                <c:ptCount val="7"/>
                <c:pt idx="0">
                  <c:v>(blank)</c:v>
                </c:pt>
                <c:pt idx="1">
                  <c:v>Atlanta, GA</c:v>
                </c:pt>
                <c:pt idx="2">
                  <c:v>Chicago, IL</c:v>
                </c:pt>
                <c:pt idx="3">
                  <c:v>Dallas, TX</c:v>
                </c:pt>
                <c:pt idx="4">
                  <c:v>Miami, FL</c:v>
                </c:pt>
                <c:pt idx="5">
                  <c:v>New York, NY</c:v>
                </c:pt>
                <c:pt idx="6">
                  <c:v>San Diago, CA</c:v>
                </c:pt>
              </c:strCache>
            </c:strRef>
          </c:cat>
          <c:val>
            <c:numRef>
              <c:f>'M&amp;A Activity and Sector Growth'!$B$4:$B$11</c:f>
              <c:numCache>
                <c:formatCode>General</c:formatCode>
                <c:ptCount val="7"/>
                <c:pt idx="0">
                  <c:v>361</c:v>
                </c:pt>
                <c:pt idx="1">
                  <c:v>125</c:v>
                </c:pt>
                <c:pt idx="2">
                  <c:v>45</c:v>
                </c:pt>
                <c:pt idx="3">
                  <c:v>80</c:v>
                </c:pt>
                <c:pt idx="4">
                  <c:v>36</c:v>
                </c:pt>
                <c:pt idx="5">
                  <c:v>72</c:v>
                </c:pt>
                <c:pt idx="6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C-4B5B-ACCB-DEC35BB4C9CB}"/>
            </c:ext>
          </c:extLst>
        </c:ser>
        <c:ser>
          <c:idx val="1"/>
          <c:order val="1"/>
          <c:tx>
            <c:strRef>
              <c:f>'M&amp;A Activity and Sector Growth'!$C$3</c:f>
              <c:strCache>
                <c:ptCount val="1"/>
                <c:pt idx="0">
                  <c:v>Sum of Revenue Growth (%)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'M&amp;A Activity and Sector Growth'!$A$4:$A$11</c:f>
              <c:strCache>
                <c:ptCount val="7"/>
                <c:pt idx="0">
                  <c:v>(blank)</c:v>
                </c:pt>
                <c:pt idx="1">
                  <c:v>Atlanta, GA</c:v>
                </c:pt>
                <c:pt idx="2">
                  <c:v>Chicago, IL</c:v>
                </c:pt>
                <c:pt idx="3">
                  <c:v>Dallas, TX</c:v>
                </c:pt>
                <c:pt idx="4">
                  <c:v>Miami, FL</c:v>
                </c:pt>
                <c:pt idx="5">
                  <c:v>New York, NY</c:v>
                </c:pt>
                <c:pt idx="6">
                  <c:v>San Diago, CA</c:v>
                </c:pt>
              </c:strCache>
            </c:strRef>
          </c:cat>
          <c:val>
            <c:numRef>
              <c:f>'M&amp;A Activity and Sector Growth'!$C$4:$C$11</c:f>
              <c:numCache>
                <c:formatCode>General</c:formatCode>
                <c:ptCount val="7"/>
                <c:pt idx="0">
                  <c:v>0.6</c:v>
                </c:pt>
                <c:pt idx="1">
                  <c:v>0.18</c:v>
                </c:pt>
                <c:pt idx="2">
                  <c:v>0.05</c:v>
                </c:pt>
                <c:pt idx="3">
                  <c:v>0.12</c:v>
                </c:pt>
                <c:pt idx="4">
                  <c:v>0.08</c:v>
                </c:pt>
                <c:pt idx="5">
                  <c:v>0.16</c:v>
                </c:pt>
                <c:pt idx="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C-4B5B-ACCB-DEC35BB4C9CB}"/>
            </c:ext>
          </c:extLst>
        </c:ser>
        <c:ser>
          <c:idx val="2"/>
          <c:order val="2"/>
          <c:tx>
            <c:strRef>
              <c:f>'M&amp;A Activity and Sector Growth'!$D$3</c:f>
              <c:strCache>
                <c:ptCount val="1"/>
                <c:pt idx="0">
                  <c:v>Sum of Profit Margin (%)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'M&amp;A Activity and Sector Growth'!$A$4:$A$11</c:f>
              <c:strCache>
                <c:ptCount val="7"/>
                <c:pt idx="0">
                  <c:v>(blank)</c:v>
                </c:pt>
                <c:pt idx="1">
                  <c:v>Atlanta, GA</c:v>
                </c:pt>
                <c:pt idx="2">
                  <c:v>Chicago, IL</c:v>
                </c:pt>
                <c:pt idx="3">
                  <c:v>Dallas, TX</c:v>
                </c:pt>
                <c:pt idx="4">
                  <c:v>Miami, FL</c:v>
                </c:pt>
                <c:pt idx="5">
                  <c:v>New York, NY</c:v>
                </c:pt>
                <c:pt idx="6">
                  <c:v>San Diago, CA</c:v>
                </c:pt>
              </c:strCache>
            </c:strRef>
          </c:cat>
          <c:val>
            <c:numRef>
              <c:f>'M&amp;A Activity and Sector Growth'!$D$4:$D$11</c:f>
              <c:numCache>
                <c:formatCode>General</c:formatCode>
                <c:ptCount val="7"/>
                <c:pt idx="0">
                  <c:v>0.64</c:v>
                </c:pt>
                <c:pt idx="1">
                  <c:v>0.22</c:v>
                </c:pt>
                <c:pt idx="2">
                  <c:v>0.08</c:v>
                </c:pt>
                <c:pt idx="3">
                  <c:v>0.15</c:v>
                </c:pt>
                <c:pt idx="4">
                  <c:v>0.06</c:v>
                </c:pt>
                <c:pt idx="5">
                  <c:v>0.12</c:v>
                </c:pt>
                <c:pt idx="6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6C-4B5B-ACCB-DEC35BB4C9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57330255"/>
        <c:axId val="857331695"/>
      </c:lineChart>
      <c:catAx>
        <c:axId val="85733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LOCATIONS</a:t>
                </a:r>
              </a:p>
            </c:rich>
          </c:tx>
          <c:layout>
            <c:manualLayout>
              <c:xMode val="edge"/>
              <c:yMode val="edge"/>
              <c:x val="0.42101813544493383"/>
              <c:y val="0.91148370880996599"/>
            </c:manualLayout>
          </c:layout>
          <c:overlay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31695"/>
        <c:crosses val="autoZero"/>
        <c:auto val="1"/>
        <c:lblAlgn val="ctr"/>
        <c:lblOffset val="100"/>
        <c:noMultiLvlLbl val="0"/>
      </c:catAx>
      <c:valAx>
        <c:axId val="8573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REVENUE</a:t>
                </a:r>
              </a:p>
            </c:rich>
          </c:tx>
          <c:overlay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302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00" verticalDpi="30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7 Assignment Part 2.xlsx]Employee Retention &amp; Revenue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SUBSIDIARY PERFORMANCE OVERVIEW</a:t>
            </a:r>
          </a:p>
        </c:rich>
      </c:tx>
      <c:overlay val="0"/>
      <c:spPr>
        <a:solidFill>
          <a:schemeClr val="accent3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'Employee Retention &amp; Revenue '!$C$2</c:f>
              <c:strCache>
                <c:ptCount val="1"/>
                <c:pt idx="0">
                  <c:v>Sum of % Revenue from Top 3 Clients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'Employee Retention &amp; Revenue '!$A$3:$A$9</c:f>
              <c:strCache>
                <c:ptCount val="6"/>
                <c:pt idx="0">
                  <c:v>Subsidiary 1: (AR, AP, and Cash Application services):</c:v>
                </c:pt>
                <c:pt idx="1">
                  <c:v>Subsidiary 2: (E-gaming applications):</c:v>
                </c:pt>
                <c:pt idx="2">
                  <c:v>Subsidiary 3: (Undergarment Sales and Distribution)</c:v>
                </c:pt>
                <c:pt idx="3">
                  <c:v>Subsidiary 4: (Disability Staffing Service)</c:v>
                </c:pt>
                <c:pt idx="4">
                  <c:v>Subsidiary 5: (Disability Travel Agency):</c:v>
                </c:pt>
                <c:pt idx="5">
                  <c:v>Subsidiary 6: (International Business Phone Book)</c:v>
                </c:pt>
              </c:strCache>
            </c:strRef>
          </c:cat>
          <c:val>
            <c:numRef>
              <c:f>'Employee Retention &amp; Revenue '!$C$3:$C$9</c:f>
              <c:numCache>
                <c:formatCode>General</c:formatCode>
                <c:ptCount val="6"/>
                <c:pt idx="0">
                  <c:v>0.25</c:v>
                </c:pt>
                <c:pt idx="1">
                  <c:v>0.55000000000000004</c:v>
                </c:pt>
                <c:pt idx="2">
                  <c:v>0.4</c:v>
                </c:pt>
                <c:pt idx="3">
                  <c:v>0.2</c:v>
                </c:pt>
                <c:pt idx="4">
                  <c:v>0.6</c:v>
                </c:pt>
                <c:pt idx="5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09-455C-BB0A-F207F7E1BE37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6333024"/>
        <c:axId val="1196330624"/>
      </c:barChart>
      <c:lineChart>
        <c:grouping val="stacked"/>
        <c:varyColors val="0"/>
        <c:ser>
          <c:idx val="0"/>
          <c:order val="0"/>
          <c:tx>
            <c:strRef>
              <c:f>'Employee Retention &amp; Revenue '!$B$2</c:f>
              <c:strCache>
                <c:ptCount val="1"/>
                <c:pt idx="0">
                  <c:v>Sum of Employee Retention Rate (%)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'Employee Retention &amp; Revenue '!$A$3:$A$9</c:f>
              <c:strCache>
                <c:ptCount val="6"/>
                <c:pt idx="0">
                  <c:v>Subsidiary 1: (AR, AP, and Cash Application services):</c:v>
                </c:pt>
                <c:pt idx="1">
                  <c:v>Subsidiary 2: (E-gaming applications):</c:v>
                </c:pt>
                <c:pt idx="2">
                  <c:v>Subsidiary 3: (Undergarment Sales and Distribution)</c:v>
                </c:pt>
                <c:pt idx="3">
                  <c:v>Subsidiary 4: (Disability Staffing Service)</c:v>
                </c:pt>
                <c:pt idx="4">
                  <c:v>Subsidiary 5: (Disability Travel Agency):</c:v>
                </c:pt>
                <c:pt idx="5">
                  <c:v>Subsidiary 6: (International Business Phone Book)</c:v>
                </c:pt>
              </c:strCache>
            </c:strRef>
          </c:cat>
          <c:val>
            <c:numRef>
              <c:f>'Employee Retention &amp; Revenue '!$B$3:$B$9</c:f>
              <c:numCache>
                <c:formatCode>General</c:formatCode>
                <c:ptCount val="6"/>
                <c:pt idx="0">
                  <c:v>0.92</c:v>
                </c:pt>
                <c:pt idx="1">
                  <c:v>0.85</c:v>
                </c:pt>
                <c:pt idx="2">
                  <c:v>0.78</c:v>
                </c:pt>
                <c:pt idx="3">
                  <c:v>0.94</c:v>
                </c:pt>
                <c:pt idx="4">
                  <c:v>0.75</c:v>
                </c:pt>
                <c:pt idx="5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A09-455C-BB0A-F207F7E1B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333024"/>
        <c:axId val="1196330624"/>
      </c:lineChart>
      <c:catAx>
        <c:axId val="1196333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SUBSIDIARY</a:t>
                </a:r>
              </a:p>
            </c:rich>
          </c:tx>
          <c:layout>
            <c:manualLayout>
              <c:xMode val="edge"/>
              <c:yMode val="edge"/>
              <c:x val="0.41448656880852858"/>
              <c:y val="0.91214338363215808"/>
            </c:manualLayout>
          </c:layout>
          <c:overlay val="0"/>
          <c:spPr>
            <a:solidFill>
              <a:schemeClr val="accent3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30624"/>
        <c:crosses val="autoZero"/>
        <c:auto val="1"/>
        <c:lblAlgn val="ctr"/>
        <c:lblOffset val="100"/>
        <c:noMultiLvlLbl val="0"/>
      </c:catAx>
      <c:valAx>
        <c:axId val="119633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EMPLOYEE RETENTION RATE</a:t>
                </a:r>
              </a:p>
            </c:rich>
          </c:tx>
          <c:layout>
            <c:manualLayout>
              <c:xMode val="edge"/>
              <c:yMode val="edge"/>
              <c:x val="1.646090534979424E-2"/>
              <c:y val="0.22050847815217708"/>
            </c:manualLayout>
          </c:layout>
          <c:overlay val="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3330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7 Assignment Part 2.xlsx]Economic Indicators &amp; Competiti!PivotTable3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CONGLOMERATE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>
                  <a:lumMod val="11000"/>
                  <a:lumOff val="89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'Economic Indicators &amp; Competiti'!$F$17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11000"/>
                    <a:lumOff val="89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dLbls>
            <c:spPr>
              <a:solidFill>
                <a:srgbClr val="156082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'Economic Indicators &amp; Competiti'!$E$18:$E$30</c:f>
              <c:strCache>
                <c:ptCount val="12"/>
                <c:pt idx="0">
                  <c:v>APRIL</c:v>
                </c:pt>
                <c:pt idx="1">
                  <c:v>AUGUST</c:v>
                </c:pt>
                <c:pt idx="2">
                  <c:v>DECEMBER</c:v>
                </c:pt>
                <c:pt idx="3">
                  <c:v>FEBRUARY</c:v>
                </c:pt>
                <c:pt idx="4">
                  <c:v>JANUARY</c:v>
                </c:pt>
                <c:pt idx="5">
                  <c:v>JULY</c:v>
                </c:pt>
                <c:pt idx="6">
                  <c:v>JUNE</c:v>
                </c:pt>
                <c:pt idx="7">
                  <c:v>MARCH</c:v>
                </c:pt>
                <c:pt idx="8">
                  <c:v>MAY</c:v>
                </c:pt>
                <c:pt idx="9">
                  <c:v>NOVEMBER</c:v>
                </c:pt>
                <c:pt idx="10">
                  <c:v>OCTOBER</c:v>
                </c:pt>
                <c:pt idx="11">
                  <c:v>SEPTEMBER</c:v>
                </c:pt>
              </c:strCache>
            </c:strRef>
          </c:cat>
          <c:val>
            <c:numRef>
              <c:f>'Economic Indicators &amp; Competiti'!$F$18:$F$30</c:f>
              <c:numCache>
                <c:formatCode>General</c:formatCode>
                <c:ptCount val="12"/>
                <c:pt idx="0">
                  <c:v>0.16400000000000001</c:v>
                </c:pt>
                <c:pt idx="1">
                  <c:v>0.186</c:v>
                </c:pt>
                <c:pt idx="2">
                  <c:v>0.20799999999999999</c:v>
                </c:pt>
                <c:pt idx="3">
                  <c:v>0.155</c:v>
                </c:pt>
                <c:pt idx="4">
                  <c:v>0.151</c:v>
                </c:pt>
                <c:pt idx="5">
                  <c:v>0.18099999999999999</c:v>
                </c:pt>
                <c:pt idx="6">
                  <c:v>0.17299999999999999</c:v>
                </c:pt>
                <c:pt idx="7">
                  <c:v>0.159</c:v>
                </c:pt>
                <c:pt idx="8">
                  <c:v>0.17</c:v>
                </c:pt>
                <c:pt idx="9">
                  <c:v>0.20300000000000001</c:v>
                </c:pt>
                <c:pt idx="10">
                  <c:v>0.19700000000000001</c:v>
                </c:pt>
                <c:pt idx="11">
                  <c:v>0.192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B6-4252-A9B1-836A39EE874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0"/>
        <c:overlap val="100"/>
        <c:serLines>
          <c:spPr>
            <a:ln w="9525">
              <a:solidFill>
                <a:schemeClr val="accent1">
                  <a:lumMod val="60000"/>
                  <a:lumOff val="40000"/>
                  <a:tint val="50000"/>
                </a:schemeClr>
              </a:solidFill>
              <a:prstDash val="dash"/>
            </a:ln>
            <a:effectLst/>
          </c:spPr>
        </c:serLines>
        <c:axId val="1814731792"/>
        <c:axId val="1814729392"/>
      </c:barChart>
      <c:catAx>
        <c:axId val="1814731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729392"/>
        <c:crosses val="autoZero"/>
        <c:auto val="1"/>
        <c:lblAlgn val="ctr"/>
        <c:lblOffset val="100"/>
        <c:noMultiLvlLbl val="0"/>
      </c:catAx>
      <c:valAx>
        <c:axId val="1814729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50000"/>
                  <a:lumOff val="50000"/>
                </a:schemeClr>
              </a:solidFill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MARKET SHARE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731792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300" verticalDpi="30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bg1"/>
                </a:solidFill>
              </a:rPr>
              <a:t>10-YEAR TREASURY YIELD  TREND</a:t>
            </a:r>
          </a:p>
        </c:rich>
      </c:tx>
      <c:layout>
        <c:manualLayout>
          <c:xMode val="edge"/>
          <c:yMode val="edge"/>
          <c:x val="0.36888323718893423"/>
          <c:y val="6.9399495409961043E-2"/>
        </c:manualLayout>
      </c:layout>
      <c:overlay val="0"/>
      <c:spPr>
        <a:solidFill>
          <a:schemeClr val="accent1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Lit>
              <c:ptCount val="12"/>
              <c:pt idx="0">
                <c:v>APRIL</c:v>
              </c:pt>
              <c:pt idx="1">
                <c:v>AUGUST</c:v>
              </c:pt>
              <c:pt idx="2">
                <c:v>DECEMBER</c:v>
              </c:pt>
              <c:pt idx="3">
                <c:v>FEBRUARY</c:v>
              </c:pt>
              <c:pt idx="4">
                <c:v>JANUARY</c:v>
              </c:pt>
              <c:pt idx="5">
                <c:v>JULY</c:v>
              </c:pt>
              <c:pt idx="6">
                <c:v>JUNE</c:v>
              </c:pt>
              <c:pt idx="7">
                <c:v>MARCH</c:v>
              </c:pt>
              <c:pt idx="8">
                <c:v>MAY</c:v>
              </c:pt>
              <c:pt idx="9">
                <c:v>NOVEMBER</c:v>
              </c:pt>
              <c:pt idx="10">
                <c:v>OCTOBER</c:v>
              </c:pt>
              <c:pt idx="11">
                <c:v>SEPTEMBER</c:v>
              </c:pt>
            </c:strLit>
          </c:cat>
          <c:val>
            <c:numLit>
              <c:formatCode>General</c:formatCode>
              <c:ptCount val="12"/>
              <c:pt idx="0">
                <c:v>4.6199999999999998E-2</c:v>
              </c:pt>
              <c:pt idx="1">
                <c:v>5.2499999999999998E-2</c:v>
              </c:pt>
              <c:pt idx="2">
                <c:v>6.7799999999999999E-2</c:v>
              </c:pt>
              <c:pt idx="3">
                <c:v>4.2999999999999997E-2</c:v>
              </c:pt>
              <c:pt idx="4">
                <c:v>4.2000000000000003E-2</c:v>
              </c:pt>
              <c:pt idx="5">
                <c:v>5.0999999999999997E-2</c:v>
              </c:pt>
              <c:pt idx="6">
                <c:v>5.0799999999999998E-2</c:v>
              </c:pt>
              <c:pt idx="7">
                <c:v>4.4999999999999998E-2</c:v>
              </c:pt>
              <c:pt idx="8">
                <c:v>4.8000000000000001E-2</c:v>
              </c:pt>
              <c:pt idx="9">
                <c:v>6.0100000000000001E-2</c:v>
              </c:pt>
              <c:pt idx="10">
                <c:v>5.9400000000000001E-2</c:v>
              </c:pt>
              <c:pt idx="11">
                <c:v>5.2999999999999999E-2</c:v>
              </c:pt>
            </c:numLit>
          </c:val>
          <c:extLst>
            <c:ext xmlns:c16="http://schemas.microsoft.com/office/drawing/2014/chart" uri="{C3380CC4-5D6E-409C-BE32-E72D297353CC}">
              <c16:uniqueId val="{00000000-E350-48C0-B624-94D7B8252F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856755376"/>
        <c:axId val="1856743856"/>
      </c:barChart>
      <c:catAx>
        <c:axId val="1856755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bg1"/>
                    </a:solidFill>
                  </a:rPr>
                  <a:t>MONTHS</a:t>
                </a:r>
              </a:p>
            </c:rich>
          </c:tx>
          <c:layout>
            <c:manualLayout>
              <c:xMode val="edge"/>
              <c:yMode val="edge"/>
              <c:x val="0.44856996084045642"/>
              <c:y val="0.88936606285092557"/>
            </c:manualLayout>
          </c:layout>
          <c:overlay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43856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8567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cap="all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>
                    <a:solidFill>
                      <a:schemeClr val="bg1"/>
                    </a:solidFill>
                  </a:rPr>
                  <a:t>YIELD (%)</a:t>
                </a:r>
              </a:p>
            </c:rich>
          </c:tx>
          <c:overlay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cap="all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75537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[Unit 7 Assignment Part 2.xlsx]PivotChartTable1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0</xdr:row>
      <xdr:rowOff>119061</xdr:rowOff>
    </xdr:from>
    <xdr:to>
      <xdr:col>17</xdr:col>
      <xdr:colOff>123825</xdr:colOff>
      <xdr:row>27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231016-804D-5DDD-C9E5-77CDCF69C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0</xdr:row>
      <xdr:rowOff>0</xdr:rowOff>
    </xdr:from>
    <xdr:to>
      <xdr:col>18</xdr:col>
      <xdr:colOff>200025</xdr:colOff>
      <xdr:row>29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96743-972A-828C-133D-3AD687E4C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0.05453</cdr:x>
      <cdr:y>0.20734</cdr:y>
    </cdr:from>
    <cdr:to>
      <cdr:x>0.08745</cdr:x>
      <cdr:y>0.65869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9FAE8C7-B1D7-4122-580B-0E12B0B9B1E7}"/>
            </a:ext>
          </a:extLst>
        </cdr:cNvPr>
        <cdr:cNvSpPr txBox="1"/>
      </cdr:nvSpPr>
      <cdr:spPr>
        <a:xfrm xmlns:a="http://schemas.openxmlformats.org/drawingml/2006/main">
          <a:off x="504825" y="1238250"/>
          <a:ext cx="304800" cy="269557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2">
            <a:lumMod val="75000"/>
          </a:schemeClr>
        </a:solidFill>
      </cdr:spPr>
      <cdr:txBody>
        <a:bodyPr xmlns:a="http://schemas.openxmlformats.org/drawingml/2006/main" vertOverflow="clip" vert="vert270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1600" b="1" kern="1200">
              <a:solidFill>
                <a:schemeClr val="bg1"/>
              </a:solidFill>
            </a:rPr>
            <a:t>REVENUE</a:t>
          </a:r>
          <a:r>
            <a:rPr lang="en-US" sz="1600" b="1" kern="1200" baseline="0">
              <a:solidFill>
                <a:schemeClr val="bg1"/>
              </a:solidFill>
            </a:rPr>
            <a:t> FROM TOP 3 CLIENTS</a:t>
          </a:r>
          <a:endParaRPr lang="en-US" sz="1600" b="1" kern="1200">
            <a:solidFill>
              <a:schemeClr val="bg1"/>
            </a:solidFill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119061</xdr:colOff>
      <xdr:row>16</xdr:row>
      <xdr:rowOff>0</xdr:rowOff>
    </xdr:from>
    <xdr:to>
      <xdr:col>15</xdr:col>
      <xdr:colOff>352424</xdr:colOff>
      <xdr:row>46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A8336-0751-B705-0BCA-3F6CF3673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0</xdr:row>
      <xdr:rowOff>19050</xdr:rowOff>
    </xdr:from>
    <xdr:to>
      <xdr:col>14</xdr:col>
      <xdr:colOff>228600</xdr:colOff>
      <xdr:row>15</xdr:row>
      <xdr:rowOff>1709737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EC4358-4627-780C-9AA5-F8F9E44EB2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9.913141435187" backgroundQuery="1" createdVersion="8" refreshedVersion="8" minRefreshableVersion="3" recordCount="0" supportSubquery="1" supportAdvancedDrill="1" xr:uid="{B7A7234E-CE3E-40D1-81C6-3B7402699BD2}">
  <cacheSource type="external" connectionId="1"/>
  <cacheFields count="5">
    <cacheField name="[Table2].[Subsidiary].[Subsidiary]" caption="Subsidiary" numFmtId="0" level="1">
      <sharedItems containsSemiMixedTypes="0" containsNonDate="0" containsString="0"/>
    </cacheField>
    <cacheField name="[Measures].[Sum of Revenue ($M)]" caption="Sum of Revenue ($M)" numFmtId="0" hierarchy="17" level="32767"/>
    <cacheField name="[Measures].[Sum of Revenue Growth (%)]" caption="Sum of Revenue Growth (%)" numFmtId="0" hierarchy="18" level="32767"/>
    <cacheField name="[Measures].[Sum of Profit Margin (%)]" caption="Sum of Profit Margin (%)" numFmtId="0" hierarchy="19" level="32767"/>
    <cacheField name="[Table2].[Location].[Location]" caption="Location" numFmtId="0" hierarchy="1" level="1">
      <sharedItems containsBlank="1" count="7">
        <m/>
        <s v="Atlanta, GA"/>
        <s v="Chicago, IL"/>
        <s v="Dallas, TX"/>
        <s v="Miami, FL"/>
        <s v="New York, NY"/>
        <s v="San Diago, CA"/>
      </sharedItems>
    </cacheField>
  </cacheFields>
  <cacheHierarchies count="24">
    <cacheHierarchy uniqueName="[Table2].[Subsidiary]" caption="Subsidiary" attribute="1" defaultMemberUniqueName="[Table2].[Subsidiary].[All]" allUniqueName="[Table2].[Subsidiary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Location]" caption="Location" attribute="1" defaultMemberUniqueName="[Table2].[Location].[All]" allUniqueName="[Table2].[Location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Revenue ($M)]" caption="Revenue ($M)" attribute="1" defaultMemberUniqueName="[Table2].[Revenue ($M)].[All]" allUniqueName="[Table2].[Revenue ($M)].[All]" dimensionUniqueName="[Table2]" displayFolder="" count="0" memberValueDatatype="20" unbalanced="0"/>
    <cacheHierarchy uniqueName="[Table2].[Revenue Growth (%)]" caption="Revenue Growth (%)" attribute="1" defaultMemberUniqueName="[Table2].[Revenue Growth (%)].[All]" allUniqueName="[Table2].[Revenue Growth (%)].[All]" dimensionUniqueName="[Table2]" displayFolder="" count="0" memberValueDatatype="5" unbalanced="0"/>
    <cacheHierarchy uniqueName="[Table2].[Profit Margin (%)]" caption="Profit Margin (%)" attribute="1" defaultMemberUniqueName="[Table2].[Profit Margin (%)].[All]" allUniqueName="[Table2].[Profit Margin (%)].[All]" dimensionUniqueName="[Table2]" displayFolder="" count="0" memberValueDatatype="5" unbalanced="0"/>
    <cacheHierarchy uniqueName="[Table3].[Subsidiary]" caption="Subsidiary" attribute="1" defaultMemberUniqueName="[Table3].[Subsidiary].[All]" allUniqueName="[Table3].[Subsidiary].[All]" dimensionUniqueName="[Table3]" displayFolder="" count="0" memberValueDatatype="130" unbalanced="0"/>
    <cacheHierarchy uniqueName="[Table3].[Employee Retention Rate (%)]" caption="Employee Retention Rate (%)" attribute="1" defaultMemberUniqueName="[Table3].[Employee Retention Rate (%)].[All]" allUniqueName="[Table3].[Employee Retention Rate (%)].[All]" dimensionUniqueName="[Table3]" displayFolder="" count="0" memberValueDatatype="5" unbalanced="0"/>
    <cacheHierarchy uniqueName="[Table3].[% Revenue from Top 3 Clients]" caption="% Revenue from Top 3 Clients" attribute="1" defaultMemberUniqueName="[Table3].[% Revenue from Top 3 Clients].[All]" allUniqueName="[Table3].[% Revenue from Top 3 Clients].[All]" dimensionUniqueName="[Table3]" displayFolder="" count="0" memberValueDatatype="5" unbalanced="0"/>
    <cacheHierarchy uniqueName="[Table4].[Date]" caption="Date" attribute="1" defaultMemberUniqueName="[Table4].[Date].[All]" allUniqueName="[Table4].[Date].[All]" dimensionUniqueName="[Table4]" displayFolder="" count="0" memberValueDatatype="130" unbalanced="0"/>
    <cacheHierarchy uniqueName="[Table4].[10-Year Treasury Yield]" caption="10-Year Treasury Yield" attribute="1" defaultMemberUniqueName="[Table4].[10-Year Treasury Yield].[All]" allUniqueName="[Table4].[10-Year Treasury Yield].[All]" dimensionUniqueName="[Table4]" displayFolder="" count="0" memberValueDatatype="5" unbalanced="0"/>
    <cacheHierarchy uniqueName="[Table5].[MONTH]" caption="MONTH" attribute="1" defaultMemberUniqueName="[Table5].[MONTH].[All]" allUniqueName="[Table5].[MONTH].[All]" dimensionUniqueName="[Table5]" displayFolder="" count="0" memberValueDatatype="130" unbalanced="0"/>
    <cacheHierarchy uniqueName="[Table5].[Competitor Market Share (%)]" caption="Competitor Market Share (%)" attribute="1" defaultMemberUniqueName="[Table5].[Competitor Market Share (%)].[All]" allUniqueName="[Table5].[Competitor Market Share (%)].[All]" dimensionUniqueName="[Table5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Revenue ($M)]" caption="Sum of Revenue ($M)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Growth (%)]" caption="Sum of Revenue Growth (%)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 Margin (%)]" caption="Sum of Profit Margin (%)" measure="1" displayFolder="" measureGroup="Table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mployee Retention Rate (%)]" caption="Sum of Employee Retention Rate (%)" measure="1" displayFolder="" measureGroup="Table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% Revenue from Top 3 Clients]" caption="Sum of % Revenue from Top 3 Clients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ompetitor Market Share (%)]" caption="Sum of Competitor Market Share (%)" measure="1" displayFolder="" measureGroup="Table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-Year Treasury Yield]" caption="Sum of 10-Year Treasury Yield" measure="1" displayFolder="" measureGroup="Table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4">
    <measureGroup name="Table2" caption="Table2"/>
    <measureGroup name="Table3" caption="Table3"/>
    <measureGroup name="Table4" caption="Table4"/>
    <measureGroup name="Table5" caption="Table5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9.921386226852" backgroundQuery="1" createdVersion="8" refreshedVersion="8" minRefreshableVersion="3" recordCount="0" supportSubquery="1" supportAdvancedDrill="1" xr:uid="{6D4B43BC-AA80-4B75-98AD-FD97D08DEE19}">
  <cacheSource type="external" connectionId="1"/>
  <cacheFields count="3">
    <cacheField name="[Measures].[Sum of Employee Retention Rate (%)]" caption="Sum of Employee Retention Rate (%)" numFmtId="0" hierarchy="20" level="32767"/>
    <cacheField name="[Measures].[Sum of % Revenue from Top 3 Clients]" caption="Sum of % Revenue from Top 3 Clients" numFmtId="0" hierarchy="21" level="32767"/>
    <cacheField name="[Table3].[Subsidiary].[Subsidiary]" caption="Subsidiary" numFmtId="0" hierarchy="5" level="1">
      <sharedItems count="6">
        <s v="Subsidiary 1: (AR, AP, and Cash Application services):"/>
        <s v="Subsidiary 2: (E-gaming applications):"/>
        <s v="Subsidiary 3: (Undergarment Sales and Distribution)"/>
        <s v="Subsidiary 4: (Disability Staffing Service)"/>
        <s v="Subsidiary 5: (Disability Travel Agency):"/>
        <s v="Subsidiary 6: (International Business Phone Book)"/>
      </sharedItems>
    </cacheField>
  </cacheFields>
  <cacheHierarchies count="24">
    <cacheHierarchy uniqueName="[Table2].[Subsidiary]" caption="Subsidiary" attribute="1" defaultMemberUniqueName="[Table2].[Subsidiary].[All]" allUniqueName="[Table2].[Subsidiary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Revenue ($M)]" caption="Revenue ($M)" attribute="1" defaultMemberUniqueName="[Table2].[Revenue ($M)].[All]" allUniqueName="[Table2].[Revenue ($M)].[All]" dimensionUniqueName="[Table2]" displayFolder="" count="0" memberValueDatatype="20" unbalanced="0"/>
    <cacheHierarchy uniqueName="[Table2].[Revenue Growth (%)]" caption="Revenue Growth (%)" attribute="1" defaultMemberUniqueName="[Table2].[Revenue Growth (%)].[All]" allUniqueName="[Table2].[Revenue Growth (%)].[All]" dimensionUniqueName="[Table2]" displayFolder="" count="0" memberValueDatatype="5" unbalanced="0"/>
    <cacheHierarchy uniqueName="[Table2].[Profit Margin (%)]" caption="Profit Margin (%)" attribute="1" defaultMemberUniqueName="[Table2].[Profit Margin (%)].[All]" allUniqueName="[Table2].[Profit Margin (%)].[All]" dimensionUniqueName="[Table2]" displayFolder="" count="0" memberValueDatatype="5" unbalanced="0"/>
    <cacheHierarchy uniqueName="[Table3].[Subsidiary]" caption="Subsidiary" attribute="1" defaultMemberUniqueName="[Table3].[Subsidiary].[All]" allUniqueName="[Table3].[Subsidiary].[All]" dimensionUniqueName="[Table3]" displayFolder="" count="2" memberValueDatatype="130" unbalanced="0">
      <fieldsUsage count="2">
        <fieldUsage x="-1"/>
        <fieldUsage x="2"/>
      </fieldsUsage>
    </cacheHierarchy>
    <cacheHierarchy uniqueName="[Table3].[Employee Retention Rate (%)]" caption="Employee Retention Rate (%)" attribute="1" defaultMemberUniqueName="[Table3].[Employee Retention Rate (%)].[All]" allUniqueName="[Table3].[Employee Retention Rate (%)].[All]" dimensionUniqueName="[Table3]" displayFolder="" count="0" memberValueDatatype="5" unbalanced="0"/>
    <cacheHierarchy uniqueName="[Table3].[% Revenue from Top 3 Clients]" caption="% Revenue from Top 3 Clients" attribute="1" defaultMemberUniqueName="[Table3].[% Revenue from Top 3 Clients].[All]" allUniqueName="[Table3].[% Revenue from Top 3 Clients].[All]" dimensionUniqueName="[Table3]" displayFolder="" count="0" memberValueDatatype="5" unbalanced="0"/>
    <cacheHierarchy uniqueName="[Table4].[Date]" caption="Date" attribute="1" defaultMemberUniqueName="[Table4].[Date].[All]" allUniqueName="[Table4].[Date].[All]" dimensionUniqueName="[Table4]" displayFolder="" count="0" memberValueDatatype="130" unbalanced="0"/>
    <cacheHierarchy uniqueName="[Table4].[10-Year Treasury Yield]" caption="10-Year Treasury Yield" attribute="1" defaultMemberUniqueName="[Table4].[10-Year Treasury Yield].[All]" allUniqueName="[Table4].[10-Year Treasury Yield].[All]" dimensionUniqueName="[Table4]" displayFolder="" count="0" memberValueDatatype="5" unbalanced="0"/>
    <cacheHierarchy uniqueName="[Table5].[MONTH]" caption="MONTH" attribute="1" defaultMemberUniqueName="[Table5].[MONTH].[All]" allUniqueName="[Table5].[MONTH].[All]" dimensionUniqueName="[Table5]" displayFolder="" count="0" memberValueDatatype="130" unbalanced="0"/>
    <cacheHierarchy uniqueName="[Table5].[Competitor Market Share (%)]" caption="Competitor Market Share (%)" attribute="1" defaultMemberUniqueName="[Table5].[Competitor Market Share (%)].[All]" allUniqueName="[Table5].[Competitor Market Share (%)].[All]" dimensionUniqueName="[Table5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Revenue ($M)]" caption="Sum of Revenue ($M)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Growth (%)]" caption="Sum of Revenue Growth (%)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 Margin (%)]" caption="Sum of Profit Margin (%)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mployee Retention Rate (%)]" caption="Sum of Employee Retention Rate (%)" measure="1" displayFolder="" measureGroup="Table3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% Revenue from Top 3 Clients]" caption="Sum of % Revenue from Top 3 Clients" measure="1" displayFolder="" measureGroup="Table3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ompetitor Market Share (%)]" caption="Sum of Competitor Market Share (%)" measure="1" displayFolder="" measureGroup="Table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-Year Treasury Yield]" caption="Sum of 10-Year Treasury Yield" measure="1" displayFolder="" measureGroup="Table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4">
    <measureGroup name="Table2" caption="Table2"/>
    <measureGroup name="Table3" caption="Table3"/>
    <measureGroup name="Table4" caption="Table4"/>
    <measureGroup name="Table5" caption="Table5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9.941250462965" backgroundQuery="1" createdVersion="8" refreshedVersion="8" minRefreshableVersion="3" recordCount="0" supportSubquery="1" supportAdvancedDrill="1" xr:uid="{BAB8837C-B2D2-4F0C-8A6E-A9E0220967CE}">
  <cacheSource type="external" connectionId="1"/>
  <cacheFields count="2">
    <cacheField name="[Table5].[MONTH].[MONTH]" caption="MONTH" numFmtId="0" hierarchy="10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Competitor Market Share (%)]" caption="Sum of Competitor Market Share (%)" numFmtId="0" hierarchy="22" level="32767"/>
  </cacheFields>
  <cacheHierarchies count="24">
    <cacheHierarchy uniqueName="[Table2].[Subsidiary]" caption="Subsidiary" attribute="1" defaultMemberUniqueName="[Table2].[Subsidiary].[All]" allUniqueName="[Table2].[Subsidiary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Revenue ($M)]" caption="Revenue ($M)" attribute="1" defaultMemberUniqueName="[Table2].[Revenue ($M)].[All]" allUniqueName="[Table2].[Revenue ($M)].[All]" dimensionUniqueName="[Table2]" displayFolder="" count="0" memberValueDatatype="20" unbalanced="0"/>
    <cacheHierarchy uniqueName="[Table2].[Revenue Growth (%)]" caption="Revenue Growth (%)" attribute="1" defaultMemberUniqueName="[Table2].[Revenue Growth (%)].[All]" allUniqueName="[Table2].[Revenue Growth (%)].[All]" dimensionUniqueName="[Table2]" displayFolder="" count="0" memberValueDatatype="5" unbalanced="0"/>
    <cacheHierarchy uniqueName="[Table2].[Profit Margin (%)]" caption="Profit Margin (%)" attribute="1" defaultMemberUniqueName="[Table2].[Profit Margin (%)].[All]" allUniqueName="[Table2].[Profit Margin (%)].[All]" dimensionUniqueName="[Table2]" displayFolder="" count="0" memberValueDatatype="5" unbalanced="0"/>
    <cacheHierarchy uniqueName="[Table3].[Subsidiary]" caption="Subsidiary" attribute="1" defaultMemberUniqueName="[Table3].[Subsidiary].[All]" allUniqueName="[Table3].[Subsidiary].[All]" dimensionUniqueName="[Table3]" displayFolder="" count="0" memberValueDatatype="130" unbalanced="0"/>
    <cacheHierarchy uniqueName="[Table3].[Employee Retention Rate (%)]" caption="Employee Retention Rate (%)" attribute="1" defaultMemberUniqueName="[Table3].[Employee Retention Rate (%)].[All]" allUniqueName="[Table3].[Employee Retention Rate (%)].[All]" dimensionUniqueName="[Table3]" displayFolder="" count="0" memberValueDatatype="5" unbalanced="0"/>
    <cacheHierarchy uniqueName="[Table3].[% Revenue from Top 3 Clients]" caption="% Revenue from Top 3 Clients" attribute="1" defaultMemberUniqueName="[Table3].[% Revenue from Top 3 Clients].[All]" allUniqueName="[Table3].[% Revenue from Top 3 Clients].[All]" dimensionUniqueName="[Table3]" displayFolder="" count="0" memberValueDatatype="5" unbalanced="0"/>
    <cacheHierarchy uniqueName="[Table4].[Date]" caption="Date" attribute="1" defaultMemberUniqueName="[Table4].[Date].[All]" allUniqueName="[Table4].[Date].[All]" dimensionUniqueName="[Table4]" displayFolder="" count="0" memberValueDatatype="130" unbalanced="0"/>
    <cacheHierarchy uniqueName="[Table4].[10-Year Treasury Yield]" caption="10-Year Treasury Yield" attribute="1" defaultMemberUniqueName="[Table4].[10-Year Treasury Yield].[All]" allUniqueName="[Table4].[10-Year Treasury Yield].[All]" dimensionUniqueName="[Table4]" displayFolder="" count="0" memberValueDatatype="5" unbalanced="0"/>
    <cacheHierarchy uniqueName="[Table5].[MONTH]" caption="MONTH" attribute="1" defaultMemberUniqueName="[Table5].[MONTH].[All]" allUniqueName="[Table5].[MONTH].[All]" dimensionUniqueName="[Table5]" displayFolder="" count="2" memberValueDatatype="130" unbalanced="0">
      <fieldsUsage count="2">
        <fieldUsage x="-1"/>
        <fieldUsage x="0"/>
      </fieldsUsage>
    </cacheHierarchy>
    <cacheHierarchy uniqueName="[Table5].[Competitor Market Share (%)]" caption="Competitor Market Share (%)" attribute="1" defaultMemberUniqueName="[Table5].[Competitor Market Share (%)].[All]" allUniqueName="[Table5].[Competitor Market Share (%)].[All]" dimensionUniqueName="[Table5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Revenue ($M)]" caption="Sum of Revenue ($M)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Growth (%)]" caption="Sum of Revenue Growth (%)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 Margin (%)]" caption="Sum of Profit Margin (%)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mployee Retention Rate (%)]" caption="Sum of Employee Retention Rate (%)" measure="1" displayFolder="" measureGroup="Table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% Revenue from Top 3 Clients]" caption="Sum of % Revenue from Top 3 Clients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ompetitor Market Share (%)]" caption="Sum of Competitor Market Share (%)" measure="1" displayFolder="" measureGroup="Table5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-Year Treasury Yield]" caption="Sum of 10-Year Treasury Yield" measure="1" displayFolder="" measureGroup="Table4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4">
    <measureGroup name="Table2" caption="Table2"/>
    <measureGroup name="Table3" caption="Table3"/>
    <measureGroup name="Table4" caption="Table4"/>
    <measureGroup name="Table5" caption="Table5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ordon Elliott Williams" refreshedDate="45879.956770486111" backgroundQuery="1" createdVersion="8" refreshedVersion="8" minRefreshableVersion="3" recordCount="0" supportSubquery="1" supportAdvancedDrill="1" xr:uid="{833EC717-154A-4B95-AD81-CE4DE191071C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10-Year Treasury Yield]" caption="Sum of 10-Year Treasury Yield" numFmtId="0" hierarchy="23" level="32767"/>
    <cacheField name="[Table4].[Date].[Date]" caption="Date" numFmtId="0" hierarchy="8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24">
    <cacheHierarchy uniqueName="[Table2].[Subsidiary]" caption="Subsidiary" attribute="1" defaultMemberUniqueName="[Table2].[Subsidiary].[All]" allUniqueName="[Table2].[Subsidiary].[All]" dimensionUniqueName="[Table2]" displayFolder="" count="0" memberValueDatatype="130" unbalanced="0"/>
    <cacheHierarchy uniqueName="[Table2].[Location]" caption="Location" attribute="1" defaultMemberUniqueName="[Table2].[Location].[All]" allUniqueName="[Table2].[Location].[All]" dimensionUniqueName="[Table2]" displayFolder="" count="0" memberValueDatatype="130" unbalanced="0"/>
    <cacheHierarchy uniqueName="[Table2].[Revenue ($M)]" caption="Revenue ($M)" attribute="1" defaultMemberUniqueName="[Table2].[Revenue ($M)].[All]" allUniqueName="[Table2].[Revenue ($M)].[All]" dimensionUniqueName="[Table2]" displayFolder="" count="0" memberValueDatatype="20" unbalanced="0"/>
    <cacheHierarchy uniqueName="[Table2].[Revenue Growth (%)]" caption="Revenue Growth (%)" attribute="1" defaultMemberUniqueName="[Table2].[Revenue Growth (%)].[All]" allUniqueName="[Table2].[Revenue Growth (%)].[All]" dimensionUniqueName="[Table2]" displayFolder="" count="0" memberValueDatatype="5" unbalanced="0"/>
    <cacheHierarchy uniqueName="[Table2].[Profit Margin (%)]" caption="Profit Margin (%)" attribute="1" defaultMemberUniqueName="[Table2].[Profit Margin (%)].[All]" allUniqueName="[Table2].[Profit Margin (%)].[All]" dimensionUniqueName="[Table2]" displayFolder="" count="0" memberValueDatatype="5" unbalanced="0"/>
    <cacheHierarchy uniqueName="[Table3].[Subsidiary]" caption="Subsidiary" attribute="1" defaultMemberUniqueName="[Table3].[Subsidiary].[All]" allUniqueName="[Table3].[Subsidiary].[All]" dimensionUniqueName="[Table3]" displayFolder="" count="0" memberValueDatatype="130" unbalanced="0"/>
    <cacheHierarchy uniqueName="[Table3].[Employee Retention Rate (%)]" caption="Employee Retention Rate (%)" attribute="1" defaultMemberUniqueName="[Table3].[Employee Retention Rate (%)].[All]" allUniqueName="[Table3].[Employee Retention Rate (%)].[All]" dimensionUniqueName="[Table3]" displayFolder="" count="0" memberValueDatatype="5" unbalanced="0"/>
    <cacheHierarchy uniqueName="[Table3].[% Revenue from Top 3 Clients]" caption="% Revenue from Top 3 Clients" attribute="1" defaultMemberUniqueName="[Table3].[% Revenue from Top 3 Clients].[All]" allUniqueName="[Table3].[% Revenue from Top 3 Clients].[All]" dimensionUniqueName="[Table3]" displayFolder="" count="0" memberValueDatatype="5" unbalanced="0"/>
    <cacheHierarchy uniqueName="[Table4].[Date]" caption="Date" attribute="1" defaultMemberUniqueName="[Table4].[Date].[All]" allUniqueName="[Table4].[Date].[All]" dimensionUniqueName="[Table4]" displayFolder="" count="2" memberValueDatatype="130" unbalanced="0">
      <fieldsUsage count="2">
        <fieldUsage x="-1"/>
        <fieldUsage x="1"/>
      </fieldsUsage>
    </cacheHierarchy>
    <cacheHierarchy uniqueName="[Table4].[10-Year Treasury Yield]" caption="10-Year Treasury Yield" attribute="1" defaultMemberUniqueName="[Table4].[10-Year Treasury Yield].[All]" allUniqueName="[Table4].[10-Year Treasury Yield].[All]" dimensionUniqueName="[Table4]" displayFolder="" count="0" memberValueDatatype="5" unbalanced="0"/>
    <cacheHierarchy uniqueName="[Table5].[MONTH]" caption="MONTH" attribute="1" defaultMemberUniqueName="[Table5].[MONTH].[All]" allUniqueName="[Table5].[MONTH].[All]" dimensionUniqueName="[Table5]" displayFolder="" count="0" memberValueDatatype="130" unbalanced="0"/>
    <cacheHierarchy uniqueName="[Table5].[Competitor Market Share (%)]" caption="Competitor Market Share (%)" attribute="1" defaultMemberUniqueName="[Table5].[Competitor Market Share (%)].[All]" allUniqueName="[Table5].[Competitor Market Share (%)].[All]" dimensionUniqueName="[Table5]" displayFolder="" count="0" memberValueDatatype="5" unbalanced="0"/>
    <cacheHierarchy uniqueName="[Measures].[__XL_Count Table2]" caption="__XL_Count Table2" measure="1" displayFolder="" measureGroup="Table2" count="0" hidden="1"/>
    <cacheHierarchy uniqueName="[Measures].[__XL_Count Table3]" caption="__XL_Count Table3" measure="1" displayFolder="" measureGroup="Table3" count="0" hidden="1"/>
    <cacheHierarchy uniqueName="[Measures].[__XL_Count Table5]" caption="__XL_Count Table5" measure="1" displayFolder="" measureGroup="Table5" count="0" hidden="1"/>
    <cacheHierarchy uniqueName="[Measures].[__XL_Count Table4]" caption="__XL_Count Table4" measure="1" displayFolder="" measureGroup="Table4" count="0" hidden="1"/>
    <cacheHierarchy uniqueName="[Measures].[__No measures defined]" caption="__No measures defined" measure="1" displayFolder="" count="0" hidden="1"/>
    <cacheHierarchy uniqueName="[Measures].[Sum of Revenue ($M)]" caption="Sum of Revenue ($M)" measure="1" displayFolder="" measureGroup="Tabl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evenue Growth (%)]" caption="Sum of Revenue Growth (%)" measure="1" displayFolder="" measureGroup="Table2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fit Margin (%)]" caption="Sum of Profit Margin (%)" measure="1" displayFolder="" measureGroup="Table2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Employee Retention Rate (%)]" caption="Sum of Employee Retention Rate (%)" measure="1" displayFolder="" measureGroup="Table3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% Revenue from Top 3 Clients]" caption="Sum of % Revenue from Top 3 Clients" measure="1" displayFolder="" measureGroup="Table3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Competitor Market Share (%)]" caption="Sum of Competitor Market Share (%)" measure="1" displayFolder="" measureGroup="Table5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10-Year Treasury Yield]" caption="Sum of 10-Year Treasury Yield" measure="1" displayFolder="" measureGroup="Table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5">
    <dimension measure="1" name="Measures" uniqueName="[Measures]" caption="Measures"/>
    <dimension name="Table2" uniqueName="[Table2]" caption="Table2"/>
    <dimension name="Table3" uniqueName="[Table3]" caption="Table3"/>
    <dimension name="Table4" uniqueName="[Table4]" caption="Table4"/>
    <dimension name="Table5" uniqueName="[Table5]" caption="Table5"/>
  </dimensions>
  <measureGroups count="4">
    <measureGroup name="Table2" caption="Table2"/>
    <measureGroup name="Table3" caption="Table3"/>
    <measureGroup name="Table4" caption="Table4"/>
    <measureGroup name="Table5" caption="Table5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pivotCacheId="59086011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3A49A-A864-43B7-9943-2F48AC4EFCEC}" name="PivotChartTable1" cacheId="7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:B1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10-Year Treasury Yiel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3" columnCount="1" cacheId="590860119">
        <x15:pivotRow count="1">
          <x15:c>
            <x15:v>4.6199999999999998E-2</x15:v>
          </x15:c>
        </x15:pivotRow>
        <x15:pivotRow count="1">
          <x15:c>
            <x15:v>5.2499999999999998E-2</x15:v>
          </x15:c>
        </x15:pivotRow>
        <x15:pivotRow count="1">
          <x15:c>
            <x15:v>6.7799999999999999E-2</x15:v>
          </x15:c>
        </x15:pivotRow>
        <x15:pivotRow count="1">
          <x15:c>
            <x15:v>4.2999999999999997E-2</x15:v>
          </x15:c>
        </x15:pivotRow>
        <x15:pivotRow count="1">
          <x15:c>
            <x15:v>4.2000000000000003E-2</x15:v>
          </x15:c>
        </x15:pivotRow>
        <x15:pivotRow count="1">
          <x15:c>
            <x15:v>5.0999999999999997E-2</x15:v>
          </x15:c>
        </x15:pivotRow>
        <x15:pivotRow count="1">
          <x15:c>
            <x15:v>5.0799999999999998E-2</x15:v>
          </x15:c>
        </x15:pivotRow>
        <x15:pivotRow count="1">
          <x15:c>
            <x15:v>4.4999999999999998E-2</x15:v>
          </x15:c>
        </x15:pivotRow>
        <x15:pivotRow count="1">
          <x15:c>
            <x15:v>4.8000000000000001E-2</x15:v>
          </x15:c>
        </x15:pivotRow>
        <x15:pivotRow count="1">
          <x15:c>
            <x15:v>6.0100000000000001E-2</x15:v>
          </x15:c>
        </x15:pivotRow>
        <x15:pivotRow count="1">
          <x15:c>
            <x15:v>5.9400000000000001E-2</x15:v>
          </x15:c>
        </x15:pivotRow>
        <x15:pivotRow count="1">
          <x15:c>
            <x15:v>5.2999999999999999E-2</x15:v>
          </x15:c>
        </x15:pivotRow>
        <x15:pivotRow count="1">
          <x15:c>
            <x15:v>0.61880000000000002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Unit 7 Assignment Part 2.xlsx!Table4">
        <x15:activeTabTopLevelEntity name="[Table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A053A-7DF2-46CA-ABC3-425FB4F65B16}" name="PivotTable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11" firstHeaderRow="0" firstDataRow="1" firstDataCol="1" rowPageCount="1" colPageCount="1"/>
  <pivotFields count="5"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0" name="[Table2].[Subsidiary].[All]" cap="All"/>
  </pageFields>
  <dataFields count="3">
    <dataField name="Sum of Revenue ($M)" fld="1" baseField="0" baseItem="0"/>
    <dataField name="Sum of Revenue Growth (%)" fld="2" baseField="0" baseItem="0"/>
    <dataField name="Sum of Profit Margin (%)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56E729-B716-4598-915E-F7552EC79CA8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:C9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Employee Retention Rate (%)" fld="0" baseField="0" baseItem="0"/>
    <dataField name="Sum of % Revenue from Top 3 Clients" fld="1" baseField="0" baseItem="0"/>
  </dataFields>
  <chartFormats count="2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nit 7 Assignment Part 2.xlsx!Table3">
        <x15:activeTabTopLevelEntity name="[Table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43F9A-81A6-4587-A71F-8C24FC80AAAF}" name="PivotTable3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E17:F30" firstHeaderRow="1" firstDataRow="1" firstDataCol="1"/>
  <pivotFields count="2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ompetitor Market Share (%)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Unit 7 Assignment Part 2.xlsx!Table5">
        <x15:activeTabTopLevelEntity name="[Table5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952FA5-E638-4B68-BD41-593D55EC3A45}" name="Table2" displayName="Table2" ref="A2:E9" totalsRowShown="0" headerRowDxfId="22" dataDxfId="21" headerRowBorderDxfId="28" tableBorderDxfId="29" totalsRowBorderDxfId="27">
  <autoFilter ref="A2:E9" xr:uid="{A4952FA5-E638-4B68-BD41-593D55EC3A45}"/>
  <tableColumns count="5">
    <tableColumn id="1" xr3:uid="{F72E73FA-10D9-4624-9BA5-449A7E33FB2A}" name="Subsidiary" dataDxfId="26"/>
    <tableColumn id="2" xr3:uid="{0F560DEA-F0C6-4140-8CE2-7C9A320F11F7}" name="Location" dataDxfId="20"/>
    <tableColumn id="3" xr3:uid="{10BD94CF-D4D0-4F9B-9479-6728580D527B}" name="Revenue ($M)" dataDxfId="25"/>
    <tableColumn id="4" xr3:uid="{CFF9A335-7565-433B-B909-BD576E4E1373}" name="Revenue Growth (%)" dataDxfId="24"/>
    <tableColumn id="5" xr3:uid="{116346E5-B9CA-4813-BB43-EE074D2A7AF8}" name="Profit Margin (%)" dataDxfId="23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E787D0-8EAF-4BA3-A44E-1C54C0BC12E6}" name="Table3" displayName="Table3" ref="A2:C8" totalsRowShown="0" headerRowDxfId="13" headerRowBorderDxfId="18" tableBorderDxfId="19" totalsRowBorderDxfId="17">
  <autoFilter ref="A2:C8" xr:uid="{65E787D0-8EAF-4BA3-A44E-1C54C0BC12E6}"/>
  <tableColumns count="3">
    <tableColumn id="1" xr3:uid="{720721CC-B8C6-4D64-9FE4-4FAB9D800F7E}" name="Subsidiary" dataDxfId="16"/>
    <tableColumn id="2" xr3:uid="{B6136AAD-56E5-4851-B528-0173F65C7209}" name="Employee Retention Rate (%)" dataDxfId="15"/>
    <tableColumn id="3" xr3:uid="{04DB3A77-35A6-48F4-9679-505FEBF44281}" name="% Revenue from Top 3 Clients" dataDxfId="1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D1E84F-79E6-4D46-9443-863F9B822B96}" name="Table4" displayName="Table4" ref="A3:B15" totalsRowShown="0" headerRowDxfId="8" dataDxfId="7" headerRowBorderDxfId="11" tableBorderDxfId="12" totalsRowBorderDxfId="10">
  <autoFilter ref="A3:B15" xr:uid="{2CD1E84F-79E6-4D46-9443-863F9B822B96}"/>
  <tableColumns count="2">
    <tableColumn id="1" xr3:uid="{114063C8-AC06-4CE8-9BA3-43C4A7B4958B}" name="Date" dataDxfId="0"/>
    <tableColumn id="2" xr3:uid="{47683087-51D2-4221-978E-06C862AF4F0B}" name="10-Year Treasury Yield" dataDxfId="9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52BE63-7DBF-497D-A29A-75B6874B1BE4}" name="Table5" displayName="Table5" ref="A19:B31" totalsRowShown="0" headerRowDxfId="4" dataDxfId="3" headerRowBorderDxfId="5" tableBorderDxfId="6">
  <autoFilter ref="A19:B31" xr:uid="{E452BE63-7DBF-497D-A29A-75B6874B1BE4}"/>
  <tableColumns count="2">
    <tableColumn id="1" xr3:uid="{768D3BB7-A55E-4C8A-8706-3B84BA08266F}" name="MONTH" dataDxfId="1"/>
    <tableColumn id="2" xr3:uid="{8FA0BA87-84F6-45DD-8B54-E8E81F546BAB}" name="Competitor Market Share (%)" dataDxfId="2" dataCellStyle="Percent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AC30-979F-4046-B511-807221F4C548}">
  <dimension ref="A1:E9"/>
  <sheetViews>
    <sheetView workbookViewId="0">
      <selection sqref="A1:E1"/>
    </sheetView>
  </sheetViews>
  <sheetFormatPr defaultRowHeight="15" x14ac:dyDescent="0.25"/>
  <cols>
    <col min="1" max="1" width="55.28515625" style="9" customWidth="1"/>
    <col min="2" max="2" width="22.42578125" style="12" customWidth="1"/>
    <col min="3" max="5" width="22.42578125" style="9" customWidth="1"/>
    <col min="6" max="16384" width="9.140625" style="9"/>
  </cols>
  <sheetData>
    <row r="1" spans="1:5" ht="54" customHeight="1" thickBot="1" x14ac:dyDescent="0.3">
      <c r="A1" s="21" t="s">
        <v>17</v>
      </c>
      <c r="B1" s="21"/>
      <c r="C1" s="21"/>
      <c r="D1" s="21"/>
      <c r="E1" s="21"/>
    </row>
    <row r="2" spans="1:5" s="12" customFormat="1" ht="15.75" thickBot="1" x14ac:dyDescent="0.3">
      <c r="A2" s="10" t="s">
        <v>0</v>
      </c>
      <c r="B2" s="11" t="s">
        <v>5</v>
      </c>
      <c r="C2" s="11" t="s">
        <v>1</v>
      </c>
      <c r="D2" s="11" t="s">
        <v>2</v>
      </c>
      <c r="E2" s="8" t="s">
        <v>3</v>
      </c>
    </row>
    <row r="3" spans="1:5" ht="35.25" customHeight="1" thickBot="1" x14ac:dyDescent="0.3">
      <c r="A3" s="13" t="s">
        <v>4</v>
      </c>
      <c r="B3" s="17" t="s">
        <v>6</v>
      </c>
      <c r="C3" s="14">
        <v>125</v>
      </c>
      <c r="D3" s="15">
        <v>0.18</v>
      </c>
      <c r="E3" s="16">
        <v>0.22</v>
      </c>
    </row>
    <row r="4" spans="1:5" ht="35.25" customHeight="1" thickBot="1" x14ac:dyDescent="0.3">
      <c r="A4" s="13" t="s">
        <v>10</v>
      </c>
      <c r="B4" s="17" t="s">
        <v>7</v>
      </c>
      <c r="C4" s="14">
        <v>80</v>
      </c>
      <c r="D4" s="15">
        <v>0.12</v>
      </c>
      <c r="E4" s="16">
        <v>0.15</v>
      </c>
    </row>
    <row r="5" spans="1:5" ht="35.25" customHeight="1" thickBot="1" x14ac:dyDescent="0.3">
      <c r="A5" s="13" t="s">
        <v>8</v>
      </c>
      <c r="B5" s="17" t="s">
        <v>9</v>
      </c>
      <c r="C5" s="14">
        <v>45</v>
      </c>
      <c r="D5" s="15">
        <v>0.05</v>
      </c>
      <c r="E5" s="16">
        <v>0.08</v>
      </c>
    </row>
    <row r="6" spans="1:5" ht="35.25" customHeight="1" thickBot="1" x14ac:dyDescent="0.3">
      <c r="A6" s="13" t="s">
        <v>11</v>
      </c>
      <c r="B6" s="17" t="s">
        <v>12</v>
      </c>
      <c r="C6" s="14">
        <v>3</v>
      </c>
      <c r="D6" s="15">
        <v>0.01</v>
      </c>
      <c r="E6" s="16">
        <v>0.01</v>
      </c>
    </row>
    <row r="7" spans="1:5" ht="35.25" customHeight="1" thickBot="1" x14ac:dyDescent="0.3">
      <c r="A7" s="13" t="s">
        <v>13</v>
      </c>
      <c r="B7" s="17" t="s">
        <v>14</v>
      </c>
      <c r="C7" s="14">
        <v>36</v>
      </c>
      <c r="D7" s="15">
        <v>0.08</v>
      </c>
      <c r="E7" s="16">
        <v>0.06</v>
      </c>
    </row>
    <row r="8" spans="1:5" ht="35.25" customHeight="1" thickBot="1" x14ac:dyDescent="0.3">
      <c r="A8" s="13" t="s">
        <v>15</v>
      </c>
      <c r="B8" s="17" t="s">
        <v>16</v>
      </c>
      <c r="C8" s="14">
        <v>72</v>
      </c>
      <c r="D8" s="15">
        <v>0.16</v>
      </c>
      <c r="E8" s="16">
        <v>0.12</v>
      </c>
    </row>
    <row r="9" spans="1:5" s="12" customFormat="1" ht="15.75" thickBot="1" x14ac:dyDescent="0.3">
      <c r="A9" s="18" t="s">
        <v>18</v>
      </c>
      <c r="B9" s="19"/>
      <c r="C9" s="19">
        <f>SUM(C3:C8)</f>
        <v>361</v>
      </c>
      <c r="D9" s="19">
        <f t="shared" ref="D9:E9" si="0">SUM(D3:D8)</f>
        <v>0.6</v>
      </c>
      <c r="E9" s="20">
        <f t="shared" si="0"/>
        <v>0.64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76A3-C731-48D6-A9A9-A7E93B73252F}">
  <dimension ref="A1:C8"/>
  <sheetViews>
    <sheetView workbookViewId="0">
      <selection sqref="A1:C1"/>
    </sheetView>
  </sheetViews>
  <sheetFormatPr defaultRowHeight="15" x14ac:dyDescent="0.25"/>
  <cols>
    <col min="1" max="1" width="49.140625" customWidth="1"/>
    <col min="2" max="2" width="27.7109375" customWidth="1"/>
    <col min="3" max="3" width="28" customWidth="1"/>
  </cols>
  <sheetData>
    <row r="1" spans="1:3" ht="71.25" customHeight="1" thickBot="1" x14ac:dyDescent="0.3">
      <c r="A1" s="24" t="s">
        <v>21</v>
      </c>
      <c r="B1" s="24"/>
      <c r="C1" s="24"/>
    </row>
    <row r="2" spans="1:3" s="2" customFormat="1" ht="15.75" thickBot="1" x14ac:dyDescent="0.3">
      <c r="A2" s="6" t="s">
        <v>0</v>
      </c>
      <c r="B2" s="7" t="s">
        <v>19</v>
      </c>
      <c r="C2" s="8" t="s">
        <v>20</v>
      </c>
    </row>
    <row r="3" spans="1:3" ht="51.75" customHeight="1" thickBot="1" x14ac:dyDescent="0.3">
      <c r="A3" s="3" t="s">
        <v>4</v>
      </c>
      <c r="B3" s="1">
        <v>0.92</v>
      </c>
      <c r="C3" s="4">
        <v>0.25</v>
      </c>
    </row>
    <row r="4" spans="1:3" ht="51.75" customHeight="1" thickBot="1" x14ac:dyDescent="0.3">
      <c r="A4" s="3" t="s">
        <v>10</v>
      </c>
      <c r="B4" s="1">
        <v>0.85</v>
      </c>
      <c r="C4" s="4">
        <v>0.55000000000000004</v>
      </c>
    </row>
    <row r="5" spans="1:3" ht="51.75" customHeight="1" thickBot="1" x14ac:dyDescent="0.3">
      <c r="A5" s="3" t="s">
        <v>8</v>
      </c>
      <c r="B5" s="1">
        <v>0.78</v>
      </c>
      <c r="C5" s="4">
        <v>0.4</v>
      </c>
    </row>
    <row r="6" spans="1:3" ht="51.75" customHeight="1" thickBot="1" x14ac:dyDescent="0.3">
      <c r="A6" s="3" t="s">
        <v>11</v>
      </c>
      <c r="B6" s="1">
        <v>0.94</v>
      </c>
      <c r="C6" s="4">
        <v>0.2</v>
      </c>
    </row>
    <row r="7" spans="1:3" ht="51.75" customHeight="1" thickBot="1" x14ac:dyDescent="0.3">
      <c r="A7" s="3" t="s">
        <v>13</v>
      </c>
      <c r="B7" s="1">
        <v>0.75</v>
      </c>
      <c r="C7" s="4">
        <v>0.6</v>
      </c>
    </row>
    <row r="8" spans="1:3" ht="51.75" customHeight="1" x14ac:dyDescent="0.25">
      <c r="A8" s="5" t="s">
        <v>15</v>
      </c>
      <c r="B8" s="22">
        <v>0.68</v>
      </c>
      <c r="C8" s="23">
        <v>0.4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BA785-805A-443C-A60C-C9C46125809C}">
  <dimension ref="A1:D11"/>
  <sheetViews>
    <sheetView workbookViewId="0">
      <selection activeCell="E2" sqref="E2"/>
    </sheetView>
  </sheetViews>
  <sheetFormatPr defaultRowHeight="15" x14ac:dyDescent="0.25"/>
  <cols>
    <col min="1" max="1" width="13.42578125" bestFit="1" customWidth="1"/>
    <col min="2" max="2" width="20.42578125" bestFit="1" customWidth="1"/>
    <col min="3" max="3" width="26.7109375" bestFit="1" customWidth="1"/>
    <col min="4" max="4" width="23" bestFit="1" customWidth="1"/>
    <col min="5" max="5" width="23" customWidth="1"/>
  </cols>
  <sheetData>
    <row r="1" spans="1:4" x14ac:dyDescent="0.25">
      <c r="A1" s="25" t="s">
        <v>0</v>
      </c>
      <c r="B1" t="s" vm="1">
        <v>31</v>
      </c>
    </row>
    <row r="2" spans="1:4" ht="36.75" thickBot="1" x14ac:dyDescent="0.3">
      <c r="A2" s="21" t="s">
        <v>17</v>
      </c>
      <c r="B2" s="21"/>
      <c r="C2" s="21"/>
      <c r="D2" s="21"/>
    </row>
    <row r="3" spans="1:4" x14ac:dyDescent="0.25">
      <c r="A3" s="25" t="s">
        <v>22</v>
      </c>
      <c r="B3" t="s">
        <v>27</v>
      </c>
      <c r="C3" t="s">
        <v>28</v>
      </c>
      <c r="D3" t="s">
        <v>29</v>
      </c>
    </row>
    <row r="4" spans="1:4" x14ac:dyDescent="0.25">
      <c r="A4" s="26" t="s">
        <v>30</v>
      </c>
      <c r="B4" s="27">
        <v>361</v>
      </c>
      <c r="C4" s="27">
        <v>0.6</v>
      </c>
      <c r="D4" s="27">
        <v>0.64</v>
      </c>
    </row>
    <row r="5" spans="1:4" x14ac:dyDescent="0.25">
      <c r="A5" s="26" t="s">
        <v>6</v>
      </c>
      <c r="B5" s="27">
        <v>125</v>
      </c>
      <c r="C5" s="27">
        <v>0.18</v>
      </c>
      <c r="D5" s="27">
        <v>0.22</v>
      </c>
    </row>
    <row r="6" spans="1:4" x14ac:dyDescent="0.25">
      <c r="A6" s="26" t="s">
        <v>9</v>
      </c>
      <c r="B6" s="27">
        <v>45</v>
      </c>
      <c r="C6" s="27">
        <v>0.05</v>
      </c>
      <c r="D6" s="27">
        <v>0.08</v>
      </c>
    </row>
    <row r="7" spans="1:4" x14ac:dyDescent="0.25">
      <c r="A7" s="26" t="s">
        <v>7</v>
      </c>
      <c r="B7" s="27">
        <v>80</v>
      </c>
      <c r="C7" s="27">
        <v>0.12</v>
      </c>
      <c r="D7" s="27">
        <v>0.15</v>
      </c>
    </row>
    <row r="8" spans="1:4" x14ac:dyDescent="0.25">
      <c r="A8" s="26" t="s">
        <v>14</v>
      </c>
      <c r="B8" s="27">
        <v>36</v>
      </c>
      <c r="C8" s="27">
        <v>0.08</v>
      </c>
      <c r="D8" s="27">
        <v>0.06</v>
      </c>
    </row>
    <row r="9" spans="1:4" x14ac:dyDescent="0.25">
      <c r="A9" s="26" t="s">
        <v>16</v>
      </c>
      <c r="B9" s="27">
        <v>72</v>
      </c>
      <c r="C9" s="27">
        <v>0.16</v>
      </c>
      <c r="D9" s="27">
        <v>0.12</v>
      </c>
    </row>
    <row r="10" spans="1:4" x14ac:dyDescent="0.25">
      <c r="A10" s="26" t="s">
        <v>12</v>
      </c>
      <c r="B10" s="27">
        <v>3</v>
      </c>
      <c r="C10" s="27">
        <v>0.01</v>
      </c>
      <c r="D10" s="27">
        <v>0.01</v>
      </c>
    </row>
    <row r="11" spans="1:4" x14ac:dyDescent="0.25">
      <c r="A11" s="26" t="s">
        <v>26</v>
      </c>
      <c r="B11" s="27">
        <v>722</v>
      </c>
      <c r="C11" s="27">
        <v>1.2</v>
      </c>
      <c r="D11" s="27">
        <v>1.28</v>
      </c>
    </row>
  </sheetData>
  <mergeCells count="1">
    <mergeCell ref="A2:D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00CF6-9252-41D9-98C3-4F3C8ED0CC59}">
  <dimension ref="A1:C9"/>
  <sheetViews>
    <sheetView workbookViewId="0">
      <selection activeCell="B13" sqref="B13"/>
    </sheetView>
  </sheetViews>
  <sheetFormatPr defaultRowHeight="15" x14ac:dyDescent="0.25"/>
  <cols>
    <col min="1" max="1" width="49" bestFit="1" customWidth="1"/>
    <col min="2" max="2" width="35" bestFit="1" customWidth="1"/>
    <col min="3" max="3" width="35.42578125" bestFit="1" customWidth="1"/>
  </cols>
  <sheetData>
    <row r="1" spans="1:3" ht="36.75" thickBot="1" x14ac:dyDescent="0.3">
      <c r="A1" s="24" t="s">
        <v>21</v>
      </c>
      <c r="B1" s="24"/>
      <c r="C1" s="24"/>
    </row>
    <row r="2" spans="1:3" x14ac:dyDescent="0.25">
      <c r="A2" s="25" t="s">
        <v>22</v>
      </c>
      <c r="B2" t="s">
        <v>32</v>
      </c>
      <c r="C2" t="s">
        <v>33</v>
      </c>
    </row>
    <row r="3" spans="1:3" x14ac:dyDescent="0.25">
      <c r="A3" s="26" t="s">
        <v>23</v>
      </c>
      <c r="B3" s="27">
        <v>0.92</v>
      </c>
      <c r="C3" s="27">
        <v>0.25</v>
      </c>
    </row>
    <row r="4" spans="1:3" x14ac:dyDescent="0.25">
      <c r="A4" s="26" t="s">
        <v>24</v>
      </c>
      <c r="B4" s="27">
        <v>0.85</v>
      </c>
      <c r="C4" s="27">
        <v>0.55000000000000004</v>
      </c>
    </row>
    <row r="5" spans="1:3" x14ac:dyDescent="0.25">
      <c r="A5" s="26" t="s">
        <v>8</v>
      </c>
      <c r="B5" s="27">
        <v>0.78</v>
      </c>
      <c r="C5" s="27">
        <v>0.4</v>
      </c>
    </row>
    <row r="6" spans="1:3" x14ac:dyDescent="0.25">
      <c r="A6" s="26" t="s">
        <v>11</v>
      </c>
      <c r="B6" s="27">
        <v>0.94</v>
      </c>
      <c r="C6" s="27">
        <v>0.2</v>
      </c>
    </row>
    <row r="7" spans="1:3" x14ac:dyDescent="0.25">
      <c r="A7" s="26" t="s">
        <v>25</v>
      </c>
      <c r="B7" s="27">
        <v>0.75</v>
      </c>
      <c r="C7" s="27">
        <v>0.6</v>
      </c>
    </row>
    <row r="8" spans="1:3" x14ac:dyDescent="0.25">
      <c r="A8" s="26" t="s">
        <v>15</v>
      </c>
      <c r="B8" s="27">
        <v>0.68</v>
      </c>
      <c r="C8" s="27">
        <v>0.4</v>
      </c>
    </row>
    <row r="9" spans="1:3" x14ac:dyDescent="0.25">
      <c r="A9" s="26" t="s">
        <v>26</v>
      </c>
      <c r="B9" s="27">
        <v>4.92</v>
      </c>
      <c r="C9" s="27">
        <v>2.4</v>
      </c>
    </row>
  </sheetData>
  <mergeCells count="1">
    <mergeCell ref="A1:C1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8633-350C-4095-A098-81143CD0EB0F}">
  <dimension ref="A1:F31"/>
  <sheetViews>
    <sheetView tabSelected="1" topLeftCell="A17" workbookViewId="0">
      <selection activeCell="M16" sqref="M16"/>
    </sheetView>
  </sheetViews>
  <sheetFormatPr defaultRowHeight="15" x14ac:dyDescent="0.25"/>
  <cols>
    <col min="1" max="2" width="34.140625" customWidth="1"/>
    <col min="5" max="5" width="13.42578125" bestFit="1" customWidth="1"/>
    <col min="6" max="6" width="34.5703125" bestFit="1" customWidth="1"/>
  </cols>
  <sheetData>
    <row r="1" spans="1:2" ht="28.5" x14ac:dyDescent="0.45">
      <c r="A1" s="28" t="s">
        <v>37</v>
      </c>
      <c r="B1" s="28"/>
    </row>
    <row r="2" spans="1:2" ht="19.5" thickBot="1" x14ac:dyDescent="0.35">
      <c r="A2" s="29" t="s">
        <v>36</v>
      </c>
      <c r="B2" s="29"/>
    </row>
    <row r="3" spans="1:2" ht="15.75" thickBot="1" x14ac:dyDescent="0.3">
      <c r="A3" s="30" t="s">
        <v>34</v>
      </c>
      <c r="B3" s="31" t="s">
        <v>35</v>
      </c>
    </row>
    <row r="4" spans="1:2" ht="15.75" thickBot="1" x14ac:dyDescent="0.3">
      <c r="A4" s="37" t="s">
        <v>40</v>
      </c>
      <c r="B4" s="32">
        <v>4.2000000000000003E-2</v>
      </c>
    </row>
    <row r="5" spans="1:2" ht="15.75" thickBot="1" x14ac:dyDescent="0.3">
      <c r="A5" s="37" t="s">
        <v>41</v>
      </c>
      <c r="B5" s="32">
        <v>4.2999999999999997E-2</v>
      </c>
    </row>
    <row r="6" spans="1:2" ht="15.75" thickBot="1" x14ac:dyDescent="0.3">
      <c r="A6" s="37" t="s">
        <v>42</v>
      </c>
      <c r="B6" s="32">
        <v>4.4999999999999998E-2</v>
      </c>
    </row>
    <row r="7" spans="1:2" ht="15.75" thickBot="1" x14ac:dyDescent="0.3">
      <c r="A7" s="37" t="s">
        <v>43</v>
      </c>
      <c r="B7" s="32">
        <v>4.6199999999999998E-2</v>
      </c>
    </row>
    <row r="8" spans="1:2" ht="15.75" thickBot="1" x14ac:dyDescent="0.3">
      <c r="A8" s="37" t="s">
        <v>44</v>
      </c>
      <c r="B8" s="32">
        <v>4.8000000000000001E-2</v>
      </c>
    </row>
    <row r="9" spans="1:2" ht="15.75" thickBot="1" x14ac:dyDescent="0.3">
      <c r="A9" s="37" t="s">
        <v>45</v>
      </c>
      <c r="B9" s="32">
        <v>5.0799999999999998E-2</v>
      </c>
    </row>
    <row r="10" spans="1:2" ht="15.75" thickBot="1" x14ac:dyDescent="0.3">
      <c r="A10" s="37" t="s">
        <v>46</v>
      </c>
      <c r="B10" s="32">
        <v>5.0999999999999997E-2</v>
      </c>
    </row>
    <row r="11" spans="1:2" ht="15.75" thickBot="1" x14ac:dyDescent="0.3">
      <c r="A11" s="37" t="s">
        <v>47</v>
      </c>
      <c r="B11" s="32">
        <v>5.2499999999999998E-2</v>
      </c>
    </row>
    <row r="12" spans="1:2" ht="15.75" thickBot="1" x14ac:dyDescent="0.3">
      <c r="A12" s="37" t="s">
        <v>48</v>
      </c>
      <c r="B12" s="33">
        <v>5.2999999999999999E-2</v>
      </c>
    </row>
    <row r="13" spans="1:2" ht="15.75" thickBot="1" x14ac:dyDescent="0.3">
      <c r="A13" s="37" t="s">
        <v>49</v>
      </c>
      <c r="B13" s="32">
        <v>5.9400000000000001E-2</v>
      </c>
    </row>
    <row r="14" spans="1:2" ht="15.75" thickBot="1" x14ac:dyDescent="0.3">
      <c r="A14" s="37" t="s">
        <v>50</v>
      </c>
      <c r="B14" s="32">
        <v>6.0100000000000001E-2</v>
      </c>
    </row>
    <row r="15" spans="1:2" ht="15.75" thickBot="1" x14ac:dyDescent="0.3">
      <c r="A15" s="37" t="s">
        <v>51</v>
      </c>
      <c r="B15" s="32">
        <v>6.7799999999999999E-2</v>
      </c>
    </row>
    <row r="16" spans="1:2" ht="238.5" customHeight="1" x14ac:dyDescent="0.25"/>
    <row r="17" spans="1:6" ht="28.5" x14ac:dyDescent="0.45">
      <c r="A17" s="28" t="s">
        <v>37</v>
      </c>
      <c r="B17" s="28"/>
      <c r="E17" s="25" t="s">
        <v>22</v>
      </c>
      <c r="F17" t="s">
        <v>53</v>
      </c>
    </row>
    <row r="18" spans="1:6" ht="18.75" x14ac:dyDescent="0.3">
      <c r="A18" s="34" t="s">
        <v>38</v>
      </c>
      <c r="B18" s="34"/>
      <c r="E18" s="26" t="s">
        <v>43</v>
      </c>
      <c r="F18" s="27">
        <v>0.16400000000000001</v>
      </c>
    </row>
    <row r="19" spans="1:6" ht="15.75" thickBot="1" x14ac:dyDescent="0.3">
      <c r="A19" s="35" t="s">
        <v>39</v>
      </c>
      <c r="B19" s="35" t="s">
        <v>52</v>
      </c>
      <c r="E19" s="26" t="s">
        <v>47</v>
      </c>
      <c r="F19" s="27">
        <v>0.186</v>
      </c>
    </row>
    <row r="20" spans="1:6" x14ac:dyDescent="0.25">
      <c r="A20" s="37" t="s">
        <v>40</v>
      </c>
      <c r="B20" s="36">
        <v>0.151</v>
      </c>
      <c r="E20" s="26" t="s">
        <v>51</v>
      </c>
      <c r="F20" s="27">
        <v>0.20799999999999999</v>
      </c>
    </row>
    <row r="21" spans="1:6" x14ac:dyDescent="0.25">
      <c r="A21" s="37" t="s">
        <v>41</v>
      </c>
      <c r="B21" s="36">
        <v>0.155</v>
      </c>
      <c r="E21" s="26" t="s">
        <v>41</v>
      </c>
      <c r="F21" s="27">
        <v>0.155</v>
      </c>
    </row>
    <row r="22" spans="1:6" x14ac:dyDescent="0.25">
      <c r="A22" s="37" t="s">
        <v>42</v>
      </c>
      <c r="B22" s="36">
        <v>0.159</v>
      </c>
      <c r="E22" s="26" t="s">
        <v>40</v>
      </c>
      <c r="F22" s="27">
        <v>0.151</v>
      </c>
    </row>
    <row r="23" spans="1:6" x14ac:dyDescent="0.25">
      <c r="A23" s="37" t="s">
        <v>43</v>
      </c>
      <c r="B23" s="36">
        <v>0.16400000000000001</v>
      </c>
      <c r="E23" s="26" t="s">
        <v>46</v>
      </c>
      <c r="F23" s="27">
        <v>0.18099999999999999</v>
      </c>
    </row>
    <row r="24" spans="1:6" x14ac:dyDescent="0.25">
      <c r="A24" s="37" t="s">
        <v>44</v>
      </c>
      <c r="B24" s="36">
        <v>0.17</v>
      </c>
      <c r="E24" s="26" t="s">
        <v>45</v>
      </c>
      <c r="F24" s="27">
        <v>0.17299999999999999</v>
      </c>
    </row>
    <row r="25" spans="1:6" x14ac:dyDescent="0.25">
      <c r="A25" s="37" t="s">
        <v>45</v>
      </c>
      <c r="B25" s="36">
        <v>0.17299999999999999</v>
      </c>
      <c r="E25" s="26" t="s">
        <v>42</v>
      </c>
      <c r="F25" s="27">
        <v>0.159</v>
      </c>
    </row>
    <row r="26" spans="1:6" x14ac:dyDescent="0.25">
      <c r="A26" s="37" t="s">
        <v>46</v>
      </c>
      <c r="B26" s="36">
        <v>0.18099999999999999</v>
      </c>
      <c r="E26" s="26" t="s">
        <v>44</v>
      </c>
      <c r="F26" s="27">
        <v>0.17</v>
      </c>
    </row>
    <row r="27" spans="1:6" x14ac:dyDescent="0.25">
      <c r="A27" s="37" t="s">
        <v>47</v>
      </c>
      <c r="B27" s="36">
        <v>0.186</v>
      </c>
      <c r="E27" s="26" t="s">
        <v>50</v>
      </c>
      <c r="F27" s="27">
        <v>0.20300000000000001</v>
      </c>
    </row>
    <row r="28" spans="1:6" x14ac:dyDescent="0.25">
      <c r="A28" s="37" t="s">
        <v>48</v>
      </c>
      <c r="B28" s="36">
        <v>0.192</v>
      </c>
      <c r="E28" s="26" t="s">
        <v>49</v>
      </c>
      <c r="F28" s="27">
        <v>0.19700000000000001</v>
      </c>
    </row>
    <row r="29" spans="1:6" x14ac:dyDescent="0.25">
      <c r="A29" s="37" t="s">
        <v>49</v>
      </c>
      <c r="B29" s="36">
        <v>0.19700000000000001</v>
      </c>
      <c r="E29" s="26" t="s">
        <v>48</v>
      </c>
      <c r="F29" s="27">
        <v>0.192</v>
      </c>
    </row>
    <row r="30" spans="1:6" x14ac:dyDescent="0.25">
      <c r="A30" s="37" t="s">
        <v>50</v>
      </c>
      <c r="B30" s="36">
        <v>0.20300000000000001</v>
      </c>
      <c r="E30" s="26" t="s">
        <v>26</v>
      </c>
      <c r="F30" s="27">
        <v>2.1389999999999998</v>
      </c>
    </row>
    <row r="31" spans="1:6" x14ac:dyDescent="0.25">
      <c r="A31" s="37" t="s">
        <v>51</v>
      </c>
      <c r="B31" s="36">
        <v>0.20799999999999999</v>
      </c>
    </row>
  </sheetData>
  <mergeCells count="4">
    <mergeCell ref="A1:B1"/>
    <mergeCell ref="A2:B2"/>
    <mergeCell ref="A17:B17"/>
    <mergeCell ref="A18:B18"/>
  </mergeCells>
  <phoneticPr fontId="10" type="noConversion"/>
  <pageMargins left="0.7" right="0.7" top="0.75" bottom="0.75" header="0.3" footer="0.3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FAA35-AE5A-4F92-9104-1BA5665EC8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Key Fin Perf by Subsidiary</vt:lpstr>
      <vt:lpstr>Employee &amp; Customer Data</vt:lpstr>
      <vt:lpstr>M&amp;A Activity and Sector Growth</vt:lpstr>
      <vt:lpstr>Employee Retention &amp; Revenue </vt:lpstr>
      <vt:lpstr>Economic Indicators &amp; Competiti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Williams</dc:creator>
  <cp:lastModifiedBy>Gordon Williams</cp:lastModifiedBy>
  <dcterms:created xsi:type="dcterms:W3CDTF">2025-08-11T01:33:44Z</dcterms:created>
  <dcterms:modified xsi:type="dcterms:W3CDTF">2025-08-11T03:21:47Z</dcterms:modified>
</cp:coreProperties>
</file>