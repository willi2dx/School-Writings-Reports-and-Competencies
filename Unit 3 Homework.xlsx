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GRADUATE POST\BUS 632 ADVANCED FINANCIAL STATEMENT ANALYSIS\"/>
    </mc:Choice>
  </mc:AlternateContent>
  <xr:revisionPtr revIDLastSave="0" documentId="8_{F4D42E4A-67EA-4AC1-AB32-AE93A29C8346}" xr6:coauthVersionLast="47" xr6:coauthVersionMax="47" xr10:uidLastSave="{00000000-0000-0000-0000-000000000000}"/>
  <bookViews>
    <workbookView xWindow="29640" yWindow="3675" windowWidth="24180" windowHeight="1138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H5" i="1"/>
  <c r="C15" i="1"/>
  <c r="C7" i="1"/>
  <c r="H8" i="1" l="1"/>
  <c r="H10" i="1" s="1"/>
  <c r="H14" i="1"/>
  <c r="H16" i="1" s="1"/>
  <c r="H18" i="1" s="1"/>
  <c r="H12" i="1"/>
  <c r="C20" i="1"/>
  <c r="C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tc={30B849E4-E1A9-43F1-9B0B-7BE4C197B177}</author>
    <author>tc={F5AAC51E-4C81-457D-8422-801DC47B2F2F}</author>
    <author>tc={B76E94EC-26B8-4499-8CD0-E7ECCC714905}</author>
    <author>tc={201004C9-44A3-4B23-86EE-9ECE3706748E}</author>
    <author>tc={E2CBC31A-10DD-4752-8C10-AEB3D0B92527}</author>
  </authors>
  <commentList>
    <comment ref="H16" authorId="0" shapeId="0" xr:uid="{30B849E4-E1A9-43F1-9B0B-7BE4C197B17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Earnings Per Share Ratio is the Net Income minus the Preferred Dividends divided by the Shares Outstanding.</t>
      </text>
    </comment>
    <comment ref="H18" authorId="1" shapeId="0" xr:uid="{F5AAC51E-4C81-457D-8422-801DC47B2F2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Price Earnings Ratio is the ratio to valuate a company by measuring its current share price against its outstanding share price</t>
      </text>
    </comment>
    <comment ref="C20" authorId="2" shapeId="0" xr:uid="{B76E94EC-26B8-4499-8CD0-E7ECCC7149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Working capital is the difference between a company's current assets and current liabilities
</t>
      </text>
    </comment>
    <comment ref="C22" authorId="3" shapeId="0" xr:uid="{201004C9-44A3-4B23-86EE-9ECE370674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quick ratio is the ratio between liabilities and assets.  The formula for a Quick Ratio is Assets/Liabilities.  It is considered a good ratio is it is greater than 1
</t>
      </text>
    </comment>
    <comment ref="C24" authorId="4" shapeId="0" xr:uid="{E2CBC31A-10DD-4752-8C10-AEB3D0B9252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debt-equity ratio is used to evaluate a company's financial leverage.  You add the short term debt, its long term debt, and its other fixed payments and divide the sum by the Shareholders Equity</t>
      </text>
    </comment>
  </commentList>
</comments>
</file>

<file path=xl/sharedStrings.xml><?xml version="1.0" encoding="utf-8"?>
<sst xmlns="http://schemas.openxmlformats.org/spreadsheetml/2006/main" count="30" uniqueCount="30">
  <si>
    <t>Balance Sheet</t>
  </si>
  <si>
    <t>Income Statement</t>
  </si>
  <si>
    <t>Current Assets:</t>
  </si>
  <si>
    <t>Sales Revenue</t>
  </si>
  <si>
    <t>Cash</t>
  </si>
  <si>
    <t>Cost of Goods Sold Expense</t>
  </si>
  <si>
    <t>Accounts Receivable</t>
  </si>
  <si>
    <t>Gross Margin</t>
  </si>
  <si>
    <t>Inventories</t>
  </si>
  <si>
    <t>Corporate Admin Expenses</t>
  </si>
  <si>
    <t>E.B.I.T.</t>
  </si>
  <si>
    <t>Current Liabilities:</t>
  </si>
  <si>
    <t>Interest Expense</t>
  </si>
  <si>
    <t>Accounts Payable</t>
  </si>
  <si>
    <t>Earnings Before Income Tax</t>
  </si>
  <si>
    <t>Short Term Debt</t>
  </si>
  <si>
    <t>Preferred Stock Dividends</t>
  </si>
  <si>
    <t>Long Term Debt</t>
  </si>
  <si>
    <t>Earnings Available To Stockholders</t>
  </si>
  <si>
    <t>Other Fixed Payments</t>
  </si>
  <si>
    <t>Shares Outstanding</t>
  </si>
  <si>
    <t>Accrued Liabilities</t>
  </si>
  <si>
    <t>Net Income</t>
  </si>
  <si>
    <t>Earnings Per Share</t>
  </si>
  <si>
    <t>Shareholders Equity</t>
  </si>
  <si>
    <t>Current Share Price</t>
  </si>
  <si>
    <t>Price- Earnings Ratio</t>
  </si>
  <si>
    <t>Working Capital</t>
  </si>
  <si>
    <t>Quick Ratio</t>
  </si>
  <si>
    <t>Debt-Equity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</si>
</sst>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</font>
    <font>
      <b/>
      <sz val="14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8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2"/>
    </xf>
    <xf numFmtId="8" fontId="1" fillId="0" borderId="0" xfId="0" applyNumberFormat="1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8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8" fontId="1" fillId="4" borderId="5" xfId="0" applyNumberFormat="1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43" fontId="2" fillId="5" borderId="5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8" fontId="2" fillId="4" borderId="5" xfId="0" applyNumberFormat="1" applyFont="1" applyFill="1" applyBorder="1" applyAlignment="1">
      <alignment vertical="center"/>
    </xf>
    <xf numFmtId="43" fontId="1" fillId="4" borderId="5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rdon Elliott Williams" id="{B5623242-FA58-45CE-80EB-13039521997D}" userId="c178b473eaccb60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1-07-19T03:27:59.44" personId="{B5623242-FA58-45CE-80EB-13039521997D}" id="{30B849E4-E1A9-43F1-9B0B-7BE4C197B177}">
    <text>The Earnings Per Share Ratio is the Net Income minus the Preferred Dividends divided by the Shares Outstanding.</text>
  </threadedComment>
  <threadedComment ref="H18" dT="2021-07-19T03:27:59.44" personId="{B5623242-FA58-45CE-80EB-13039521997D}" id="{F5AAC51E-4C81-457D-8422-801DC47B2F2F}">
    <text>The Price Earnings Ratio is the ratio to valuate a company by measuring its current share price against its outstanding share price</text>
  </threadedComment>
  <threadedComment ref="C20" dT="2021-07-19T03:27:59.44" personId="{B5623242-FA58-45CE-80EB-13039521997D}" id="{B76E94EC-26B8-4499-8CD0-E7ECCC714905}">
    <text xml:space="preserve">Working capital is the difference between a company's current assets and current liabilities
</text>
  </threadedComment>
  <threadedComment ref="C22" dT="2021-07-19T03:33:20.67" personId="{B5623242-FA58-45CE-80EB-13039521997D}" id="{201004C9-44A3-4B23-86EE-9ECE3706748E}">
    <text xml:space="preserve">A quick ratio is the ratio between liabilities and assets.  The formula for a Quick Ratio is Assets/Liabilities.  It is considered a good ratio is it is greater than 1
</text>
  </threadedComment>
  <threadedComment ref="C24" dT="2021-07-19T03:33:20.67" personId="{B5623242-FA58-45CE-80EB-13039521997D}" id="{E2CBC31A-10DD-4752-8C10-AEB3D0B92527}">
    <text>The debt-equity ratio is used to evaluate a company's financial leverage.  You add the short term debt, its long term debt, and its other fixed payments and divide the sum by the Shareholders Equity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H18" sqref="H18"/>
    </sheetView>
  </sheetViews>
  <sheetFormatPr defaultColWidth="9" defaultRowHeight="18.75" x14ac:dyDescent="0.25"/>
  <cols>
    <col min="1" max="1" width="26.42578125" style="1" customWidth="1"/>
    <col min="2" max="2" width="9" style="1"/>
    <col min="3" max="3" width="26.7109375" style="2" customWidth="1"/>
    <col min="4" max="5" width="9" style="1"/>
    <col min="6" max="6" width="31.28515625" style="1" customWidth="1"/>
    <col min="7" max="7" width="9.140625" style="1"/>
    <col min="8" max="8" width="26.7109375" style="15" customWidth="1"/>
    <col min="9" max="16384" width="9" style="1"/>
  </cols>
  <sheetData>
    <row r="1" spans="1:9" x14ac:dyDescent="0.25">
      <c r="A1" s="22" t="s">
        <v>0</v>
      </c>
      <c r="B1" s="23"/>
      <c r="C1" s="24"/>
      <c r="F1" s="22" t="s">
        <v>1</v>
      </c>
      <c r="G1" s="23"/>
      <c r="H1" s="24"/>
    </row>
    <row r="3" spans="1:9" x14ac:dyDescent="0.25">
      <c r="A3" s="5" t="s">
        <v>2</v>
      </c>
      <c r="F3" s="1" t="s">
        <v>3</v>
      </c>
      <c r="H3" s="15">
        <v>500000</v>
      </c>
      <c r="I3" s="6"/>
    </row>
    <row r="4" spans="1:9" x14ac:dyDescent="0.25">
      <c r="A4" s="3" t="s">
        <v>4</v>
      </c>
      <c r="C4" s="2">
        <v>25000</v>
      </c>
      <c r="F4" s="16" t="s">
        <v>5</v>
      </c>
      <c r="G4" s="16"/>
      <c r="H4" s="17">
        <v>300000</v>
      </c>
    </row>
    <row r="5" spans="1:9" x14ac:dyDescent="0.25">
      <c r="A5" s="3" t="s">
        <v>6</v>
      </c>
      <c r="C5" s="2">
        <v>38000</v>
      </c>
      <c r="F5" s="1" t="s">
        <v>7</v>
      </c>
      <c r="H5" s="15">
        <f>H3-H4</f>
        <v>200000</v>
      </c>
    </row>
    <row r="6" spans="1:9" x14ac:dyDescent="0.25">
      <c r="A6" s="3" t="s">
        <v>8</v>
      </c>
      <c r="C6" s="7">
        <v>55234</v>
      </c>
    </row>
    <row r="7" spans="1:9" ht="25.5" customHeight="1" x14ac:dyDescent="0.25">
      <c r="C7" s="2">
        <f>SUM(C4:C6)</f>
        <v>118234</v>
      </c>
      <c r="F7" s="16" t="s">
        <v>9</v>
      </c>
      <c r="G7" s="16"/>
      <c r="H7" s="17">
        <v>101000</v>
      </c>
    </row>
    <row r="8" spans="1:9" x14ac:dyDescent="0.25">
      <c r="F8" s="1" t="s">
        <v>10</v>
      </c>
      <c r="H8" s="15">
        <f>H5-H7</f>
        <v>99000</v>
      </c>
    </row>
    <row r="9" spans="1:9" x14ac:dyDescent="0.25">
      <c r="A9" s="8" t="s">
        <v>11</v>
      </c>
      <c r="F9" s="16" t="s">
        <v>12</v>
      </c>
      <c r="G9" s="16"/>
      <c r="H9" s="17">
        <v>5000</v>
      </c>
    </row>
    <row r="10" spans="1:9" x14ac:dyDescent="0.25">
      <c r="A10" s="3" t="s">
        <v>13</v>
      </c>
      <c r="C10" s="2">
        <v>45875</v>
      </c>
      <c r="F10" s="1" t="s">
        <v>14</v>
      </c>
      <c r="H10" s="15">
        <f>H8-H9</f>
        <v>94000</v>
      </c>
    </row>
    <row r="11" spans="1:9" x14ac:dyDescent="0.25">
      <c r="A11" s="3" t="s">
        <v>15</v>
      </c>
      <c r="C11" s="2">
        <v>22000</v>
      </c>
      <c r="F11" s="16" t="s">
        <v>16</v>
      </c>
      <c r="G11" s="16"/>
      <c r="H11" s="17">
        <v>15000</v>
      </c>
    </row>
    <row r="12" spans="1:9" x14ac:dyDescent="0.25">
      <c r="A12" s="3" t="s">
        <v>17</v>
      </c>
      <c r="C12" s="2">
        <v>30000</v>
      </c>
      <c r="F12" s="19" t="s">
        <v>18</v>
      </c>
      <c r="G12" s="19"/>
      <c r="H12" s="18">
        <f>H10-H11</f>
        <v>79000</v>
      </c>
    </row>
    <row r="13" spans="1:9" ht="25.5" customHeight="1" x14ac:dyDescent="0.25">
      <c r="A13" s="3" t="s">
        <v>19</v>
      </c>
      <c r="C13" s="2">
        <v>12000</v>
      </c>
      <c r="F13" s="1" t="s">
        <v>20</v>
      </c>
      <c r="H13" s="15">
        <v>70000</v>
      </c>
    </row>
    <row r="14" spans="1:9" x14ac:dyDescent="0.25">
      <c r="A14" s="3" t="s">
        <v>21</v>
      </c>
      <c r="C14" s="7">
        <v>1200</v>
      </c>
      <c r="F14" s="1" t="s">
        <v>22</v>
      </c>
      <c r="H14" s="18">
        <f>H5-H10</f>
        <v>106000</v>
      </c>
    </row>
    <row r="15" spans="1:9" ht="28.5" customHeight="1" x14ac:dyDescent="0.25">
      <c r="A15" s="3"/>
      <c r="C15" s="4">
        <f>SUM(C10:C14)</f>
        <v>111075</v>
      </c>
    </row>
    <row r="16" spans="1:9" x14ac:dyDescent="0.25">
      <c r="A16" s="3"/>
      <c r="C16" s="4"/>
      <c r="F16" s="9" t="s">
        <v>23</v>
      </c>
      <c r="G16" s="10"/>
      <c r="H16" s="11">
        <f>(H14-H11)/H13</f>
        <v>1.3</v>
      </c>
    </row>
    <row r="17" spans="1:8" ht="21" customHeight="1" x14ac:dyDescent="0.25">
      <c r="A17" s="3" t="s">
        <v>24</v>
      </c>
      <c r="C17" s="4">
        <v>37500</v>
      </c>
      <c r="F17" s="3" t="s">
        <v>25</v>
      </c>
      <c r="H17" s="4">
        <v>1.25</v>
      </c>
    </row>
    <row r="18" spans="1:8" x14ac:dyDescent="0.25">
      <c r="A18" s="3"/>
      <c r="C18" s="4"/>
      <c r="F18" s="9" t="s">
        <v>26</v>
      </c>
      <c r="G18" s="10"/>
      <c r="H18" s="21">
        <f>H17/H16</f>
        <v>0.96153846153846145</v>
      </c>
    </row>
    <row r="19" spans="1:8" ht="12" customHeight="1" x14ac:dyDescent="0.25"/>
    <row r="20" spans="1:8" x14ac:dyDescent="0.25">
      <c r="A20" s="9" t="s">
        <v>27</v>
      </c>
      <c r="B20" s="10"/>
      <c r="C20" s="20">
        <f>C7-C15</f>
        <v>7159</v>
      </c>
    </row>
    <row r="21" spans="1:8" ht="12" customHeight="1" x14ac:dyDescent="0.25"/>
    <row r="22" spans="1:8" x14ac:dyDescent="0.25">
      <c r="A22" s="13" t="s">
        <v>28</v>
      </c>
      <c r="B22" s="12"/>
      <c r="C22" s="14">
        <f>C7/C15</f>
        <v>1.0644519468827369</v>
      </c>
    </row>
    <row r="23" spans="1:8" ht="12" customHeight="1" x14ac:dyDescent="0.25"/>
    <row r="24" spans="1:8" x14ac:dyDescent="0.25">
      <c r="A24" s="13" t="s">
        <v>29</v>
      </c>
      <c r="B24" s="12"/>
      <c r="C24" s="14">
        <f>(C11+C12+C13)/C17</f>
        <v>1.7066666666666668</v>
      </c>
    </row>
  </sheetData>
  <mergeCells count="2">
    <mergeCell ref="A1:C1"/>
    <mergeCell ref="F1:H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Gordon Elliott Williams</dc:creator>
  <cp:keywords/>
  <dc:description/>
  <cp:lastModifiedBy>Gordon Elliott Williams</cp:lastModifiedBy>
  <cp:revision/>
  <dcterms:created xsi:type="dcterms:W3CDTF">2021-07-19T03:17:55Z</dcterms:created>
  <dcterms:modified xsi:type="dcterms:W3CDTF">2021-07-19T04:39:20Z</dcterms:modified>
  <cp:category/>
  <cp:contentStatus/>
</cp:coreProperties>
</file>