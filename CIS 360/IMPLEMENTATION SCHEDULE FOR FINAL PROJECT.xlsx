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filterPrivacy="1" codeName="ThisWorkbook"/>
  <xr:revisionPtr revIDLastSave="0" documentId="8_{30731CB4-56B2-4D82-B4FE-1F635C712BCA}" xr6:coauthVersionLast="45" xr6:coauthVersionMax="45" xr10:uidLastSave="{00000000-0000-0000-0000-000000000000}"/>
  <bookViews>
    <workbookView xWindow="-120" yWindow="-120" windowWidth="29040" windowHeight="1584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1" l="1"/>
  <c r="E17" i="11" l="1"/>
  <c r="F18" i="11" l="1"/>
  <c r="H18" i="11" s="1"/>
  <c r="F9" i="11"/>
  <c r="I5" i="11"/>
  <c r="H17" i="11"/>
  <c r="H16" i="11"/>
  <c r="H12" i="11"/>
  <c r="H8" i="11"/>
  <c r="H9" i="11" l="1"/>
  <c r="F19" i="11"/>
  <c r="F10" i="11"/>
  <c r="I6" i="11"/>
  <c r="H21" i="11" l="1"/>
  <c r="H10" i="11"/>
  <c r="E20" i="11"/>
  <c r="H19" i="11"/>
  <c r="F14" i="11"/>
  <c r="F13" i="11"/>
  <c r="H13" i="11" s="1"/>
  <c r="F11" i="11"/>
  <c r="J5" i="11"/>
  <c r="K5" i="11" s="1"/>
  <c r="L5" i="11" s="1"/>
  <c r="M5" i="11" s="1"/>
  <c r="N5" i="11" s="1"/>
  <c r="O5" i="11" s="1"/>
  <c r="P5" i="11" s="1"/>
  <c r="I4" i="11"/>
  <c r="F20" i="11" l="1"/>
  <c r="H20" i="11" s="1"/>
  <c r="H14" i="11"/>
  <c r="H11" i="11"/>
  <c r="P4" i="11"/>
  <c r="Q5" i="11"/>
  <c r="R5" i="11" s="1"/>
  <c r="S5" i="11" s="1"/>
  <c r="T5" i="11" s="1"/>
  <c r="U5" i="11" s="1"/>
  <c r="V5" i="11" s="1"/>
  <c r="W5" i="11" s="1"/>
  <c r="J6" i="11"/>
  <c r="F15" i="11" l="1"/>
  <c r="H15"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W6" i="11"/>
  <c r="S6" i="11"/>
  <c r="AX6" i="11" l="1"/>
  <c r="T6" i="11"/>
  <c r="U6" i="11" l="1"/>
  <c r="V6" i="11" l="1"/>
  <c r="W6" i="11" l="1"/>
  <c r="X6" i="11" l="1"/>
  <c r="Y6" i="11" l="1"/>
  <c r="Z6" i="11" l="1"/>
  <c r="AA6" i="11" l="1"/>
  <c r="AB6" i="11" l="1"/>
  <c r="AC6" i="11" l="1"/>
  <c r="AD6" i="11" l="1"/>
  <c r="AE6" i="11" l="1"/>
  <c r="AF6" i="11" l="1"/>
  <c r="AG6" i="11" l="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<sst xmlns="http://schemas.openxmlformats.org/spreadsheetml/2006/main" count="63" uniqueCount="56">
  <si>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</si>
  <si>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</si>
  <si>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</si>
  <si>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</si>
  <si>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</si>
  <si>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</si>
  <si>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</si>
  <si>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</si>
  <si>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</si>
  <si>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</si>
  <si>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</si>
  <si>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</si>
  <si>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</si>
  <si>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</si>
  <si>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</si>
  <si>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</si>
  <si>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</si>
  <si>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</si>
  <si>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</si>
  <si>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</si>
  <si>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</si>
  <si>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</si>
  <si>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</si>
  <si>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</si>
  <si>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Sample phase title block</t>
  </si>
  <si>
    <t xml:space="preserve">Do not delete this row. This row is hidden to preserve a formula that is used to highlight the curren day within the project schedule. </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</si>
  <si>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</si>
  <si>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</si>
  <si>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</si>
  <si>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</si>
  <si>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</si>
  <si>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</si>
  <si>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</si>
  <si>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</si>
  <si>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</si>
  <si>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IMPLEMENTATION SCHEDULE</t>
  </si>
  <si>
    <t>HAGEMEYER NORTH AMERICA</t>
  </si>
  <si>
    <t>PURCHASE MAIL SYSTEM</t>
  </si>
  <si>
    <t>INSTALLATION</t>
  </si>
  <si>
    <t>MAILROOM</t>
  </si>
  <si>
    <t>TESTING PHASE 1</t>
  </si>
  <si>
    <t>TESTING PHASE 2</t>
  </si>
  <si>
    <t>ONBSE INVOICING SYSTEM</t>
  </si>
  <si>
    <t>DEPARTMENTAL TESTING</t>
  </si>
  <si>
    <t>ACCOUNTS RECEIVABLE</t>
  </si>
  <si>
    <t>ACCOUNTS PAYABLE</t>
  </si>
  <si>
    <t>TAXES</t>
  </si>
  <si>
    <t>.</t>
  </si>
  <si>
    <t>I/T</t>
  </si>
  <si>
    <t>I/T and AR</t>
  </si>
  <si>
    <t>I/T and AP</t>
  </si>
  <si>
    <t>I/T and Taxes</t>
  </si>
  <si>
    <t>PURCHASING</t>
  </si>
  <si>
    <t>I/T and Purchasing</t>
  </si>
  <si>
    <t>OUTSIDE SALES</t>
  </si>
  <si>
    <t>I/T and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</si>
</sst>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1"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s>
  <fills count="11">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26">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theme="0" tint="-0.34998626667073579"/>
      </top>
      <bottom/>
      <diagonal/>
    </border>
    <border>
      <left style="medium">
        <color indexed="64"/>
      </left>
      <right/>
      <top/>
      <bottom style="thin">
        <color theme="0" tint="-0.34998626667073579"/>
      </bottom>
      <diagonal/>
    </border>
    <border>
      <left style="medium">
        <color indexed="64"/>
      </left>
      <right/>
      <top style="thin">
        <color theme="0" tint="-0.34998626667073579"/>
      </top>
      <bottom/>
      <diagonal/>
    </border>
    <border>
      <left style="thin">
        <color theme="0" tint="-0.34998626667073579"/>
      </left>
      <right style="medium">
        <color indexed="64"/>
      </right>
      <top/>
      <bottom style="medium">
        <color theme="0" tint="-0.14996795556505021"/>
      </bottom>
      <diagonal/>
    </border>
    <border>
      <left style="thin">
        <color theme="0" tint="-0.14993743705557422"/>
      </left>
      <right style="medium">
        <color indexed="64"/>
      </right>
      <top style="medium">
        <color theme="0" tint="-0.14996795556505021"/>
      </top>
      <bottom style="medium">
        <color theme="0" tint="-0.14996795556505021"/>
      </bottom>
      <diagonal/>
    </border>
    <border>
      <left style="medium">
        <color indexed="64"/>
      </left>
      <right/>
      <top style="medium">
        <color theme="0" tint="-0.14996795556505021"/>
      </top>
      <bottom style="medium">
        <color theme="0" tint="-0.14996795556505021"/>
      </bottom>
      <diagonal/>
    </border>
    <border>
      <left style="medium">
        <color indexed="64"/>
      </left>
      <right/>
      <top style="medium">
        <color theme="0" tint="-0.14996795556505021"/>
      </top>
      <bottom style="medium">
        <color indexed="64"/>
      </bottom>
      <diagonal/>
    </border>
    <border>
      <left/>
      <right/>
      <top style="medium">
        <color theme="0" tint="-0.14996795556505021"/>
      </top>
      <bottom style="medium">
        <color indexed="64"/>
      </bottom>
      <diagonal/>
    </border>
    <border>
      <left style="thin">
        <color theme="0" tint="-0.14993743705557422"/>
      </left>
      <right style="thin">
        <color theme="0" tint="-0.14993743705557422"/>
      </right>
      <top style="medium">
        <color theme="0" tint="-0.14996795556505021"/>
      </top>
      <bottom style="medium">
        <color indexed="64"/>
      </bottom>
      <diagonal/>
    </border>
    <border>
      <left style="thin">
        <color theme="0" tint="-0.14993743705557422"/>
      </left>
      <right style="medium">
        <color indexed="64"/>
      </right>
      <top style="medium">
        <color theme="0" tint="-0.14996795556505021"/>
      </top>
      <bottom style="medium">
        <color indexed="64"/>
      </bottom>
      <diagonal/>
    </border>
  </borders>
  <cellStyleXfs count="13">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20" fillId="0" borderId="0"/>
    <xf numFmtId="43"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5" fontId="7" fillId="0" borderId="3">
      <alignment horizontal="center" vertical="center"/>
    </xf>
    <xf numFmtId="164" fontId="7" fillId="0" borderId="2" applyFill="0">
      <alignment horizontal="center" vertical="center"/>
    </xf>
    <xf numFmtId="0" fontId="7" fillId="0" borderId="2" applyFill="0">
      <alignment horizontal="center" vertical="center"/>
    </xf>
    <xf numFmtId="0" fontId="7" fillId="0" borderId="2" applyFill="0">
      <alignment horizontal="left" vertical="center" indent="2"/>
    </xf>
  </cellStyleXfs>
  <cellXfs count="92">
    <xf numFmtId="0" fontId="0" fillId="0" borderId="0" xfId="0"/>
    <xf numFmtId="0" fontId="2" fillId="0" borderId="0" xfId="0" applyFont="1"/>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0" borderId="1" xfId="0" applyFont="1" applyFill="1" applyBorder="1" applyAlignment="1">
      <alignment horizontal="center" vertical="center" wrapText="1"/>
    </xf>
    <xf numFmtId="167" fontId="9" fillId="5" borderId="6" xfId="0" applyNumberFormat="1" applyFont="1" applyFill="1" applyBorder="1" applyAlignment="1">
      <alignment horizontal="center" vertical="center"/>
    </xf>
    <xf numFmtId="167" fontId="9" fillId="5" borderId="7" xfId="0" applyNumberFormat="1" applyFont="1" applyFill="1" applyBorder="1" applyAlignment="1">
      <alignment horizontal="center" vertical="center"/>
    </xf>
    <xf numFmtId="0" fontId="10" fillId="9" borderId="8" xfId="0" applyFont="1" applyFill="1" applyBorder="1" applyAlignment="1">
      <alignment horizontal="center" vertical="center" shrinkToFit="1"/>
    </xf>
    <xf numFmtId="0" fontId="12" fillId="0" borderId="0" xfId="0" applyFont="1"/>
    <xf numFmtId="0" fontId="13" fillId="0" borderId="0" xfId="1" applyFont="1" applyAlignment="1" applyProtection="1"/>
    <xf numFmtId="0" fontId="4" fillId="0" borderId="2" xfId="0" applyFont="1" applyBorder="1" applyAlignment="1">
      <alignment horizontal="center" vertical="center"/>
    </xf>
    <xf numFmtId="9" fontId="4"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4" fillId="6" borderId="2" xfId="0" applyNumberFormat="1" applyFont="1" applyFill="1" applyBorder="1" applyAlignment="1">
      <alignment horizontal="center" vertical="center"/>
    </xf>
    <xf numFmtId="9" fontId="4" fillId="2" borderId="2" xfId="2" applyFont="1" applyFill="1" applyBorder="1" applyAlignment="1">
      <alignment horizontal="center" vertical="center"/>
    </xf>
    <xf numFmtId="9" fontId="4"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4" fillId="7" borderId="2" xfId="0" applyNumberFormat="1" applyFont="1" applyFill="1" applyBorder="1" applyAlignment="1">
      <alignment horizontal="center" vertical="center"/>
    </xf>
    <xf numFmtId="9" fontId="4" fillId="3" borderId="2" xfId="2" applyFont="1" applyFill="1" applyBorder="1" applyAlignment="1">
      <alignment horizontal="center" vertical="center"/>
    </xf>
    <xf numFmtId="9" fontId="4"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4" fillId="4" borderId="2" xfId="0" applyNumberFormat="1" applyFont="1" applyFill="1" applyBorder="1" applyAlignment="1">
      <alignment horizontal="center" vertical="center"/>
    </xf>
    <xf numFmtId="9" fontId="4" fillId="8"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vertical="top"/>
    </xf>
    <xf numFmtId="0" fontId="14" fillId="0" borderId="0" xfId="0" applyFont="1" applyAlignment="1">
      <alignment horizontal="left" vertical="center"/>
    </xf>
    <xf numFmtId="0" fontId="15" fillId="0" borderId="0" xfId="0" applyFont="1" applyAlignment="1">
      <alignment horizontal="left" vertical="center"/>
    </xf>
    <xf numFmtId="0" fontId="17" fillId="0" borderId="0" xfId="0" applyFont="1"/>
    <xf numFmtId="0" fontId="19" fillId="0" borderId="0" xfId="0" applyFont="1" applyAlignment="1">
      <alignment vertical="center"/>
    </xf>
    <xf numFmtId="0" fontId="18" fillId="0" borderId="0" xfId="0" applyFont="1" applyAlignment="1">
      <alignment horizontal="left" vertical="top" wrapText="1" indent="1"/>
    </xf>
    <xf numFmtId="0" fontId="2" fillId="0" borderId="0" xfId="0" applyFont="1" applyAlignment="1">
      <alignment horizontal="left" vertical="top"/>
    </xf>
    <xf numFmtId="0" fontId="16"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0" fillId="0" borderId="0" xfId="3"/>
    <xf numFmtId="0" fontId="20" fillId="0" borderId="0" xfId="3" applyAlignment="1">
      <alignment wrapText="1"/>
    </xf>
    <xf numFmtId="0" fontId="20" fillId="0" borderId="0" xfId="0" applyFont="1" applyAlignment="1">
      <alignment horizontal="center"/>
    </xf>
    <xf numFmtId="0" fontId="7" fillId="0" borderId="7" xfId="8" applyBorder="1">
      <alignment horizontal="right" indent="1"/>
    </xf>
    <xf numFmtId="0" fontId="0" fillId="0" borderId="10" xfId="0" applyBorder="1"/>
    <xf numFmtId="166" fontId="0" fillId="5" borderId="4" xfId="0" applyNumberFormat="1" applyFill="1" applyBorder="1" applyAlignment="1">
      <alignment horizontal="left" vertical="center" wrapText="1" indent="1"/>
    </xf>
    <xf numFmtId="166" fontId="0" fillId="5" borderId="1" xfId="0" applyNumberFormat="1" applyFill="1" applyBorder="1" applyAlignment="1">
      <alignment horizontal="left" vertical="center" wrapText="1" indent="1"/>
    </xf>
    <xf numFmtId="166" fontId="0" fillId="5" borderId="5" xfId="0" applyNumberFormat="1" applyFill="1" applyBorder="1" applyAlignment="1">
      <alignment horizontal="left" vertical="center" wrapText="1" indent="1"/>
    </xf>
    <xf numFmtId="0" fontId="11" fillId="0" borderId="11" xfId="5" applyBorder="1" applyAlignment="1">
      <alignment horizontal="left"/>
    </xf>
    <xf numFmtId="0" fontId="1" fillId="0" borderId="12" xfId="0" applyFont="1" applyBorder="1" applyAlignment="1">
      <alignment horizontal="left"/>
    </xf>
    <xf numFmtId="0" fontId="2" fillId="0" borderId="12" xfId="0" applyFont="1" applyBorder="1"/>
    <xf numFmtId="0" fontId="2" fillId="0" borderId="12" xfId="0" applyFont="1" applyBorder="1" applyAlignment="1">
      <alignment horizontal="center"/>
    </xf>
    <xf numFmtId="0" fontId="2" fillId="0" borderId="12" xfId="0" applyFont="1" applyBorder="1" applyAlignment="1">
      <alignment horizontal="center" vertical="center"/>
    </xf>
    <xf numFmtId="0" fontId="0" fillId="0" borderId="12" xfId="0" applyBorder="1"/>
    <xf numFmtId="0" fontId="12" fillId="0" borderId="12" xfId="0" applyFont="1" applyBorder="1"/>
    <xf numFmtId="0" fontId="0" fillId="0" borderId="13" xfId="0" applyBorder="1"/>
    <xf numFmtId="0" fontId="8" fillId="0" borderId="14" xfId="6" applyBorder="1"/>
    <xf numFmtId="0" fontId="0" fillId="0" borderId="0" xfId="0" applyBorder="1"/>
    <xf numFmtId="0" fontId="0" fillId="0" borderId="0" xfId="0" applyBorder="1" applyAlignment="1">
      <alignment horizontal="center"/>
    </xf>
    <xf numFmtId="0" fontId="13" fillId="0" borderId="0" xfId="1" applyFont="1" applyBorder="1" applyProtection="1">
      <alignment vertical="top"/>
    </xf>
    <xf numFmtId="0" fontId="0" fillId="0" borderId="15" xfId="0" applyBorder="1"/>
    <xf numFmtId="0" fontId="8" fillId="0" borderId="14" xfId="7" applyBorder="1">
      <alignment vertical="top"/>
    </xf>
    <xf numFmtId="0" fontId="7" fillId="0" borderId="0" xfId="8" applyBorder="1">
      <alignment horizontal="right" indent="1"/>
    </xf>
    <xf numFmtId="165" fontId="7" fillId="0" borderId="3" xfId="9" applyBorder="1">
      <alignment horizontal="center" vertical="center"/>
    </xf>
    <xf numFmtId="0" fontId="0" fillId="0" borderId="14" xfId="0" applyBorder="1"/>
    <xf numFmtId="166" fontId="0" fillId="5" borderId="16" xfId="0" applyNumberFormat="1" applyFill="1" applyBorder="1" applyAlignment="1">
      <alignment horizontal="left" vertical="center" wrapText="1" indent="1"/>
    </xf>
    <xf numFmtId="0" fontId="0" fillId="0" borderId="17" xfId="0" applyBorder="1"/>
    <xf numFmtId="167" fontId="9" fillId="5" borderId="0" xfId="0" applyNumberFormat="1" applyFont="1" applyFill="1" applyBorder="1" applyAlignment="1">
      <alignment horizontal="center" vertical="center"/>
    </xf>
    <xf numFmtId="167" fontId="9" fillId="5" borderId="15" xfId="0" applyNumberFormat="1" applyFont="1" applyFill="1" applyBorder="1" applyAlignment="1">
      <alignment horizontal="center" vertical="center"/>
    </xf>
    <xf numFmtId="0" fontId="6" fillId="10" borderId="18" xfId="0" applyFont="1" applyFill="1" applyBorder="1" applyAlignment="1">
      <alignment horizontal="left" vertical="center" indent="1"/>
    </xf>
    <xf numFmtId="0" fontId="10" fillId="9" borderId="19" xfId="0" applyFont="1" applyFill="1" applyBorder="1" applyAlignment="1">
      <alignment horizontal="center" vertical="center" shrinkToFit="1"/>
    </xf>
    <xf numFmtId="0" fontId="0" fillId="0" borderId="0" xfId="0" applyBorder="1" applyAlignment="1">
      <alignment wrapText="1"/>
    </xf>
    <xf numFmtId="0" fontId="0" fillId="0" borderId="20" xfId="0" applyBorder="1" applyAlignment="1">
      <alignment vertical="center"/>
    </xf>
    <xf numFmtId="0" fontId="5" fillId="6" borderId="21" xfId="0" applyFont="1" applyFill="1" applyBorder="1" applyAlignment="1">
      <alignment horizontal="left" vertical="center" indent="1"/>
    </xf>
    <xf numFmtId="0" fontId="7" fillId="6" borderId="2" xfId="11" applyFill="1" applyBorder="1">
      <alignment horizontal="center" vertical="center"/>
    </xf>
    <xf numFmtId="0" fontId="7" fillId="2" borderId="21" xfId="12" applyFill="1" applyBorder="1">
      <alignment horizontal="left" vertical="center" indent="2"/>
    </xf>
    <xf numFmtId="0" fontId="7" fillId="2" borderId="2" xfId="11" applyFill="1" applyBorder="1">
      <alignment horizontal="center" vertical="center"/>
    </xf>
    <xf numFmtId="164" fontId="7" fillId="2" borderId="2" xfId="10" applyFill="1" applyBorder="1">
      <alignment horizontal="center" vertical="center"/>
    </xf>
    <xf numFmtId="0" fontId="5" fillId="7" borderId="21" xfId="0" applyFont="1" applyFill="1" applyBorder="1" applyAlignment="1">
      <alignment horizontal="left" vertical="center" indent="1"/>
    </xf>
    <xf numFmtId="0" fontId="7" fillId="7" borderId="2" xfId="11" applyFill="1" applyBorder="1">
      <alignment horizontal="center" vertical="center"/>
    </xf>
    <xf numFmtId="0" fontId="7" fillId="3" borderId="21" xfId="12" applyFill="1" applyBorder="1">
      <alignment horizontal="left" vertical="center" indent="2"/>
    </xf>
    <xf numFmtId="0" fontId="7" fillId="3" borderId="2" xfId="11" applyFill="1" applyBorder="1">
      <alignment horizontal="center" vertical="center"/>
    </xf>
    <xf numFmtId="164" fontId="7" fillId="3" borderId="2" xfId="10" applyFill="1" applyBorder="1">
      <alignment horizontal="center" vertical="center"/>
    </xf>
    <xf numFmtId="0" fontId="5" fillId="4" borderId="21" xfId="0" applyFont="1" applyFill="1" applyBorder="1" applyAlignment="1">
      <alignment horizontal="left" vertical="center" indent="1"/>
    </xf>
    <xf numFmtId="0" fontId="7" fillId="4" borderId="2" xfId="11" applyFill="1" applyBorder="1">
      <alignment horizontal="center" vertical="center"/>
    </xf>
    <xf numFmtId="0" fontId="7" fillId="8" borderId="21" xfId="12" applyFill="1" applyBorder="1">
      <alignment horizontal="left" vertical="center" indent="2"/>
    </xf>
    <xf numFmtId="0" fontId="7" fillId="8" borderId="2" xfId="11" applyFill="1" applyBorder="1">
      <alignment horizontal="center" vertical="center"/>
    </xf>
    <xf numFmtId="164" fontId="7" fillId="8" borderId="2" xfId="10" applyFill="1" applyBorder="1">
      <alignment horizontal="center" vertical="center"/>
    </xf>
    <xf numFmtId="0" fontId="7" fillId="8" borderId="22" xfId="12" applyFill="1" applyBorder="1">
      <alignment horizontal="left" vertical="center" indent="2"/>
    </xf>
    <xf numFmtId="0" fontId="7" fillId="8" borderId="23" xfId="11" applyFill="1" applyBorder="1">
      <alignment horizontal="center" vertical="center"/>
    </xf>
    <xf numFmtId="9" fontId="4" fillId="8" borderId="23" xfId="2" applyFont="1" applyFill="1" applyBorder="1" applyAlignment="1">
      <alignment horizontal="center" vertical="center"/>
    </xf>
    <xf numFmtId="164" fontId="7" fillId="8" borderId="23" xfId="10" applyFill="1" applyBorder="1">
      <alignment horizontal="center" vertical="center"/>
    </xf>
    <xf numFmtId="0" fontId="4" fillId="0" borderId="23" xfId="0" applyFont="1" applyBorder="1" applyAlignment="1">
      <alignment horizontal="center" vertical="center"/>
    </xf>
    <xf numFmtId="0" fontId="0" fillId="0" borderId="24" xfId="0" applyBorder="1" applyAlignment="1">
      <alignment vertical="center"/>
    </xf>
    <xf numFmtId="0" fontId="0" fillId="0" borderId="25" xfId="0"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X24"/>
  <sheetViews>
    <sheetView showGridLines="0" tabSelected="1" showRuler="0" zoomScaleNormal="100" zoomScalePageLayoutView="70" workbookViewId="0">
      <pane ySplit="6" topLeftCell="A8" activePane="bottomLeft" state="frozen"/>
      <selection pane="bottomLeft" activeCell="B3" sqref="B3"/>
    </sheetView>
  </sheetViews>
  <sheetFormatPr defaultRowHeight="30" customHeight="1" x14ac:dyDescent="0.25"/>
  <cols>
    <col min="1" max="1" width="2.7109375" style="37" customWidth="1"/>
    <col min="2" max="2" width="23.85546875" customWidth="1"/>
    <col min="3" max="3" width="30.7109375" customWidth="1"/>
    <col min="4" max="4" width="10.7109375" customWidth="1"/>
    <col min="5" max="5" width="10.42578125" style="3" customWidth="1"/>
    <col min="6" max="6" width="10.42578125" customWidth="1"/>
    <col min="7" max="7" width="2.7109375" customWidth="1"/>
    <col min="8" max="8" width="6.140625" hidden="1" customWidth="1"/>
    <col min="9" max="50" width="2.5703125" customWidth="1"/>
    <col min="55" max="56" width="10.28515625"/>
  </cols>
  <sheetData>
    <row r="1" spans="1:50" ht="30" customHeight="1" x14ac:dyDescent="0.45">
      <c r="A1" s="38" t="s">
        <v>26</v>
      </c>
      <c r="B1" s="45" t="s">
        <v>35</v>
      </c>
      <c r="C1" s="46"/>
      <c r="D1" s="47"/>
      <c r="E1" s="48"/>
      <c r="F1" s="49"/>
      <c r="G1" s="50"/>
      <c r="H1" s="47"/>
      <c r="I1" s="51"/>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2"/>
    </row>
    <row r="2" spans="1:50" ht="30" customHeight="1" x14ac:dyDescent="0.3">
      <c r="A2" s="37" t="s">
        <v>23</v>
      </c>
      <c r="B2" s="53" t="s">
        <v>36</v>
      </c>
      <c r="C2" s="54"/>
      <c r="D2" s="54"/>
      <c r="E2" s="55"/>
      <c r="F2" s="54"/>
      <c r="G2" s="54"/>
      <c r="H2" s="54"/>
      <c r="I2" s="56"/>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7"/>
    </row>
    <row r="3" spans="1:50" ht="30" customHeight="1" x14ac:dyDescent="0.25">
      <c r="A3" s="37" t="s">
        <v>27</v>
      </c>
      <c r="B3" s="58"/>
      <c r="C3" s="59" t="s">
        <v>0</v>
      </c>
      <c r="D3" s="40"/>
      <c r="E3" s="60">
        <v>38504</v>
      </c>
      <c r="F3" s="60"/>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7"/>
    </row>
    <row r="4" spans="1:50" ht="30" customHeight="1" x14ac:dyDescent="0.25">
      <c r="A4" s="38" t="s">
        <v>28</v>
      </c>
      <c r="B4" s="61"/>
      <c r="C4" s="59" t="s">
        <v>7</v>
      </c>
      <c r="D4" s="40"/>
      <c r="E4" s="5">
        <v>1</v>
      </c>
      <c r="F4" s="54"/>
      <c r="G4" s="54"/>
      <c r="H4" s="54"/>
      <c r="I4" s="42">
        <f>I5</f>
        <v>38502</v>
      </c>
      <c r="J4" s="43"/>
      <c r="K4" s="43"/>
      <c r="L4" s="43"/>
      <c r="M4" s="43"/>
      <c r="N4" s="43"/>
      <c r="O4" s="44"/>
      <c r="P4" s="42">
        <f>P5</f>
        <v>38509</v>
      </c>
      <c r="Q4" s="43"/>
      <c r="R4" s="43"/>
      <c r="S4" s="43"/>
      <c r="T4" s="43"/>
      <c r="U4" s="43"/>
      <c r="V4" s="44"/>
      <c r="W4" s="42">
        <f>W5</f>
        <v>38516</v>
      </c>
      <c r="X4" s="43"/>
      <c r="Y4" s="43"/>
      <c r="Z4" s="43"/>
      <c r="AA4" s="43"/>
      <c r="AB4" s="43"/>
      <c r="AC4" s="44"/>
      <c r="AD4" s="42">
        <f>AD5</f>
        <v>38523</v>
      </c>
      <c r="AE4" s="43"/>
      <c r="AF4" s="43"/>
      <c r="AG4" s="43"/>
      <c r="AH4" s="43"/>
      <c r="AI4" s="43"/>
      <c r="AJ4" s="44"/>
      <c r="AK4" s="42">
        <f>AK5</f>
        <v>38530</v>
      </c>
      <c r="AL4" s="43"/>
      <c r="AM4" s="43"/>
      <c r="AN4" s="43"/>
      <c r="AO4" s="43"/>
      <c r="AP4" s="43"/>
      <c r="AQ4" s="44"/>
      <c r="AR4" s="42">
        <f>AR5</f>
        <v>38537</v>
      </c>
      <c r="AS4" s="43"/>
      <c r="AT4" s="43"/>
      <c r="AU4" s="43"/>
      <c r="AV4" s="43"/>
      <c r="AW4" s="43"/>
      <c r="AX4" s="62"/>
    </row>
    <row r="5" spans="1:50" ht="15" customHeight="1" x14ac:dyDescent="0.25">
      <c r="A5" s="38" t="s">
        <v>29</v>
      </c>
      <c r="B5" s="63"/>
      <c r="C5" s="41"/>
      <c r="D5" s="41"/>
      <c r="E5" s="41"/>
      <c r="F5" s="41"/>
      <c r="G5" s="41"/>
      <c r="H5" s="54"/>
      <c r="I5" s="7">
        <f>Project_Start-WEEKDAY(Project_Start,1)+2+7*(Display_Week-1)</f>
        <v>38502</v>
      </c>
      <c r="J5" s="64">
        <f>I5+1</f>
        <v>38503</v>
      </c>
      <c r="K5" s="64">
        <f t="shared" ref="K5:AX5" si="0">J5+1</f>
        <v>38504</v>
      </c>
      <c r="L5" s="64">
        <f t="shared" si="0"/>
        <v>38505</v>
      </c>
      <c r="M5" s="64">
        <f t="shared" si="0"/>
        <v>38506</v>
      </c>
      <c r="N5" s="64">
        <f t="shared" si="0"/>
        <v>38507</v>
      </c>
      <c r="O5" s="8">
        <f t="shared" si="0"/>
        <v>38508</v>
      </c>
      <c r="P5" s="7">
        <f>O5+1</f>
        <v>38509</v>
      </c>
      <c r="Q5" s="64">
        <f>P5+1</f>
        <v>38510</v>
      </c>
      <c r="R5" s="64">
        <f t="shared" si="0"/>
        <v>38511</v>
      </c>
      <c r="S5" s="64">
        <f t="shared" si="0"/>
        <v>38512</v>
      </c>
      <c r="T5" s="64">
        <f t="shared" si="0"/>
        <v>38513</v>
      </c>
      <c r="U5" s="64">
        <f t="shared" si="0"/>
        <v>38514</v>
      </c>
      <c r="V5" s="8">
        <f t="shared" si="0"/>
        <v>38515</v>
      </c>
      <c r="W5" s="7">
        <f>V5+1</f>
        <v>38516</v>
      </c>
      <c r="X5" s="64">
        <f>W5+1</f>
        <v>38517</v>
      </c>
      <c r="Y5" s="64">
        <f t="shared" si="0"/>
        <v>38518</v>
      </c>
      <c r="Z5" s="64">
        <f t="shared" si="0"/>
        <v>38519</v>
      </c>
      <c r="AA5" s="64">
        <f t="shared" si="0"/>
        <v>38520</v>
      </c>
      <c r="AB5" s="64">
        <f t="shared" si="0"/>
        <v>38521</v>
      </c>
      <c r="AC5" s="8">
        <f t="shared" si="0"/>
        <v>38522</v>
      </c>
      <c r="AD5" s="7">
        <f>AC5+1</f>
        <v>38523</v>
      </c>
      <c r="AE5" s="64">
        <f>AD5+1</f>
        <v>38524</v>
      </c>
      <c r="AF5" s="64">
        <f t="shared" si="0"/>
        <v>38525</v>
      </c>
      <c r="AG5" s="64">
        <f t="shared" si="0"/>
        <v>38526</v>
      </c>
      <c r="AH5" s="64">
        <f t="shared" si="0"/>
        <v>38527</v>
      </c>
      <c r="AI5" s="64">
        <f t="shared" si="0"/>
        <v>38528</v>
      </c>
      <c r="AJ5" s="8">
        <f t="shared" si="0"/>
        <v>38529</v>
      </c>
      <c r="AK5" s="7">
        <f>AJ5+1</f>
        <v>38530</v>
      </c>
      <c r="AL5" s="64">
        <f>AK5+1</f>
        <v>38531</v>
      </c>
      <c r="AM5" s="64">
        <f t="shared" si="0"/>
        <v>38532</v>
      </c>
      <c r="AN5" s="64">
        <f t="shared" si="0"/>
        <v>38533</v>
      </c>
      <c r="AO5" s="64">
        <f t="shared" si="0"/>
        <v>38534</v>
      </c>
      <c r="AP5" s="64">
        <f t="shared" si="0"/>
        <v>38535</v>
      </c>
      <c r="AQ5" s="8">
        <f t="shared" si="0"/>
        <v>38536</v>
      </c>
      <c r="AR5" s="7">
        <f>AQ5+1</f>
        <v>38537</v>
      </c>
      <c r="AS5" s="64">
        <f>AR5+1</f>
        <v>38538</v>
      </c>
      <c r="AT5" s="64">
        <f t="shared" si="0"/>
        <v>38539</v>
      </c>
      <c r="AU5" s="64">
        <f t="shared" si="0"/>
        <v>38540</v>
      </c>
      <c r="AV5" s="64">
        <f t="shared" si="0"/>
        <v>38541</v>
      </c>
      <c r="AW5" s="64">
        <f t="shared" si="0"/>
        <v>38542</v>
      </c>
      <c r="AX5" s="65">
        <f t="shared" si="0"/>
        <v>38543</v>
      </c>
    </row>
    <row r="6" spans="1:50" ht="30" customHeight="1" thickBot="1" x14ac:dyDescent="0.3">
      <c r="A6" s="38" t="s">
        <v>30</v>
      </c>
      <c r="B6" s="66" t="s">
        <v>8</v>
      </c>
      <c r="C6" s="6" t="s">
        <v>2</v>
      </c>
      <c r="D6" s="6" t="s">
        <v>1</v>
      </c>
      <c r="E6" s="6" t="s">
        <v>4</v>
      </c>
      <c r="F6" s="6" t="s">
        <v>5</v>
      </c>
      <c r="G6" s="6"/>
      <c r="H6" s="6" t="s">
        <v>6</v>
      </c>
      <c r="I6" s="9" t="str">
        <f t="shared" ref="I6" si="1">LEFT(TEXT(I5,"ddd"),1)</f>
        <v>M</v>
      </c>
      <c r="J6" s="9" t="str">
        <f t="shared" ref="J6:AR6" si="2">LEFT(TEXT(J5,"ddd"),1)</f>
        <v>T</v>
      </c>
      <c r="K6" s="9" t="str">
        <f t="shared" si="2"/>
        <v>W</v>
      </c>
      <c r="L6" s="9" t="str">
        <f t="shared" si="2"/>
        <v>T</v>
      </c>
      <c r="M6" s="9" t="str">
        <f t="shared" si="2"/>
        <v>F</v>
      </c>
      <c r="N6" s="9" t="str">
        <f t="shared" si="2"/>
        <v>S</v>
      </c>
      <c r="O6" s="9" t="str">
        <f t="shared" si="2"/>
        <v>S</v>
      </c>
      <c r="P6" s="9" t="str">
        <f t="shared" si="2"/>
        <v>M</v>
      </c>
      <c r="Q6" s="9" t="str">
        <f t="shared" si="2"/>
        <v>T</v>
      </c>
      <c r="R6" s="9" t="str">
        <f t="shared" si="2"/>
        <v>W</v>
      </c>
      <c r="S6" s="9" t="str">
        <f t="shared" si="2"/>
        <v>T</v>
      </c>
      <c r="T6" s="9" t="str">
        <f t="shared" si="2"/>
        <v>F</v>
      </c>
      <c r="U6" s="9" t="str">
        <f t="shared" si="2"/>
        <v>S</v>
      </c>
      <c r="V6" s="9" t="str">
        <f t="shared" si="2"/>
        <v>S</v>
      </c>
      <c r="W6" s="9" t="str">
        <f t="shared" si="2"/>
        <v>M</v>
      </c>
      <c r="X6" s="9" t="str">
        <f t="shared" si="2"/>
        <v>T</v>
      </c>
      <c r="Y6" s="9" t="str">
        <f t="shared" si="2"/>
        <v>W</v>
      </c>
      <c r="Z6" s="9" t="str">
        <f t="shared" si="2"/>
        <v>T</v>
      </c>
      <c r="AA6" s="9" t="str">
        <f t="shared" si="2"/>
        <v>F</v>
      </c>
      <c r="AB6" s="9" t="str">
        <f t="shared" si="2"/>
        <v>S</v>
      </c>
      <c r="AC6" s="9" t="str">
        <f t="shared" si="2"/>
        <v>S</v>
      </c>
      <c r="AD6" s="9" t="str">
        <f t="shared" si="2"/>
        <v>M</v>
      </c>
      <c r="AE6" s="9" t="str">
        <f t="shared" si="2"/>
        <v>T</v>
      </c>
      <c r="AF6" s="9" t="str">
        <f t="shared" si="2"/>
        <v>W</v>
      </c>
      <c r="AG6" s="9" t="str">
        <f t="shared" si="2"/>
        <v>T</v>
      </c>
      <c r="AH6" s="9" t="str">
        <f t="shared" si="2"/>
        <v>F</v>
      </c>
      <c r="AI6" s="9" t="str">
        <f t="shared" si="2"/>
        <v>S</v>
      </c>
      <c r="AJ6" s="9" t="str">
        <f t="shared" si="2"/>
        <v>S</v>
      </c>
      <c r="AK6" s="9" t="str">
        <f t="shared" si="2"/>
        <v>M</v>
      </c>
      <c r="AL6" s="9" t="str">
        <f t="shared" si="2"/>
        <v>T</v>
      </c>
      <c r="AM6" s="9" t="str">
        <f t="shared" si="2"/>
        <v>W</v>
      </c>
      <c r="AN6" s="9" t="str">
        <f t="shared" si="2"/>
        <v>T</v>
      </c>
      <c r="AO6" s="9" t="str">
        <f t="shared" si="2"/>
        <v>F</v>
      </c>
      <c r="AP6" s="9" t="str">
        <f t="shared" si="2"/>
        <v>S</v>
      </c>
      <c r="AQ6" s="9" t="str">
        <f t="shared" si="2"/>
        <v>S</v>
      </c>
      <c r="AR6" s="9" t="str">
        <f t="shared" si="2"/>
        <v>M</v>
      </c>
      <c r="AS6" s="9" t="str">
        <f t="shared" ref="AS6:AX6" si="3">LEFT(TEXT(AS5,"ddd"),1)</f>
        <v>T</v>
      </c>
      <c r="AT6" s="9" t="str">
        <f t="shared" si="3"/>
        <v>W</v>
      </c>
      <c r="AU6" s="9" t="str">
        <f t="shared" si="3"/>
        <v>T</v>
      </c>
      <c r="AV6" s="9" t="str">
        <f t="shared" si="3"/>
        <v>F</v>
      </c>
      <c r="AW6" s="9" t="str">
        <f t="shared" si="3"/>
        <v>S</v>
      </c>
      <c r="AX6" s="67" t="str">
        <f t="shared" si="3"/>
        <v>S</v>
      </c>
    </row>
    <row r="7" spans="1:50" ht="30" hidden="1" customHeight="1" thickBot="1" x14ac:dyDescent="0.3">
      <c r="A7" s="37" t="s">
        <v>25</v>
      </c>
      <c r="B7" s="61"/>
      <c r="C7" s="68"/>
      <c r="D7" s="54"/>
      <c r="E7" s="54"/>
      <c r="F7" s="54"/>
      <c r="G7" s="54"/>
      <c r="H7" s="54" t="str">
        <f>IF(OR(ISBLANK(task_start),ISBLANK(task_end)),"",task_end-task_start+1)</f>
        <v/>
      </c>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69"/>
    </row>
    <row r="8" spans="1:50" s="2" customFormat="1" ht="30" customHeight="1" thickBot="1" x14ac:dyDescent="0.3">
      <c r="A8" s="38" t="s">
        <v>31</v>
      </c>
      <c r="B8" s="70" t="s">
        <v>37</v>
      </c>
      <c r="C8" s="71"/>
      <c r="D8" s="13"/>
      <c r="E8" s="14"/>
      <c r="F8" s="15"/>
      <c r="G8" s="12"/>
      <c r="H8" s="12" t="str">
        <f t="shared" ref="H8:H21" si="4">IF(OR(ISBLANK(task_start),ISBLANK(task_end)),"",task_end-task_start+1)</f>
        <v/>
      </c>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69"/>
    </row>
    <row r="9" spans="1:50" s="2" customFormat="1" ht="30" customHeight="1" thickBot="1" x14ac:dyDescent="0.3">
      <c r="A9" s="38" t="s">
        <v>32</v>
      </c>
      <c r="B9" s="72" t="s">
        <v>38</v>
      </c>
      <c r="C9" s="73" t="s">
        <v>39</v>
      </c>
      <c r="D9" s="16">
        <v>0.1</v>
      </c>
      <c r="E9" s="74">
        <v>38502</v>
      </c>
      <c r="F9" s="74">
        <f>E9+3</f>
        <v>38505</v>
      </c>
      <c r="G9" s="12"/>
      <c r="H9" s="12">
        <f t="shared" si="4"/>
        <v>4</v>
      </c>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69"/>
    </row>
    <row r="10" spans="1:50" s="2" customFormat="1" ht="30" customHeight="1" thickBot="1" x14ac:dyDescent="0.3">
      <c r="A10" s="38" t="s">
        <v>33</v>
      </c>
      <c r="B10" s="72" t="s">
        <v>40</v>
      </c>
      <c r="C10" s="73" t="s">
        <v>39</v>
      </c>
      <c r="D10" s="16">
        <v>0.45</v>
      </c>
      <c r="E10" s="74">
        <v>38509</v>
      </c>
      <c r="F10" s="74">
        <f>E10+2</f>
        <v>38511</v>
      </c>
      <c r="G10" s="12"/>
      <c r="H10" s="12">
        <f t="shared" si="4"/>
        <v>3</v>
      </c>
      <c r="I10" s="25"/>
      <c r="J10" s="25"/>
      <c r="K10" s="25"/>
      <c r="L10" s="25"/>
      <c r="M10" s="25"/>
      <c r="N10" s="25"/>
      <c r="O10" s="25"/>
      <c r="P10" s="25"/>
      <c r="Q10" s="25"/>
      <c r="R10" s="25"/>
      <c r="S10" s="25"/>
      <c r="T10" s="25"/>
      <c r="U10" s="26"/>
      <c r="V10" s="26"/>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69"/>
    </row>
    <row r="11" spans="1:50" s="2" customFormat="1" ht="30" customHeight="1" thickBot="1" x14ac:dyDescent="0.3">
      <c r="A11" s="37"/>
      <c r="B11" s="72" t="s">
        <v>41</v>
      </c>
      <c r="C11" s="73" t="s">
        <v>39</v>
      </c>
      <c r="D11" s="16">
        <v>0.45</v>
      </c>
      <c r="E11" s="74">
        <v>38516</v>
      </c>
      <c r="F11" s="74">
        <f>E11+4</f>
        <v>38520</v>
      </c>
      <c r="G11" s="12"/>
      <c r="H11" s="12">
        <f t="shared" si="4"/>
        <v>5</v>
      </c>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69"/>
    </row>
    <row r="12" spans="1:50" s="2" customFormat="1" ht="30" customHeight="1" thickBot="1" x14ac:dyDescent="0.3">
      <c r="A12" s="38" t="s">
        <v>34</v>
      </c>
      <c r="B12" s="75" t="s">
        <v>42</v>
      </c>
      <c r="C12" s="76"/>
      <c r="D12" s="17" t="s">
        <v>47</v>
      </c>
      <c r="E12" s="18"/>
      <c r="F12" s="19"/>
      <c r="G12" s="12"/>
      <c r="H12" s="12" t="str">
        <f t="shared" si="4"/>
        <v/>
      </c>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69"/>
    </row>
    <row r="13" spans="1:50" s="2" customFormat="1" ht="30" customHeight="1" thickBot="1" x14ac:dyDescent="0.3">
      <c r="A13" s="38"/>
      <c r="B13" s="77" t="s">
        <v>38</v>
      </c>
      <c r="C13" s="78" t="s">
        <v>48</v>
      </c>
      <c r="D13" s="20">
        <v>0.1</v>
      </c>
      <c r="E13" s="79">
        <v>38509</v>
      </c>
      <c r="F13" s="79">
        <f>E13+4</f>
        <v>38513</v>
      </c>
      <c r="G13" s="12"/>
      <c r="H13" s="12">
        <f t="shared" si="4"/>
        <v>5</v>
      </c>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69"/>
    </row>
    <row r="14" spans="1:50" s="2" customFormat="1" ht="30" customHeight="1" thickBot="1" x14ac:dyDescent="0.3">
      <c r="A14" s="37"/>
      <c r="B14" s="77" t="s">
        <v>40</v>
      </c>
      <c r="C14" s="78" t="s">
        <v>48</v>
      </c>
      <c r="D14" s="20">
        <v>0.45</v>
      </c>
      <c r="E14" s="79">
        <v>38516</v>
      </c>
      <c r="F14" s="79">
        <f>E14+5</f>
        <v>38521</v>
      </c>
      <c r="G14" s="12"/>
      <c r="H14" s="12">
        <f t="shared" si="4"/>
        <v>6</v>
      </c>
      <c r="I14" s="25"/>
      <c r="J14" s="25"/>
      <c r="K14" s="25"/>
      <c r="L14" s="25"/>
      <c r="M14" s="25"/>
      <c r="N14" s="25"/>
      <c r="O14" s="25"/>
      <c r="P14" s="25"/>
      <c r="Q14" s="25"/>
      <c r="R14" s="25"/>
      <c r="S14" s="25"/>
      <c r="T14" s="25"/>
      <c r="U14" s="26"/>
      <c r="V14" s="26"/>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69"/>
    </row>
    <row r="15" spans="1:50" s="2" customFormat="1" ht="30" customHeight="1" thickBot="1" x14ac:dyDescent="0.3">
      <c r="A15" s="37"/>
      <c r="B15" s="77" t="s">
        <v>41</v>
      </c>
      <c r="C15" s="78" t="s">
        <v>48</v>
      </c>
      <c r="D15" s="20">
        <v>0.45</v>
      </c>
      <c r="E15" s="79">
        <v>38523</v>
      </c>
      <c r="F15" s="79">
        <f>E15+3</f>
        <v>38526</v>
      </c>
      <c r="G15" s="12"/>
      <c r="H15" s="12">
        <f t="shared" si="4"/>
        <v>4</v>
      </c>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69"/>
    </row>
    <row r="16" spans="1:50" s="2" customFormat="1" ht="30" customHeight="1" thickBot="1" x14ac:dyDescent="0.3">
      <c r="A16" s="37" t="s">
        <v>24</v>
      </c>
      <c r="B16" s="80" t="s">
        <v>43</v>
      </c>
      <c r="C16" s="81"/>
      <c r="D16" s="21"/>
      <c r="E16" s="22"/>
      <c r="F16" s="23"/>
      <c r="G16" s="12"/>
      <c r="H16" s="12" t="str">
        <f t="shared" si="4"/>
        <v/>
      </c>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69"/>
    </row>
    <row r="17" spans="1:50" s="2" customFormat="1" ht="30" customHeight="1" thickBot="1" x14ac:dyDescent="0.3">
      <c r="A17" s="37"/>
      <c r="B17" s="82" t="s">
        <v>44</v>
      </c>
      <c r="C17" s="83" t="s">
        <v>49</v>
      </c>
      <c r="D17" s="24">
        <v>0.4</v>
      </c>
      <c r="E17" s="84">
        <f>E9+15</f>
        <v>38517</v>
      </c>
      <c r="F17" s="84">
        <v>38536</v>
      </c>
      <c r="G17" s="12"/>
      <c r="H17" s="12">
        <f t="shared" si="4"/>
        <v>20</v>
      </c>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69"/>
    </row>
    <row r="18" spans="1:50" s="2" customFormat="1" ht="30" customHeight="1" thickBot="1" x14ac:dyDescent="0.3">
      <c r="A18" s="37"/>
      <c r="B18" s="82" t="s">
        <v>45</v>
      </c>
      <c r="C18" s="83" t="s">
        <v>50</v>
      </c>
      <c r="D18" s="24">
        <v>0.15</v>
      </c>
      <c r="E18" s="84">
        <v>38517</v>
      </c>
      <c r="F18" s="84">
        <f>E18+4</f>
        <v>38521</v>
      </c>
      <c r="G18" s="12"/>
      <c r="H18" s="12">
        <f t="shared" si="4"/>
        <v>5</v>
      </c>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69"/>
    </row>
    <row r="19" spans="1:50" s="2" customFormat="1" ht="30" customHeight="1" thickBot="1" x14ac:dyDescent="0.3">
      <c r="A19" s="37"/>
      <c r="B19" s="82" t="s">
        <v>46</v>
      </c>
      <c r="C19" s="83" t="s">
        <v>51</v>
      </c>
      <c r="D19" s="24">
        <v>0.15</v>
      </c>
      <c r="E19" s="84">
        <v>38523</v>
      </c>
      <c r="F19" s="84">
        <f>E19+5</f>
        <v>38528</v>
      </c>
      <c r="G19" s="12"/>
      <c r="H19" s="12">
        <f t="shared" si="4"/>
        <v>6</v>
      </c>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69"/>
    </row>
    <row r="20" spans="1:50" s="2" customFormat="1" ht="30" customHeight="1" thickBot="1" x14ac:dyDescent="0.3">
      <c r="A20" s="37"/>
      <c r="B20" s="82" t="s">
        <v>52</v>
      </c>
      <c r="C20" s="83" t="s">
        <v>53</v>
      </c>
      <c r="D20" s="24">
        <v>0.2</v>
      </c>
      <c r="E20" s="84">
        <f>F19+1</f>
        <v>38529</v>
      </c>
      <c r="F20" s="84">
        <f>E20+4</f>
        <v>38533</v>
      </c>
      <c r="G20" s="12"/>
      <c r="H20" s="12">
        <f t="shared" si="4"/>
        <v>5</v>
      </c>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69"/>
    </row>
    <row r="21" spans="1:50" s="2" customFormat="1" ht="30" customHeight="1" thickBot="1" x14ac:dyDescent="0.3">
      <c r="A21" s="37"/>
      <c r="B21" s="85" t="s">
        <v>54</v>
      </c>
      <c r="C21" s="86" t="s">
        <v>55</v>
      </c>
      <c r="D21" s="87">
        <v>0.1</v>
      </c>
      <c r="E21" s="88">
        <v>38538</v>
      </c>
      <c r="F21" s="88">
        <v>38543</v>
      </c>
      <c r="G21" s="89"/>
      <c r="H21" s="89">
        <f t="shared" si="4"/>
        <v>6</v>
      </c>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1"/>
    </row>
    <row r="22" spans="1:50" ht="30" customHeight="1" x14ac:dyDescent="0.25">
      <c r="G22" s="4"/>
    </row>
    <row r="23" spans="1:50" ht="30" customHeight="1" x14ac:dyDescent="0.25">
      <c r="C23" s="10"/>
      <c r="F23" s="39"/>
    </row>
    <row r="24" spans="1:50" ht="30" customHeight="1" x14ac:dyDescent="0.25">
      <c r="C24" s="11"/>
    </row>
  </sheetData>
  <mergeCells count="10">
    <mergeCell ref="E3:F3"/>
    <mergeCell ref="I4:O4"/>
    <mergeCell ref="P4:V4"/>
    <mergeCell ref="W4:AC4"/>
    <mergeCell ref="AD4:AJ4"/>
    <mergeCell ref="C3:D3"/>
    <mergeCell ref="C4:D4"/>
    <mergeCell ref="B5:G5"/>
    <mergeCell ref="AK4:AQ4"/>
    <mergeCell ref="AR4:AX4"/>
  </mergeCells>
  <conditionalFormatting sqref="D7:D21">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AW21">
    <cfRule type="expression" dxfId="5" priority="33">
      <formula>AND(TODAY()&gt;=I$5,TODAY()&lt;J$5)</formula>
    </cfRule>
  </conditionalFormatting>
  <conditionalFormatting sqref="I7:AW21">
    <cfRule type="expression" dxfId="4" priority="27">
      <formula>AND(task_start&lt;=I$5,ROUNDDOWN((task_end-task_start+1)*task_progress,0)+task_start-1&gt;=I$5)</formula>
    </cfRule>
    <cfRule type="expression" dxfId="3" priority="28" stopIfTrue="1">
      <formula>AND(task_end&gt;=I$5,task_start&lt;J$5)</formula>
    </cfRule>
  </conditionalFormatting>
  <conditionalFormatting sqref="AX5:AX21">
    <cfRule type="expression" dxfId="2" priority="35">
      <formula>AND(TODAY()&gt;=AX$5,TODAY()&lt;#REF!)</formula>
    </cfRule>
  </conditionalFormatting>
  <conditionalFormatting sqref="AX7:AX21">
    <cfRule type="expression" dxfId="1" priority="38">
      <formula>AND(task_start&lt;=AX$5,ROUNDDOWN((task_end-task_start+1)*task_progress,0)+task_start-1&gt;=AX$5)</formula>
    </cfRule>
    <cfRule type="expression" dxfId="0" priority="39" stopIfTrue="1">
      <formula>AND(task_end&gt;=AX$5,task_start&lt;#REF!)</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F18:F19"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RowHeight="12.75" x14ac:dyDescent="0.2"/>
  <cols>
    <col min="1" max="1" width="87.140625" style="27" customWidth="1"/>
    <col min="2" max="16384" width="9.140625" style="1"/>
  </cols>
  <sheetData>
    <row r="1" spans="1:2" ht="46.5" customHeight="1" x14ac:dyDescent="0.2"/>
    <row r="2" spans="1:2" s="29" customFormat="1" ht="15.75" x14ac:dyDescent="0.25">
      <c r="A2" s="28" t="s">
        <v>11</v>
      </c>
      <c r="B2" s="28"/>
    </row>
    <row r="3" spans="1:2" s="33" customFormat="1" ht="27" customHeight="1" x14ac:dyDescent="0.25">
      <c r="A3" s="34" t="s">
        <v>16</v>
      </c>
      <c r="B3" s="34"/>
    </row>
    <row r="4" spans="1:2" s="30" customFormat="1" ht="26.25" x14ac:dyDescent="0.4">
      <c r="A4" s="31" t="s">
        <v>10</v>
      </c>
    </row>
    <row r="5" spans="1:2" ht="74.099999999999994" customHeight="1" x14ac:dyDescent="0.2">
      <c r="A5" s="32" t="s">
        <v>19</v>
      </c>
    </row>
    <row r="6" spans="1:2" ht="26.25" customHeight="1" x14ac:dyDescent="0.2">
      <c r="A6" s="31" t="s">
        <v>22</v>
      </c>
    </row>
    <row r="7" spans="1:2" s="27" customFormat="1" ht="204.95" customHeight="1" x14ac:dyDescent="0.25">
      <c r="A7" s="36" t="s">
        <v>21</v>
      </c>
    </row>
    <row r="8" spans="1:2" s="30" customFormat="1" ht="26.25" x14ac:dyDescent="0.4">
      <c r="A8" s="31" t="s">
        <v>12</v>
      </c>
    </row>
    <row r="9" spans="1:2" ht="60" x14ac:dyDescent="0.2">
      <c r="A9" s="32" t="s">
        <v>20</v>
      </c>
    </row>
    <row r="10" spans="1:2" s="27" customFormat="1" ht="27.95" customHeight="1" x14ac:dyDescent="0.25">
      <c r="A10" s="35" t="s">
        <v>18</v>
      </c>
    </row>
    <row r="11" spans="1:2" s="30" customFormat="1" ht="26.25" x14ac:dyDescent="0.4">
      <c r="A11" s="31" t="s">
        <v>9</v>
      </c>
    </row>
    <row r="12" spans="1:2" ht="30" x14ac:dyDescent="0.2">
      <c r="A12" s="32" t="s">
        <v>17</v>
      </c>
    </row>
    <row r="13" spans="1:2" s="27" customFormat="1" ht="27.95" customHeight="1" x14ac:dyDescent="0.25">
      <c r="A13" s="35" t="s">
        <v>3</v>
      </c>
    </row>
    <row r="14" spans="1:2" s="30" customFormat="1" ht="26.25" x14ac:dyDescent="0.4">
      <c r="A14" s="31" t="s">
        <v>13</v>
      </c>
    </row>
    <row r="15" spans="1:2" ht="75" customHeight="1" x14ac:dyDescent="0.2">
      <c r="A15" s="32" t="s">
        <v>14</v>
      </c>
    </row>
    <row r="16" spans="1:2" ht="75" x14ac:dyDescent="0.2">
      <c r="A16" s="32" t="s">
        <v>15</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2019-03-19T17:17:03Z</dcterms:created>
  <dcterms:modified xsi:type="dcterms:W3CDTF">2020-10-22T23:17:08Z</dcterms:modified>
</cp:coreProperties>
</file>