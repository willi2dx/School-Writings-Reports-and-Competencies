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lli\Desktop\GRADUATE POST\BUS 632 ADVANCED FINANCIAL STATEMENT ANALYSIS\"/>
    </mc:Choice>
  </mc:AlternateContent>
  <xr:revisionPtr revIDLastSave="0" documentId="8_{C675C7D9-C595-499F-90AF-0706AC169441}" xr6:coauthVersionLast="47" xr6:coauthVersionMax="47" xr10:uidLastSave="{00000000-0000-0000-0000-000000000000}"/>
  <bookViews>
    <workbookView xWindow="4755" yWindow="3030" windowWidth="24180" windowHeight="11385" xr2:uid="{24989EEC-EA69-4369-B2D6-64B551D8A7EC}"/>
  </bookViews>
  <sheets>
    <sheet name="Ratio" sheetId="1" r:id="rId1"/>
    <sheet name="Income Statement" sheetId="2" r:id="rId2"/>
    <sheet name="Balance Sheet" sheetId="3" r:id="rId3"/>
    <sheet name="Cash Flow Statement" sheetId="8" r:id="rId4"/>
    <sheet name="Segment Review " sheetId="9" r:id="rId5"/>
    <sheet name="White Paper" sheetId="10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6" i="9" l="1"/>
  <c r="Q6" i="9" s="1"/>
  <c r="R7" i="9"/>
  <c r="Q7" i="9" s="1"/>
  <c r="R8" i="9"/>
  <c r="Q8" i="9" s="1"/>
  <c r="R9" i="9"/>
  <c r="Q9" i="9" s="1"/>
  <c r="R10" i="9"/>
  <c r="Q10" i="9" s="1"/>
  <c r="R11" i="9"/>
  <c r="Q11" i="9" s="1"/>
  <c r="R12" i="9"/>
  <c r="Q12" i="9" s="1"/>
  <c r="R5" i="9"/>
  <c r="Q5" i="9" s="1"/>
  <c r="L6" i="9"/>
  <c r="K6" i="9" s="1"/>
  <c r="L7" i="9"/>
  <c r="K7" i="9" s="1"/>
  <c r="L8" i="9"/>
  <c r="K8" i="9" s="1"/>
  <c r="L9" i="9"/>
  <c r="K9" i="9" s="1"/>
  <c r="L10" i="9"/>
  <c r="K10" i="9" s="1"/>
  <c r="L11" i="9"/>
  <c r="K11" i="9" s="1"/>
  <c r="L12" i="9"/>
  <c r="K12" i="9" s="1"/>
  <c r="L5" i="9"/>
  <c r="K5" i="9" s="1"/>
  <c r="F6" i="9"/>
  <c r="E6" i="9" s="1"/>
  <c r="F7" i="9"/>
  <c r="E7" i="9" s="1"/>
  <c r="F8" i="9"/>
  <c r="E8" i="9" s="1"/>
  <c r="F9" i="9"/>
  <c r="E9" i="9" s="1"/>
  <c r="F10" i="9"/>
  <c r="E10" i="9" s="1"/>
  <c r="F11" i="9"/>
  <c r="E11" i="9" s="1"/>
  <c r="F12" i="9"/>
  <c r="E12" i="9" s="1"/>
  <c r="F5" i="9"/>
  <c r="E5" i="9" s="1"/>
  <c r="I37" i="1"/>
  <c r="J36" i="1"/>
  <c r="K36" i="1" s="1"/>
  <c r="J35" i="1"/>
  <c r="K35" i="1" s="1"/>
  <c r="K37" i="1" s="1"/>
  <c r="L7" i="3"/>
  <c r="M7" i="3" s="1"/>
  <c r="L8" i="3"/>
  <c r="M8" i="3" s="1"/>
  <c r="L9" i="3"/>
  <c r="M9" i="3"/>
  <c r="L11" i="3"/>
  <c r="M11" i="3"/>
  <c r="L12" i="3"/>
  <c r="M12" i="3" s="1"/>
  <c r="L13" i="3"/>
  <c r="M13" i="3" s="1"/>
  <c r="L14" i="3"/>
  <c r="M14" i="3" s="1"/>
  <c r="L15" i="3"/>
  <c r="M15" i="3"/>
  <c r="L16" i="3"/>
  <c r="M16" i="3" s="1"/>
  <c r="L18" i="3"/>
  <c r="M18" i="3"/>
  <c r="L19" i="3"/>
  <c r="M19" i="3" s="1"/>
  <c r="L20" i="3"/>
  <c r="M20" i="3" s="1"/>
  <c r="L21" i="3"/>
  <c r="M21" i="3" s="1"/>
  <c r="L22" i="3"/>
  <c r="M22" i="3"/>
  <c r="L23" i="3"/>
  <c r="M23" i="3" s="1"/>
  <c r="L24" i="3"/>
  <c r="M24" i="3" s="1"/>
  <c r="L26" i="3"/>
  <c r="M26" i="3"/>
  <c r="L27" i="3"/>
  <c r="M27" i="3" s="1"/>
  <c r="L29" i="3"/>
  <c r="M29" i="3" s="1"/>
  <c r="L30" i="3"/>
  <c r="M30" i="3" s="1"/>
  <c r="L31" i="3"/>
  <c r="M31" i="3" s="1"/>
  <c r="L32" i="3"/>
  <c r="M32" i="3" s="1"/>
  <c r="L33" i="3"/>
  <c r="M33" i="3" s="1"/>
  <c r="L34" i="3"/>
  <c r="M34" i="3" s="1"/>
  <c r="L35" i="3"/>
  <c r="M35" i="3" s="1"/>
  <c r="L36" i="3"/>
  <c r="M36" i="3" s="1"/>
  <c r="L37" i="3"/>
  <c r="M37" i="3" s="1"/>
  <c r="L38" i="3"/>
  <c r="M38" i="3"/>
  <c r="L40" i="3"/>
  <c r="M40" i="3" s="1"/>
  <c r="L6" i="3"/>
  <c r="M6" i="3" s="1"/>
  <c r="K39" i="3"/>
  <c r="L39" i="3" s="1"/>
  <c r="M39" i="3" s="1"/>
  <c r="K25" i="3"/>
  <c r="K28" i="3" s="1"/>
  <c r="K6" i="3"/>
  <c r="K10" i="3" s="1"/>
  <c r="K17" i="3" s="1"/>
  <c r="L17" i="3" s="1"/>
  <c r="M17" i="3" s="1"/>
  <c r="J11" i="1"/>
  <c r="K11" i="1" s="1"/>
  <c r="J10" i="1"/>
  <c r="K10" i="1" s="1"/>
  <c r="J17" i="1"/>
  <c r="K17" i="1" s="1"/>
  <c r="J18" i="1"/>
  <c r="K18" i="1" s="1"/>
  <c r="J16" i="1"/>
  <c r="K16" i="1" s="1"/>
  <c r="I19" i="1"/>
  <c r="I31" i="1"/>
  <c r="J30" i="1"/>
  <c r="K30" i="1" s="1"/>
  <c r="J29" i="1"/>
  <c r="K29" i="1" s="1"/>
  <c r="J42" i="1"/>
  <c r="K42" i="1" s="1"/>
  <c r="J41" i="1"/>
  <c r="F47" i="1"/>
  <c r="G47" i="1" s="1"/>
  <c r="F53" i="1"/>
  <c r="G53" i="1" s="1"/>
  <c r="F54" i="1"/>
  <c r="G54" i="1" s="1"/>
  <c r="F48" i="1"/>
  <c r="F42" i="1"/>
  <c r="F41" i="1"/>
  <c r="G41" i="1" s="1"/>
  <c r="F36" i="1"/>
  <c r="G36" i="1" s="1"/>
  <c r="F35" i="1"/>
  <c r="F30" i="1"/>
  <c r="G30" i="1" s="1"/>
  <c r="F29" i="1"/>
  <c r="F24" i="1"/>
  <c r="G24" i="1" s="1"/>
  <c r="F23" i="1"/>
  <c r="F17" i="1"/>
  <c r="G17" i="1" s="1"/>
  <c r="F18" i="1"/>
  <c r="G18" i="1" s="1"/>
  <c r="F16" i="1"/>
  <c r="G16" i="1" s="1"/>
  <c r="F11" i="1"/>
  <c r="G11" i="1" s="1"/>
  <c r="F10" i="1"/>
  <c r="G10" i="1" s="1"/>
  <c r="J6" i="8"/>
  <c r="K6" i="8" s="1"/>
  <c r="J7" i="8"/>
  <c r="K7" i="8" s="1"/>
  <c r="J8" i="8"/>
  <c r="K8" i="8" s="1"/>
  <c r="J9" i="8"/>
  <c r="K9" i="8" s="1"/>
  <c r="J10" i="8"/>
  <c r="K10" i="8" s="1"/>
  <c r="J11" i="8"/>
  <c r="K11" i="8" s="1"/>
  <c r="J12" i="8"/>
  <c r="K12" i="8" s="1"/>
  <c r="J13" i="8"/>
  <c r="K13" i="8" s="1"/>
  <c r="J14" i="8"/>
  <c r="K14" i="8" s="1"/>
  <c r="J15" i="8"/>
  <c r="K15" i="8" s="1"/>
  <c r="J16" i="8"/>
  <c r="K16" i="8" s="1"/>
  <c r="J17" i="8"/>
  <c r="K17" i="8" s="1"/>
  <c r="J18" i="8"/>
  <c r="K18" i="8" s="1"/>
  <c r="J19" i="8"/>
  <c r="K19" i="8" s="1"/>
  <c r="J20" i="8"/>
  <c r="K20" i="8" s="1"/>
  <c r="J21" i="8"/>
  <c r="K21" i="8" s="1"/>
  <c r="J22" i="8"/>
  <c r="K22" i="8" s="1"/>
  <c r="J23" i="8"/>
  <c r="K23" i="8" s="1"/>
  <c r="J24" i="8"/>
  <c r="K24" i="8" s="1"/>
  <c r="J25" i="8"/>
  <c r="K25" i="8" s="1"/>
  <c r="J26" i="8"/>
  <c r="K26" i="8" s="1"/>
  <c r="J27" i="8"/>
  <c r="K27" i="8" s="1"/>
  <c r="J28" i="8"/>
  <c r="K28" i="8" s="1"/>
  <c r="J29" i="8"/>
  <c r="K29" i="8" s="1"/>
  <c r="J30" i="8"/>
  <c r="K30" i="8" s="1"/>
  <c r="J31" i="8"/>
  <c r="K31" i="8" s="1"/>
  <c r="J32" i="8"/>
  <c r="K32" i="8" s="1"/>
  <c r="J33" i="8"/>
  <c r="K33" i="8" s="1"/>
  <c r="J34" i="8"/>
  <c r="K34" i="8" s="1"/>
  <c r="J35" i="8"/>
  <c r="K35" i="8" s="1"/>
  <c r="J36" i="8"/>
  <c r="K36" i="8" s="1"/>
  <c r="J37" i="8"/>
  <c r="K37" i="8" s="1"/>
  <c r="J38" i="8"/>
  <c r="K38" i="8" s="1"/>
  <c r="J39" i="8"/>
  <c r="K39" i="8" s="1"/>
  <c r="J40" i="8"/>
  <c r="K40" i="8" s="1"/>
  <c r="J41" i="8"/>
  <c r="K41" i="8" s="1"/>
  <c r="J42" i="8"/>
  <c r="K42" i="8" s="1"/>
  <c r="J43" i="8"/>
  <c r="K43" i="8" s="1"/>
  <c r="J44" i="8"/>
  <c r="K44" i="8" s="1"/>
  <c r="J45" i="8"/>
  <c r="K45" i="8" s="1"/>
  <c r="J46" i="8"/>
  <c r="K46" i="8" s="1"/>
  <c r="J47" i="8"/>
  <c r="K47" i="8" s="1"/>
  <c r="J48" i="8"/>
  <c r="K48" i="8" s="1"/>
  <c r="J49" i="8"/>
  <c r="K49" i="8" s="1"/>
  <c r="J50" i="8"/>
  <c r="K50" i="8" s="1"/>
  <c r="J51" i="8"/>
  <c r="K51" i="8" s="1"/>
  <c r="J52" i="8"/>
  <c r="K52" i="8" s="1"/>
  <c r="J53" i="8"/>
  <c r="K53" i="8" s="1"/>
  <c r="J54" i="8"/>
  <c r="K54" i="8" s="1"/>
  <c r="J55" i="8"/>
  <c r="K55" i="8" s="1"/>
  <c r="J56" i="8"/>
  <c r="K56" i="8" s="1"/>
  <c r="J5" i="8"/>
  <c r="K5" i="8" s="1"/>
  <c r="H7" i="3"/>
  <c r="I7" i="3" s="1"/>
  <c r="H8" i="3"/>
  <c r="I8" i="3" s="1"/>
  <c r="H9" i="3"/>
  <c r="I9" i="3" s="1"/>
  <c r="H10" i="3"/>
  <c r="I10" i="3" s="1"/>
  <c r="H11" i="3"/>
  <c r="I11" i="3" s="1"/>
  <c r="H12" i="3"/>
  <c r="I12" i="3" s="1"/>
  <c r="H13" i="3"/>
  <c r="I13" i="3" s="1"/>
  <c r="H14" i="3"/>
  <c r="I14" i="3" s="1"/>
  <c r="H15" i="3"/>
  <c r="I15" i="3" s="1"/>
  <c r="H16" i="3"/>
  <c r="I16" i="3" s="1"/>
  <c r="H17" i="3"/>
  <c r="I17" i="3" s="1"/>
  <c r="H18" i="3"/>
  <c r="I18" i="3" s="1"/>
  <c r="H19" i="3"/>
  <c r="I19" i="3" s="1"/>
  <c r="H20" i="3"/>
  <c r="I20" i="3" s="1"/>
  <c r="H21" i="3"/>
  <c r="I21" i="3" s="1"/>
  <c r="H22" i="3"/>
  <c r="I22" i="3" s="1"/>
  <c r="H23" i="3"/>
  <c r="I23" i="3" s="1"/>
  <c r="H24" i="3"/>
  <c r="I24" i="3" s="1"/>
  <c r="H25" i="3"/>
  <c r="I25" i="3" s="1"/>
  <c r="H26" i="3"/>
  <c r="I26" i="3" s="1"/>
  <c r="H27" i="3"/>
  <c r="I27" i="3" s="1"/>
  <c r="H28" i="3"/>
  <c r="I28" i="3" s="1"/>
  <c r="H29" i="3"/>
  <c r="I29" i="3" s="1"/>
  <c r="H30" i="3"/>
  <c r="I30" i="3" s="1"/>
  <c r="H31" i="3"/>
  <c r="I31" i="3" s="1"/>
  <c r="H32" i="3"/>
  <c r="I32" i="3" s="1"/>
  <c r="H33" i="3"/>
  <c r="I33" i="3" s="1"/>
  <c r="H34" i="3"/>
  <c r="I34" i="3" s="1"/>
  <c r="H35" i="3"/>
  <c r="I35" i="3" s="1"/>
  <c r="H36" i="3"/>
  <c r="I36" i="3" s="1"/>
  <c r="H37" i="3"/>
  <c r="I37" i="3" s="1"/>
  <c r="H38" i="3"/>
  <c r="I38" i="3" s="1"/>
  <c r="H39" i="3"/>
  <c r="I39" i="3" s="1"/>
  <c r="H40" i="3"/>
  <c r="I40" i="3"/>
  <c r="H41" i="3"/>
  <c r="I41" i="3" s="1"/>
  <c r="H42" i="3"/>
  <c r="I42" i="3" s="1"/>
  <c r="H6" i="3"/>
  <c r="I6" i="3" s="1"/>
  <c r="I47" i="2"/>
  <c r="J47" i="2" s="1"/>
  <c r="I48" i="2"/>
  <c r="J48" i="2" s="1"/>
  <c r="I49" i="2"/>
  <c r="J49" i="2" s="1"/>
  <c r="I50" i="2"/>
  <c r="J50" i="2" s="1"/>
  <c r="I51" i="2"/>
  <c r="J51" i="2" s="1"/>
  <c r="I52" i="2"/>
  <c r="J52" i="2" s="1"/>
  <c r="I53" i="2"/>
  <c r="J53" i="2" s="1"/>
  <c r="I54" i="2"/>
  <c r="J54" i="2" s="1"/>
  <c r="I55" i="2"/>
  <c r="J55" i="2"/>
  <c r="I56" i="2"/>
  <c r="J56" i="2" s="1"/>
  <c r="I57" i="2"/>
  <c r="J57" i="2" s="1"/>
  <c r="I58" i="2"/>
  <c r="J58" i="2" s="1"/>
  <c r="I59" i="2"/>
  <c r="J59" i="2" s="1"/>
  <c r="I60" i="2"/>
  <c r="J60" i="2" s="1"/>
  <c r="I61" i="2"/>
  <c r="J61" i="2" s="1"/>
  <c r="I62" i="2"/>
  <c r="J62" i="2"/>
  <c r="I63" i="2"/>
  <c r="J63" i="2" s="1"/>
  <c r="I64" i="2"/>
  <c r="J64" i="2" s="1"/>
  <c r="I65" i="2"/>
  <c r="J65" i="2" s="1"/>
  <c r="I66" i="2"/>
  <c r="J66" i="2" s="1"/>
  <c r="I67" i="2"/>
  <c r="J67" i="2" s="1"/>
  <c r="I68" i="2"/>
  <c r="J68" i="2" s="1"/>
  <c r="I69" i="2"/>
  <c r="J69" i="2" s="1"/>
  <c r="I70" i="2"/>
  <c r="J70" i="2" s="1"/>
  <c r="I71" i="2"/>
  <c r="J71" i="2"/>
  <c r="I72" i="2"/>
  <c r="J72" i="2" s="1"/>
  <c r="I73" i="2"/>
  <c r="J73" i="2"/>
  <c r="I74" i="2"/>
  <c r="J74" i="2" s="1"/>
  <c r="I75" i="2"/>
  <c r="J75" i="2" s="1"/>
  <c r="I76" i="2"/>
  <c r="J76" i="2" s="1"/>
  <c r="I77" i="2"/>
  <c r="J77" i="2" s="1"/>
  <c r="I46" i="2"/>
  <c r="J46" i="2" s="1"/>
  <c r="I7" i="2"/>
  <c r="J7" i="2" s="1"/>
  <c r="I8" i="2"/>
  <c r="J8" i="2" s="1"/>
  <c r="I9" i="2"/>
  <c r="J9" i="2" s="1"/>
  <c r="I10" i="2"/>
  <c r="J10" i="2" s="1"/>
  <c r="I11" i="2"/>
  <c r="J11" i="2" s="1"/>
  <c r="I12" i="2"/>
  <c r="J12" i="2" s="1"/>
  <c r="I13" i="2"/>
  <c r="J13" i="2" s="1"/>
  <c r="I14" i="2"/>
  <c r="J14" i="2" s="1"/>
  <c r="I15" i="2"/>
  <c r="J15" i="2" s="1"/>
  <c r="I16" i="2"/>
  <c r="J16" i="2" s="1"/>
  <c r="I17" i="2"/>
  <c r="J17" i="2" s="1"/>
  <c r="I18" i="2"/>
  <c r="J18" i="2"/>
  <c r="I19" i="2"/>
  <c r="J19" i="2" s="1"/>
  <c r="I20" i="2"/>
  <c r="J20" i="2" s="1"/>
  <c r="I21" i="2"/>
  <c r="J21" i="2"/>
  <c r="I22" i="2"/>
  <c r="J22" i="2" s="1"/>
  <c r="I23" i="2"/>
  <c r="J23" i="2" s="1"/>
  <c r="I24" i="2"/>
  <c r="J24" i="2" s="1"/>
  <c r="I25" i="2"/>
  <c r="J25" i="2" s="1"/>
  <c r="I26" i="2"/>
  <c r="J26" i="2" s="1"/>
  <c r="I27" i="2"/>
  <c r="J27" i="2"/>
  <c r="I28" i="2"/>
  <c r="J28" i="2" s="1"/>
  <c r="I29" i="2"/>
  <c r="J29" i="2" s="1"/>
  <c r="I30" i="2"/>
  <c r="J30" i="2" s="1"/>
  <c r="I31" i="2"/>
  <c r="J31" i="2" s="1"/>
  <c r="I32" i="2"/>
  <c r="J32" i="2" s="1"/>
  <c r="I33" i="2"/>
  <c r="J33" i="2" s="1"/>
  <c r="I34" i="2"/>
  <c r="J34" i="2" s="1"/>
  <c r="I35" i="2"/>
  <c r="J35" i="2" s="1"/>
  <c r="I36" i="2"/>
  <c r="J36" i="2" s="1"/>
  <c r="I37" i="2"/>
  <c r="J37" i="2" s="1"/>
  <c r="I38" i="2"/>
  <c r="J38" i="2"/>
  <c r="I39" i="2"/>
  <c r="J39" i="2" s="1"/>
  <c r="I40" i="2"/>
  <c r="J40" i="2" s="1"/>
  <c r="I6" i="2"/>
  <c r="J6" i="2" s="1"/>
  <c r="E37" i="1"/>
  <c r="E55" i="1"/>
  <c r="I55" i="1"/>
  <c r="E49" i="1"/>
  <c r="I49" i="1"/>
  <c r="E43" i="1"/>
  <c r="I43" i="1"/>
  <c r="E31" i="1"/>
  <c r="I25" i="1"/>
  <c r="E25" i="1"/>
  <c r="E19" i="1"/>
  <c r="E12" i="1"/>
  <c r="I12" i="1"/>
  <c r="D12" i="1"/>
  <c r="D55" i="1"/>
  <c r="D49" i="1"/>
  <c r="D43" i="1"/>
  <c r="D37" i="1"/>
  <c r="D25" i="1"/>
  <c r="D31" i="1"/>
  <c r="D19" i="1"/>
  <c r="J37" i="1" l="1"/>
  <c r="K12" i="1"/>
  <c r="L28" i="3"/>
  <c r="M28" i="3" s="1"/>
  <c r="K41" i="3"/>
  <c r="L41" i="3" s="1"/>
  <c r="M41" i="3" s="1"/>
  <c r="L25" i="3"/>
  <c r="M25" i="3" s="1"/>
  <c r="L10" i="3"/>
  <c r="M10" i="3" s="1"/>
  <c r="J12" i="1"/>
  <c r="J31" i="1"/>
  <c r="K19" i="1"/>
  <c r="J19" i="1"/>
  <c r="K31" i="1"/>
  <c r="J43" i="1"/>
  <c r="K41" i="1"/>
  <c r="K43" i="1" s="1"/>
  <c r="F43" i="1"/>
  <c r="G42" i="1"/>
  <c r="G43" i="1" s="1"/>
  <c r="F49" i="1"/>
  <c r="G55" i="1"/>
  <c r="F55" i="1"/>
  <c r="G48" i="1"/>
  <c r="G49" i="1" s="1"/>
  <c r="F37" i="1"/>
  <c r="G35" i="1"/>
  <c r="G37" i="1" s="1"/>
  <c r="F31" i="1"/>
  <c r="G29" i="1"/>
  <c r="G31" i="1" s="1"/>
  <c r="F25" i="1"/>
  <c r="G23" i="1"/>
  <c r="G25" i="1" s="1"/>
  <c r="G19" i="1"/>
  <c r="F19" i="1"/>
  <c r="G12" i="1"/>
  <c r="F12" i="1"/>
  <c r="K42" i="3" l="1"/>
  <c r="L42" i="3" s="1"/>
  <c r="M42" i="3" s="1"/>
</calcChain>
</file>

<file path=xl/sharedStrings.xml><?xml version="1.0" encoding="utf-8"?>
<sst xmlns="http://schemas.openxmlformats.org/spreadsheetml/2006/main" count="286" uniqueCount="234">
  <si>
    <t>Quick Ratio:</t>
  </si>
  <si>
    <t>Current Liabilities</t>
  </si>
  <si>
    <t>Current Assets</t>
  </si>
  <si>
    <t xml:space="preserve">Current Assets </t>
  </si>
  <si>
    <t>Inventory</t>
  </si>
  <si>
    <t>Quick Ratio</t>
  </si>
  <si>
    <t>Total Liabilities</t>
  </si>
  <si>
    <t xml:space="preserve">Debt to Equtiy Ratio </t>
  </si>
  <si>
    <t>Current Assets / Current Liabilities Formula</t>
  </si>
  <si>
    <t>Current Assets - Inventory / Current Liabilities Formula</t>
  </si>
  <si>
    <t xml:space="preserve">Reference </t>
  </si>
  <si>
    <t>(In millions)</t>
  </si>
  <si>
    <t>BUS 632</t>
  </si>
  <si>
    <t>Peter Chambers</t>
  </si>
  <si>
    <t>(in Millions)</t>
  </si>
  <si>
    <t>Asset to Equity Ratio</t>
  </si>
  <si>
    <t>Liabilities to Equity Ration</t>
  </si>
  <si>
    <t>Current Ratio</t>
  </si>
  <si>
    <t>Return on Asset Ratio</t>
  </si>
  <si>
    <t>Net Profit Margin</t>
  </si>
  <si>
    <t>Return on Equity Ratio</t>
  </si>
  <si>
    <t xml:space="preserve">Net Income </t>
  </si>
  <si>
    <t>Net Income / Sales Formula</t>
  </si>
  <si>
    <t>Net Profit Margin Ratio</t>
  </si>
  <si>
    <t>Net Income</t>
  </si>
  <si>
    <t>Assets</t>
  </si>
  <si>
    <t xml:space="preserve">Total Liabilities / Total Share Holder Equity Formula </t>
  </si>
  <si>
    <t>Other comprehensive loss, net of tax</t>
  </si>
  <si>
    <t>Liabilities and Equity</t>
  </si>
  <si>
    <t>Shareowners’ Equity:</t>
  </si>
  <si>
    <t>Net Sales:</t>
  </si>
  <si>
    <t>Costs and Expenses:</t>
  </si>
  <si>
    <t>Discontinued operations (Note 3):</t>
  </si>
  <si>
    <t>Earnings Per Share of Common Stock—Basic:</t>
  </si>
  <si>
    <t>Earnings Per Share of Common Stock—Diluted:</t>
  </si>
  <si>
    <t>Weighted average number of shares outstanding:</t>
  </si>
  <si>
    <t>Consolidated Statement of Operations</t>
  </si>
  <si>
    <t>P.36</t>
  </si>
  <si>
    <t>Consolidated Balance Sheet</t>
  </si>
  <si>
    <t>P.38</t>
  </si>
  <si>
    <t>Operating Activities of Continuing Operations:</t>
  </si>
  <si>
    <t>of continuing operations:</t>
  </si>
  <si>
    <t>Investing Activities of Continuing Operations:</t>
  </si>
  <si>
    <t>Financing Activities of Continuing Operations:</t>
  </si>
  <si>
    <t>Discontinued Operations:</t>
  </si>
  <si>
    <t>Supplemental Disclosure of Cash Flow Information:</t>
  </si>
  <si>
    <t>Noncash investing and financing activities include:</t>
  </si>
  <si>
    <t>Consolidated Statement of Cash Flows</t>
  </si>
  <si>
    <t>P.39</t>
  </si>
  <si>
    <t>—</t>
  </si>
  <si>
    <t xml:space="preserve">   Foreign currency translation adjustments</t>
  </si>
  <si>
    <t xml:space="preserve">   Pension and postretirement benefit plans</t>
  </si>
  <si>
    <t xml:space="preserve">   Unrealized gain (loss) on available-for-sale securities</t>
  </si>
  <si>
    <t xml:space="preserve">   Change in unrealized cash flow hedging</t>
  </si>
  <si>
    <t xml:space="preserve">   Product sales </t>
  </si>
  <si>
    <t xml:space="preserve">   Service sales </t>
  </si>
  <si>
    <t xml:space="preserve">   Cost of products sold </t>
  </si>
  <si>
    <t xml:space="preserve">   Cost of services sold </t>
  </si>
  <si>
    <t xml:space="preserve">   Research and development </t>
  </si>
  <si>
    <t xml:space="preserve">   Selling, general and administrative </t>
  </si>
  <si>
    <t xml:space="preserve">   Other income (expense), net </t>
  </si>
  <si>
    <t xml:space="preserve">Operating profit </t>
  </si>
  <si>
    <t xml:space="preserve">   Interest expense, net </t>
  </si>
  <si>
    <t xml:space="preserve">Income from continuing operations before income taxes </t>
  </si>
  <si>
    <t xml:space="preserve">   Income tax expense </t>
  </si>
  <si>
    <t xml:space="preserve">Net income from continuing operations </t>
  </si>
  <si>
    <t xml:space="preserve">   Less: Noncontrolling interest in subsidiaries’ earnings from continuing operations </t>
  </si>
  <si>
    <t xml:space="preserve">Income from continuing operations attributable to common shareowners </t>
  </si>
  <si>
    <t xml:space="preserve">   Income from operations </t>
  </si>
  <si>
    <t xml:space="preserve">   Gain on disposal </t>
  </si>
  <si>
    <t xml:space="preserve">   Net (loss) income from discontinued operations </t>
  </si>
  <si>
    <t xml:space="preserve">   Less: Noncontrolling interest in subsidiaries’ (loss) earnings from discontinued operations </t>
  </si>
  <si>
    <t xml:space="preserve">— </t>
  </si>
  <si>
    <t xml:space="preserve">(Loss) Income from discontinued operations attributable to common shareowners </t>
  </si>
  <si>
    <t xml:space="preserve">Net income attributable to common shareowners </t>
  </si>
  <si>
    <t xml:space="preserve">   Net income from continuing operations attributable to common shareowners</t>
  </si>
  <si>
    <t xml:space="preserve">   Net income attributable to common shareowners </t>
  </si>
  <si>
    <t xml:space="preserve">   Net income from continuing operations attributable to common shareowners </t>
  </si>
  <si>
    <t>Dividends Per Share of Common Stock</t>
  </si>
  <si>
    <t xml:space="preserve">   Basic shares </t>
  </si>
  <si>
    <t xml:space="preserve">   Diluted shares </t>
  </si>
  <si>
    <t>Net (loss) income from discontinued operations</t>
  </si>
  <si>
    <t xml:space="preserve">   Net income</t>
  </si>
  <si>
    <t xml:space="preserve">      Foreign currency translation adjustments arising during period </t>
  </si>
  <si>
    <t xml:space="preserve">      Reclassification adjustments from sale of an investment in a foreign entity recognized in net income </t>
  </si>
  <si>
    <t xml:space="preserve">      Net actuarial loss arising during period </t>
  </si>
  <si>
    <t xml:space="preserve">      Prior service cost arising during period </t>
  </si>
  <si>
    <t xml:space="preserve">      Other</t>
  </si>
  <si>
    <t xml:space="preserve">      Amortization of actuarial loss and prior service cost</t>
  </si>
  <si>
    <t xml:space="preserve">   Tax (expense) benefit</t>
  </si>
  <si>
    <t xml:space="preserve">      Unrealized holding gain arising during period </t>
  </si>
  <si>
    <t xml:space="preserve">      Reclassification adjustments for gain included in Other income, net</t>
  </si>
  <si>
    <t xml:space="preserve">   Tax (expense) benefit </t>
  </si>
  <si>
    <t xml:space="preserve">      Unrealized cash flow hedging gain (loss) arising during period </t>
  </si>
  <si>
    <t xml:space="preserve">      Loss reclassified into Product sales</t>
  </si>
  <si>
    <t>Comprehensive income</t>
  </si>
  <si>
    <t xml:space="preserve">   Less: comprehensive income attributable to noncontrolling interest </t>
  </si>
  <si>
    <t xml:space="preserve">Comprehensive income attributable to common shareowners </t>
  </si>
  <si>
    <t xml:space="preserve">      Capital Stock:</t>
  </si>
  <si>
    <t xml:space="preserve">   Income from continuing operations</t>
  </si>
  <si>
    <t xml:space="preserve">   Adjustments to reconcile income from continuing operations to net cash flows provided by operating activities</t>
  </si>
  <si>
    <t xml:space="preserve">      Depreciation and amortization </t>
  </si>
  <si>
    <t xml:space="preserve">      Deferred income tax provision </t>
  </si>
  <si>
    <t xml:space="preserve">      Stock compensation cost </t>
  </si>
  <si>
    <t xml:space="preserve">      Canadian government settlement </t>
  </si>
  <si>
    <t xml:space="preserve">   Change in:</t>
  </si>
  <si>
    <t xml:space="preserve">      Accounts receivable </t>
  </si>
  <si>
    <t xml:space="preserve">      Inventories and contracts in progress </t>
  </si>
  <si>
    <t xml:space="preserve">      Other current assets </t>
  </si>
  <si>
    <t xml:space="preserve">      Accounts payable and accrued liabilities </t>
  </si>
  <si>
    <t xml:space="preserve">   Global pension contributions </t>
  </si>
  <si>
    <t xml:space="preserve">   Other operating activities, net </t>
  </si>
  <si>
    <t xml:space="preserve">      Net cash flows provided by operating activities of continuing operations</t>
  </si>
  <si>
    <t xml:space="preserve">      Net cash flows used in investing activities of continuing operations </t>
  </si>
  <si>
    <t xml:space="preserve">   Capital expenditures</t>
  </si>
  <si>
    <t xml:space="preserve">   Increase in customer financing assets </t>
  </si>
  <si>
    <t xml:space="preserve">   Decrease in customer financing assets </t>
  </si>
  <si>
    <t xml:space="preserve">   Investments in businesses</t>
  </si>
  <si>
    <t xml:space="preserve">   Dispositions of businesses </t>
  </si>
  <si>
    <t xml:space="preserve">   Increase in collaboration intangible assets </t>
  </si>
  <si>
    <t xml:space="preserve">   Receipts from settlements of derivative contracts </t>
  </si>
  <si>
    <t xml:space="preserve">   Other investing activities, net </t>
  </si>
  <si>
    <t xml:space="preserve">   Issuance of long-term debt </t>
  </si>
  <si>
    <t xml:space="preserve">   Repayment of long-term debt </t>
  </si>
  <si>
    <t xml:space="preserve">   (Decrease) increase in short-term borrowings, net </t>
  </si>
  <si>
    <t xml:space="preserve">   Proceeds from Common Stock issuance— equity unit settlement </t>
  </si>
  <si>
    <t xml:space="preserve">   Proceeds from Common Stock issued under employee stock plans </t>
  </si>
  <si>
    <t xml:space="preserve">   Dividends paid on Common Stock </t>
  </si>
  <si>
    <t xml:space="preserve">   Repurchase of Common Stock </t>
  </si>
  <si>
    <t xml:space="preserve">   Other financing activities, net (564) (508) (336)</t>
  </si>
  <si>
    <t xml:space="preserve">      Net cash flows used in financing activities of continuing operations </t>
  </si>
  <si>
    <t xml:space="preserve">   Net cash (used in) provided by operating activities </t>
  </si>
  <si>
    <t xml:space="preserve">   Net cash provided by (used in) investing activities </t>
  </si>
  <si>
    <t xml:space="preserve">   Net cash used in financing activities </t>
  </si>
  <si>
    <t xml:space="preserve">      Net cash flows (used in) provided by discontinued operations </t>
  </si>
  <si>
    <t xml:space="preserve">Effect of foreign exchange rate changes on cash and cash equivalents </t>
  </si>
  <si>
    <t xml:space="preserve">      Net increase in cash, cash equivalents and restricted cash </t>
  </si>
  <si>
    <t xml:space="preserve">Cash, cash equivalents and restricted cash, beginning of year </t>
  </si>
  <si>
    <t xml:space="preserve">Cash, cash equivalents and restricted cash, end of year </t>
  </si>
  <si>
    <t xml:space="preserve">   Less: Cash and cash equivalents of businesses held for sale</t>
  </si>
  <si>
    <t xml:space="preserve"> — </t>
  </si>
  <si>
    <t xml:space="preserve">   Less: Restricted cash, included in Other assets </t>
  </si>
  <si>
    <t xml:space="preserve">Cash and cash equivalents of continuing operations, end of year </t>
  </si>
  <si>
    <t xml:space="preserve">   Interest paid, net of amounts capitalized </t>
  </si>
  <si>
    <t xml:space="preserve">   Income taxes paid, net of refunds </t>
  </si>
  <si>
    <t xml:space="preserve">   Contributions of UTC Common Stock to domestic defined benefit pension plans </t>
  </si>
  <si>
    <t>$ —</t>
  </si>
  <si>
    <t xml:space="preserve"> $ —</t>
  </si>
  <si>
    <t xml:space="preserve">Cash and cash equivalents </t>
  </si>
  <si>
    <t xml:space="preserve">Accounts receivable (net of allowance for doubtful accounts of $450 and $504) </t>
  </si>
  <si>
    <t>Inventories and contracts in progress, net</t>
  </si>
  <si>
    <t xml:space="preserve">Other assets, current </t>
  </si>
  <si>
    <t xml:space="preserve">      Total Current Assets </t>
  </si>
  <si>
    <t xml:space="preserve">Customer financing assets </t>
  </si>
  <si>
    <t xml:space="preserve">Future income tax benefits </t>
  </si>
  <si>
    <t xml:space="preserve">Fixed assets, net </t>
  </si>
  <si>
    <t xml:space="preserve">Goodwill </t>
  </si>
  <si>
    <t xml:space="preserve">Intangible assets, net </t>
  </si>
  <si>
    <t xml:space="preserve">Other assets </t>
  </si>
  <si>
    <t xml:space="preserve">   Total Assets </t>
  </si>
  <si>
    <t xml:space="preserve">Short-term borrowings </t>
  </si>
  <si>
    <t>Accounts payable</t>
  </si>
  <si>
    <t>Accrued liabilities</t>
  </si>
  <si>
    <t>Long-term debt currently due</t>
  </si>
  <si>
    <t xml:space="preserve">      Total Current Liabilities </t>
  </si>
  <si>
    <t xml:space="preserve">Long-term debt </t>
  </si>
  <si>
    <t xml:space="preserve">Future pension and postretirement benefit obligations </t>
  </si>
  <si>
    <t xml:space="preserve">Other long-term liabilities </t>
  </si>
  <si>
    <t xml:space="preserve">   Total Liabilities </t>
  </si>
  <si>
    <t xml:space="preserve">Redeemable noncontrolling interest </t>
  </si>
  <si>
    <t xml:space="preserve">        Preferred Stock, $1 par value; 250,000 shares authorized; None issued or outstanding </t>
  </si>
  <si>
    <t xml:space="preserve"> —</t>
  </si>
  <si>
    <t xml:space="preserve">        Common Stock, $1 par value; 4,000,000 shares authorized; 1,440,982 and 1,438,497 shares issued</t>
  </si>
  <si>
    <t xml:space="preserve">      Treasury Stock— 632,281 and 600,153 common shares at average cost</t>
  </si>
  <si>
    <t xml:space="preserve">      Retained earnings </t>
  </si>
  <si>
    <t xml:space="preserve">      Unearned ESOP shares </t>
  </si>
  <si>
    <t xml:space="preserve">      Total Accumulated other comprehensive loss </t>
  </si>
  <si>
    <t xml:space="preserve">   Total Shareowners’ Equity </t>
  </si>
  <si>
    <t>Noncontrolling interest</t>
  </si>
  <si>
    <t xml:space="preserve">   Total Equity</t>
  </si>
  <si>
    <t xml:space="preserve">   Total Liabilities and Equity</t>
  </si>
  <si>
    <t>Balance sheet</t>
  </si>
  <si>
    <t>income sta</t>
  </si>
  <si>
    <t>income st</t>
  </si>
  <si>
    <t>SEGMENT REVIEW</t>
  </si>
  <si>
    <t xml:space="preserve">Otis    </t>
  </si>
  <si>
    <t>Net Sales</t>
  </si>
  <si>
    <t xml:space="preserve"> Operating Profits</t>
  </si>
  <si>
    <t xml:space="preserve"> </t>
  </si>
  <si>
    <t>Operating Profit Margin</t>
  </si>
  <si>
    <t>UTC Climate, Controls &amp; Security  2,936 2,782 17.5% 17.6% 16.5%</t>
  </si>
  <si>
    <t>Pratt &amp; Whitney  6.1% 13.8%</t>
  </si>
  <si>
    <t xml:space="preserve">UTC Aerospace Systems </t>
  </si>
  <si>
    <t>Total segment  14.1% 16.7%</t>
  </si>
  <si>
    <t xml:space="preserve">Eliminations and other </t>
  </si>
  <si>
    <t xml:space="preserve">General corporate expenses </t>
  </si>
  <si>
    <t xml:space="preserve">Consolidated </t>
  </si>
  <si>
    <t xml:space="preserve">(In millions) </t>
  </si>
  <si>
    <t>-</t>
  </si>
  <si>
    <t xml:space="preserve">Commitments and contingent liabilities </t>
  </si>
  <si>
    <t>(Notes 5 and 18)</t>
  </si>
  <si>
    <t>Total Revenue or "Total Sales"</t>
  </si>
  <si>
    <t>Net Income / Shareholder's Equity (Average Assets)</t>
  </si>
  <si>
    <t>Shareholder's Equity (Average Assets)</t>
  </si>
  <si>
    <t>Total Assets / Equity Formula</t>
  </si>
  <si>
    <t>Total Assets</t>
  </si>
  <si>
    <t>Total Equity</t>
  </si>
  <si>
    <t>Total Liabilities / Equity Formula</t>
  </si>
  <si>
    <t>Net Income / Total Assets Formula</t>
  </si>
  <si>
    <t>Average Total Asset</t>
  </si>
  <si>
    <t>Felipe Fernandes</t>
  </si>
  <si>
    <t>Juan Dzul</t>
  </si>
  <si>
    <t>Gordon Williams</t>
  </si>
  <si>
    <t>Total Shareholder''s Equity</t>
  </si>
  <si>
    <t>United Technologies UTX</t>
  </si>
  <si>
    <t>United Technologies Corporation - AnnualReports.com. (2016, December 31). United Technologies Corporation. https://www.annualreports.com/Company/united-technologies-corporation</t>
  </si>
  <si>
    <t>3% Growth</t>
  </si>
  <si>
    <t>3% Growh</t>
  </si>
  <si>
    <t>1st Scenario:</t>
  </si>
  <si>
    <t>Unit 7-8</t>
  </si>
  <si>
    <t>1. Forecast out to 2018 a 3% &amp; selrct 5 Ratios</t>
  </si>
  <si>
    <t>Variance with sale (2017-2018)</t>
  </si>
  <si>
    <t xml:space="preserve">Total Common Equity </t>
  </si>
  <si>
    <t>Debt to Equity Ratio</t>
  </si>
  <si>
    <t>15billion +</t>
  </si>
  <si>
    <t>20billion +</t>
  </si>
  <si>
    <t>5billion -</t>
  </si>
  <si>
    <t>1.A question</t>
  </si>
  <si>
    <t>Computation that show the variance</t>
  </si>
  <si>
    <t>Consolidated Statement of Comprehensive Income P.37</t>
  </si>
  <si>
    <t>1.A</t>
  </si>
  <si>
    <t>3% Growth Projection</t>
  </si>
  <si>
    <t>2. The sale of P&amp;W for 15B in cash &amp; 5B debt results:</t>
  </si>
  <si>
    <t>Embed within your workbook the white paper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</si>
</sst>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6" formatCode="&quot;$&quot;#,##0_);[Red]\(&quot;$&quot;#,##0\)"/>
    <numFmt numFmtId="8" formatCode="&quot;$&quot;#,##0.00_);[Red]\(&quot;$&quot;#,##0.00\)"/>
    <numFmt numFmtId="43" formatCode="_(* #,##0.00_);_(* \(#,##0.00\);_(* &quot;-&quot;??_);_(@_)"/>
    <numFmt numFmtId="164" formatCode="0.0"/>
    <numFmt numFmtId="165" formatCode="_(* #,##0.000_);_(* \(#,##0.000\);_(* &quot;-&quot;??_);_(@_)"/>
    <numFmt numFmtId="166" formatCode="0.0000"/>
    <numFmt numFmtId="167" formatCode="0.000"/>
    <numFmt numFmtId="168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sz val="12"/>
      <color theme="1"/>
      <name val="Arial"/>
      <family val="2"/>
    </font>
    <font>
      <u/>
      <sz val="12"/>
      <color rgb="FF00000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7">
    <xf numFmtId="0" fontId="0" fillId="0" borderId="0" xfId="0"/>
    <xf numFmtId="0" fontId="0" fillId="0" borderId="0" xfId="0" applyFill="1"/>
    <xf numFmtId="0" fontId="0" fillId="0" borderId="0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2" borderId="0" xfId="0" applyFill="1" applyBorder="1"/>
    <xf numFmtId="0" fontId="0" fillId="3" borderId="0" xfId="0" applyFill="1"/>
    <xf numFmtId="0" fontId="3" fillId="0" borderId="0" xfId="0" applyFont="1"/>
    <xf numFmtId="0" fontId="4" fillId="0" borderId="0" xfId="0" applyFont="1"/>
    <xf numFmtId="15" fontId="4" fillId="0" borderId="0" xfId="0" applyNumberFormat="1" applyFont="1"/>
    <xf numFmtId="0" fontId="3" fillId="0" borderId="0" xfId="0" applyFont="1" applyBorder="1"/>
    <xf numFmtId="3" fontId="3" fillId="0" borderId="0" xfId="0" applyNumberFormat="1" applyFont="1" applyBorder="1"/>
    <xf numFmtId="3" fontId="3" fillId="0" borderId="10" xfId="0" applyNumberFormat="1" applyFont="1" applyBorder="1"/>
    <xf numFmtId="0" fontId="4" fillId="0" borderId="1" xfId="0" applyFont="1" applyBorder="1"/>
    <xf numFmtId="0" fontId="4" fillId="0" borderId="0" xfId="0" applyFont="1" applyBorder="1" applyAlignment="1"/>
    <xf numFmtId="2" fontId="4" fillId="0" borderId="2" xfId="0" applyNumberFormat="1" applyFont="1" applyBorder="1"/>
    <xf numFmtId="0" fontId="3" fillId="3" borderId="0" xfId="0" applyFont="1" applyFill="1"/>
    <xf numFmtId="0" fontId="4" fillId="3" borderId="0" xfId="0" applyFont="1" applyFill="1"/>
    <xf numFmtId="0" fontId="4" fillId="3" borderId="0" xfId="0" applyFont="1" applyFill="1" applyBorder="1"/>
    <xf numFmtId="43" fontId="4" fillId="3" borderId="0" xfId="1" applyFont="1" applyFill="1" applyBorder="1"/>
    <xf numFmtId="0" fontId="4" fillId="0" borderId="1" xfId="0" applyFont="1" applyBorder="1" applyAlignment="1"/>
    <xf numFmtId="164" fontId="4" fillId="0" borderId="2" xfId="0" applyNumberFormat="1" applyFont="1" applyBorder="1"/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center" wrapText="1"/>
    </xf>
    <xf numFmtId="6" fontId="3" fillId="0" borderId="7" xfId="0" applyNumberFormat="1" applyFont="1" applyBorder="1"/>
    <xf numFmtId="0" fontId="4" fillId="0" borderId="1" xfId="0" applyFont="1" applyBorder="1" applyAlignment="1">
      <alignment horizontal="left" wrapText="1"/>
    </xf>
    <xf numFmtId="2" fontId="4" fillId="0" borderId="2" xfId="0" applyNumberFormat="1" applyFont="1" applyBorder="1" applyAlignment="1">
      <alignment horizontal="right" wrapText="1"/>
    </xf>
    <xf numFmtId="0" fontId="3" fillId="0" borderId="0" xfId="0" applyFont="1" applyFill="1"/>
    <xf numFmtId="0" fontId="3" fillId="0" borderId="0" xfId="0" applyFont="1" applyFill="1" applyAlignment="1">
      <alignment horizontal="left" wrapText="1"/>
    </xf>
    <xf numFmtId="0" fontId="3" fillId="0" borderId="0" xfId="0" applyFont="1" applyFill="1" applyAlignment="1">
      <alignment horizontal="center" wrapText="1"/>
    </xf>
    <xf numFmtId="0" fontId="4" fillId="0" borderId="2" xfId="0" applyFont="1" applyBorder="1"/>
    <xf numFmtId="0" fontId="4" fillId="0" borderId="2" xfId="0" applyFont="1" applyBorder="1" applyAlignment="1">
      <alignment horizontal="center" wrapText="1"/>
    </xf>
    <xf numFmtId="0" fontId="4" fillId="0" borderId="11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6" xfId="0" applyFont="1" applyBorder="1"/>
    <xf numFmtId="0" fontId="3" fillId="0" borderId="7" xfId="0" applyFont="1" applyBorder="1"/>
    <xf numFmtId="0" fontId="3" fillId="2" borderId="0" xfId="0" applyFont="1" applyFill="1" applyBorder="1"/>
    <xf numFmtId="0" fontId="3" fillId="0" borderId="4" xfId="0" applyFont="1" applyBorder="1"/>
    <xf numFmtId="0" fontId="3" fillId="0" borderId="8" xfId="0" applyFont="1" applyBorder="1"/>
    <xf numFmtId="0" fontId="3" fillId="0" borderId="5" xfId="0" applyFont="1" applyBorder="1"/>
    <xf numFmtId="0" fontId="3" fillId="4" borderId="6" xfId="0" applyFont="1" applyFill="1" applyBorder="1"/>
    <xf numFmtId="0" fontId="0" fillId="4" borderId="6" xfId="0" applyFill="1" applyBorder="1"/>
    <xf numFmtId="0" fontId="3" fillId="4" borderId="9" xfId="0" applyFont="1" applyFill="1" applyBorder="1"/>
    <xf numFmtId="0" fontId="0" fillId="4" borderId="9" xfId="0" applyFill="1" applyBorder="1"/>
    <xf numFmtId="0" fontId="3" fillId="4" borderId="0" xfId="0" applyFont="1" applyFill="1"/>
    <xf numFmtId="0" fontId="0" fillId="4" borderId="0" xfId="0" applyFill="1"/>
    <xf numFmtId="0" fontId="3" fillId="0" borderId="12" xfId="0" applyFont="1" applyBorder="1"/>
    <xf numFmtId="0" fontId="3" fillId="0" borderId="13" xfId="0" applyFont="1" applyBorder="1"/>
    <xf numFmtId="0" fontId="3" fillId="0" borderId="14" xfId="0" applyFont="1" applyBorder="1"/>
    <xf numFmtId="10" fontId="3" fillId="0" borderId="15" xfId="0" applyNumberFormat="1" applyFont="1" applyBorder="1"/>
    <xf numFmtId="10" fontId="3" fillId="0" borderId="16" xfId="0" applyNumberFormat="1" applyFont="1" applyBorder="1"/>
    <xf numFmtId="3" fontId="3" fillId="0" borderId="17" xfId="0" applyNumberFormat="1" applyFont="1" applyBorder="1"/>
    <xf numFmtId="3" fontId="3" fillId="0" borderId="18" xfId="0" applyNumberFormat="1" applyFont="1" applyBorder="1"/>
    <xf numFmtId="0" fontId="3" fillId="0" borderId="17" xfId="0" applyFont="1" applyBorder="1"/>
    <xf numFmtId="6" fontId="3" fillId="0" borderId="19" xfId="0" applyNumberFormat="1" applyFont="1" applyBorder="1"/>
    <xf numFmtId="10" fontId="3" fillId="0" borderId="18" xfId="0" applyNumberFormat="1" applyFont="1" applyBorder="1"/>
    <xf numFmtId="10" fontId="3" fillId="0" borderId="19" xfId="0" applyNumberFormat="1" applyFont="1" applyBorder="1"/>
    <xf numFmtId="6" fontId="3" fillId="0" borderId="17" xfId="0" applyNumberFormat="1" applyFont="1" applyBorder="1"/>
    <xf numFmtId="0" fontId="3" fillId="0" borderId="21" xfId="0" applyFont="1" applyBorder="1"/>
    <xf numFmtId="0" fontId="3" fillId="0" borderId="20" xfId="0" applyFont="1" applyBorder="1"/>
    <xf numFmtId="0" fontId="4" fillId="0" borderId="20" xfId="0" applyFont="1" applyBorder="1"/>
    <xf numFmtId="3" fontId="4" fillId="0" borderId="18" xfId="0" applyNumberFormat="1" applyFont="1" applyBorder="1"/>
    <xf numFmtId="0" fontId="4" fillId="0" borderId="17" xfId="0" applyFont="1" applyBorder="1"/>
    <xf numFmtId="6" fontId="4" fillId="0" borderId="19" xfId="0" applyNumberFormat="1" applyFont="1" applyBorder="1"/>
    <xf numFmtId="10" fontId="4" fillId="0" borderId="18" xfId="0" applyNumberFormat="1" applyFont="1" applyBorder="1"/>
    <xf numFmtId="10" fontId="4" fillId="0" borderId="19" xfId="0" applyNumberFormat="1" applyFont="1" applyBorder="1"/>
    <xf numFmtId="0" fontId="3" fillId="5" borderId="3" xfId="0" applyFont="1" applyFill="1" applyBorder="1"/>
    <xf numFmtId="0" fontId="0" fillId="5" borderId="3" xfId="0" applyFill="1" applyBorder="1"/>
    <xf numFmtId="0" fontId="3" fillId="5" borderId="0" xfId="0" applyFont="1" applyFill="1" applyBorder="1"/>
    <xf numFmtId="0" fontId="0" fillId="5" borderId="0" xfId="0" applyFill="1" applyBorder="1"/>
    <xf numFmtId="0" fontId="0" fillId="6" borderId="0" xfId="0" applyFill="1"/>
    <xf numFmtId="3" fontId="3" fillId="0" borderId="20" xfId="0" applyNumberFormat="1" applyFont="1" applyBorder="1"/>
    <xf numFmtId="3" fontId="3" fillId="4" borderId="20" xfId="0" applyNumberFormat="1" applyFont="1" applyFill="1" applyBorder="1"/>
    <xf numFmtId="6" fontId="3" fillId="0" borderId="20" xfId="0" applyNumberFormat="1" applyFont="1" applyBorder="1"/>
    <xf numFmtId="8" fontId="3" fillId="0" borderId="17" xfId="0" applyNumberFormat="1" applyFont="1" applyBorder="1"/>
    <xf numFmtId="8" fontId="3" fillId="0" borderId="18" xfId="0" applyNumberFormat="1" applyFont="1" applyBorder="1"/>
    <xf numFmtId="0" fontId="3" fillId="4" borderId="3" xfId="0" applyFont="1" applyFill="1" applyBorder="1"/>
    <xf numFmtId="0" fontId="0" fillId="4" borderId="3" xfId="0" applyFill="1" applyBorder="1"/>
    <xf numFmtId="8" fontId="3" fillId="0" borderId="19" xfId="0" applyNumberFormat="1" applyFont="1" applyBorder="1"/>
    <xf numFmtId="3" fontId="3" fillId="0" borderId="23" xfId="0" applyNumberFormat="1" applyFont="1" applyBorder="1"/>
    <xf numFmtId="0" fontId="3" fillId="0" borderId="23" xfId="0" applyFont="1" applyBorder="1"/>
    <xf numFmtId="0" fontId="3" fillId="0" borderId="18" xfId="0" applyFont="1" applyBorder="1"/>
    <xf numFmtId="6" fontId="3" fillId="0" borderId="18" xfId="0" applyNumberFormat="1" applyFont="1" applyBorder="1"/>
    <xf numFmtId="0" fontId="3" fillId="0" borderId="24" xfId="0" applyFont="1" applyBorder="1"/>
    <xf numFmtId="0" fontId="3" fillId="2" borderId="17" xfId="0" applyFont="1" applyFill="1" applyBorder="1"/>
    <xf numFmtId="0" fontId="3" fillId="0" borderId="25" xfId="0" applyFont="1" applyBorder="1"/>
    <xf numFmtId="6" fontId="3" fillId="0" borderId="25" xfId="0" applyNumberFormat="1" applyFont="1" applyBorder="1"/>
    <xf numFmtId="3" fontId="3" fillId="0" borderId="25" xfId="0" applyNumberFormat="1" applyFont="1" applyBorder="1"/>
    <xf numFmtId="3" fontId="3" fillId="0" borderId="26" xfId="0" applyNumberFormat="1" applyFont="1" applyBorder="1"/>
    <xf numFmtId="0" fontId="3" fillId="0" borderId="26" xfId="0" applyFont="1" applyBorder="1"/>
    <xf numFmtId="3" fontId="3" fillId="0" borderId="27" xfId="0" applyNumberFormat="1" applyFont="1" applyBorder="1"/>
    <xf numFmtId="6" fontId="3" fillId="0" borderId="28" xfId="0" applyNumberFormat="1" applyFont="1" applyBorder="1"/>
    <xf numFmtId="0" fontId="4" fillId="0" borderId="0" xfId="0" applyFont="1" applyBorder="1"/>
    <xf numFmtId="0" fontId="4" fillId="5" borderId="11" xfId="0" applyFont="1" applyFill="1" applyBorder="1"/>
    <xf numFmtId="0" fontId="6" fillId="0" borderId="0" xfId="0" applyFont="1" applyFill="1"/>
    <xf numFmtId="8" fontId="3" fillId="0" borderId="17" xfId="0" applyNumberFormat="1" applyFont="1" applyFill="1" applyBorder="1"/>
    <xf numFmtId="0" fontId="4" fillId="0" borderId="29" xfId="0" applyFont="1" applyBorder="1"/>
    <xf numFmtId="0" fontId="4" fillId="0" borderId="23" xfId="0" applyFont="1" applyBorder="1"/>
    <xf numFmtId="0" fontId="4" fillId="0" borderId="26" xfId="0" applyFont="1" applyBorder="1"/>
    <xf numFmtId="166" fontId="4" fillId="0" borderId="2" xfId="0" applyNumberFormat="1" applyFont="1" applyBorder="1"/>
    <xf numFmtId="166" fontId="4" fillId="0" borderId="2" xfId="0" applyNumberFormat="1" applyFont="1" applyBorder="1" applyAlignment="1">
      <alignment horizontal="center" wrapText="1"/>
    </xf>
    <xf numFmtId="0" fontId="3" fillId="7" borderId="0" xfId="0" applyFont="1" applyFill="1"/>
    <xf numFmtId="0" fontId="3" fillId="7" borderId="0" xfId="0" applyFont="1" applyFill="1" applyAlignment="1">
      <alignment horizontal="left" wrapText="1"/>
    </xf>
    <xf numFmtId="0" fontId="4" fillId="0" borderId="9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3" fillId="0" borderId="30" xfId="0" applyFont="1" applyBorder="1"/>
    <xf numFmtId="0" fontId="3" fillId="0" borderId="31" xfId="0" applyFont="1" applyBorder="1"/>
    <xf numFmtId="6" fontId="4" fillId="0" borderId="18" xfId="0" applyNumberFormat="1" applyFont="1" applyBorder="1"/>
    <xf numFmtId="0" fontId="3" fillId="0" borderId="32" xfId="0" applyFont="1" applyBorder="1"/>
    <xf numFmtId="3" fontId="4" fillId="0" borderId="20" xfId="0" applyNumberFormat="1" applyFont="1" applyBorder="1"/>
    <xf numFmtId="10" fontId="4" fillId="0" borderId="20" xfId="0" applyNumberFormat="1" applyFont="1" applyBorder="1"/>
    <xf numFmtId="0" fontId="4" fillId="4" borderId="0" xfId="0" applyFont="1" applyFill="1"/>
    <xf numFmtId="0" fontId="7" fillId="0" borderId="0" xfId="0" applyFont="1"/>
    <xf numFmtId="0" fontId="4" fillId="0" borderId="0" xfId="0" applyFont="1" applyFill="1"/>
    <xf numFmtId="0" fontId="3" fillId="0" borderId="0" xfId="0" applyFont="1" applyFill="1" applyBorder="1" applyAlignment="1"/>
    <xf numFmtId="43" fontId="4" fillId="0" borderId="0" xfId="1" applyFont="1" applyFill="1" applyBorder="1"/>
    <xf numFmtId="3" fontId="3" fillId="0" borderId="20" xfId="0" applyNumberFormat="1" applyFont="1" applyFill="1" applyBorder="1"/>
    <xf numFmtId="3" fontId="3" fillId="0" borderId="17" xfId="0" applyNumberFormat="1" applyFont="1" applyFill="1" applyBorder="1"/>
    <xf numFmtId="0" fontId="3" fillId="8" borderId="0" xfId="0" applyFont="1" applyFill="1"/>
    <xf numFmtId="0" fontId="4" fillId="5" borderId="33" xfId="0" applyFont="1" applyFill="1" applyBorder="1"/>
    <xf numFmtId="8" fontId="3" fillId="8" borderId="17" xfId="0" applyNumberFormat="1" applyFont="1" applyFill="1" applyBorder="1"/>
    <xf numFmtId="8" fontId="3" fillId="0" borderId="0" xfId="0" applyNumberFormat="1" applyFont="1" applyBorder="1"/>
    <xf numFmtId="8" fontId="3" fillId="0" borderId="0" xfId="0" applyNumberFormat="1" applyFont="1" applyFill="1" applyBorder="1"/>
    <xf numFmtId="0" fontId="4" fillId="5" borderId="0" xfId="0" applyFont="1" applyFill="1" applyBorder="1"/>
    <xf numFmtId="0" fontId="3" fillId="9" borderId="0" xfId="0" applyFont="1" applyFill="1"/>
    <xf numFmtId="0" fontId="3" fillId="9" borderId="3" xfId="0" applyFont="1" applyFill="1" applyBorder="1"/>
    <xf numFmtId="2" fontId="4" fillId="9" borderId="2" xfId="0" applyNumberFormat="1" applyFont="1" applyFill="1" applyBorder="1"/>
    <xf numFmtId="43" fontId="3" fillId="0" borderId="20" xfId="1" applyFont="1" applyFill="1" applyBorder="1"/>
    <xf numFmtId="0" fontId="2" fillId="0" borderId="0" xfId="0" applyFont="1"/>
    <xf numFmtId="0" fontId="0" fillId="6" borderId="0" xfId="0" applyFill="1" applyBorder="1"/>
    <xf numFmtId="0" fontId="3" fillId="0" borderId="0" xfId="0" applyFont="1" applyFill="1" applyBorder="1"/>
    <xf numFmtId="0" fontId="0" fillId="0" borderId="0" xfId="0" applyFill="1" applyBorder="1"/>
    <xf numFmtId="0" fontId="0" fillId="4" borderId="0" xfId="0" applyFill="1" applyBorder="1"/>
    <xf numFmtId="0" fontId="3" fillId="0" borderId="25" xfId="0" applyFont="1" applyFill="1" applyBorder="1"/>
    <xf numFmtId="6" fontId="3" fillId="0" borderId="17" xfId="0" applyNumberFormat="1" applyFont="1" applyFill="1" applyBorder="1"/>
    <xf numFmtId="0" fontId="3" fillId="0" borderId="17" xfId="0" applyFont="1" applyFill="1" applyBorder="1"/>
    <xf numFmtId="3" fontId="3" fillId="0" borderId="0" xfId="0" applyNumberFormat="1" applyFont="1" applyFill="1" applyBorder="1"/>
    <xf numFmtId="3" fontId="3" fillId="0" borderId="18" xfId="0" applyNumberFormat="1" applyFont="1" applyFill="1" applyBorder="1"/>
    <xf numFmtId="3" fontId="3" fillId="0" borderId="22" xfId="0" applyNumberFormat="1" applyFont="1" applyFill="1" applyBorder="1"/>
    <xf numFmtId="6" fontId="3" fillId="0" borderId="19" xfId="0" applyNumberFormat="1" applyFont="1" applyFill="1" applyBorder="1"/>
    <xf numFmtId="8" fontId="3" fillId="0" borderId="20" xfId="0" applyNumberFormat="1" applyFont="1" applyBorder="1"/>
    <xf numFmtId="0" fontId="8" fillId="0" borderId="0" xfId="0" applyFont="1" applyFill="1"/>
    <xf numFmtId="0" fontId="4" fillId="2" borderId="17" xfId="0" applyFont="1" applyFill="1" applyBorder="1"/>
    <xf numFmtId="0" fontId="5" fillId="0" borderId="0" xfId="0" applyFont="1" applyFill="1"/>
    <xf numFmtId="0" fontId="4" fillId="0" borderId="0" xfId="0" applyFont="1" applyFill="1" applyBorder="1"/>
    <xf numFmtId="0" fontId="2" fillId="0" borderId="0" xfId="0" applyFont="1" applyFill="1"/>
    <xf numFmtId="0" fontId="4" fillId="0" borderId="21" xfId="0" applyFont="1" applyBorder="1"/>
    <xf numFmtId="6" fontId="4" fillId="0" borderId="21" xfId="0" applyNumberFormat="1" applyFont="1" applyBorder="1"/>
    <xf numFmtId="3" fontId="4" fillId="0" borderId="21" xfId="0" applyNumberFormat="1" applyFont="1" applyBorder="1"/>
    <xf numFmtId="3" fontId="4" fillId="0" borderId="15" xfId="0" applyNumberFormat="1" applyFont="1" applyBorder="1"/>
    <xf numFmtId="0" fontId="4" fillId="0" borderId="14" xfId="0" applyFont="1" applyBorder="1"/>
    <xf numFmtId="6" fontId="4" fillId="0" borderId="16" xfId="0" applyNumberFormat="1" applyFont="1" applyBorder="1"/>
    <xf numFmtId="0" fontId="3" fillId="4" borderId="32" xfId="0" applyFont="1" applyFill="1" applyBorder="1"/>
    <xf numFmtId="3" fontId="4" fillId="4" borderId="21" xfId="0" applyNumberFormat="1" applyFont="1" applyFill="1" applyBorder="1"/>
    <xf numFmtId="3" fontId="4" fillId="4" borderId="20" xfId="0" applyNumberFormat="1" applyFont="1" applyFill="1" applyBorder="1"/>
    <xf numFmtId="0" fontId="3" fillId="4" borderId="20" xfId="0" applyFont="1" applyFill="1" applyBorder="1"/>
    <xf numFmtId="10" fontId="4" fillId="4" borderId="20" xfId="0" applyNumberFormat="1" applyFont="1" applyFill="1" applyBorder="1"/>
    <xf numFmtId="0" fontId="3" fillId="4" borderId="21" xfId="0" applyFont="1" applyFill="1" applyBorder="1"/>
    <xf numFmtId="0" fontId="4" fillId="9" borderId="11" xfId="0" applyFont="1" applyFill="1" applyBorder="1"/>
    <xf numFmtId="8" fontId="3" fillId="9" borderId="34" xfId="0" applyNumberFormat="1" applyFont="1" applyFill="1" applyBorder="1"/>
    <xf numFmtId="8" fontId="3" fillId="9" borderId="11" xfId="0" applyNumberFormat="1" applyFont="1" applyFill="1" applyBorder="1"/>
    <xf numFmtId="0" fontId="4" fillId="9" borderId="1" xfId="0" applyFont="1" applyFill="1" applyBorder="1"/>
    <xf numFmtId="0" fontId="3" fillId="9" borderId="2" xfId="0" applyFont="1" applyFill="1" applyBorder="1"/>
    <xf numFmtId="0" fontId="3" fillId="9" borderId="11" xfId="0" applyFont="1" applyFill="1" applyBorder="1"/>
    <xf numFmtId="6" fontId="3" fillId="9" borderId="18" xfId="0" applyNumberFormat="1" applyFont="1" applyFill="1" applyBorder="1"/>
    <xf numFmtId="9" fontId="3" fillId="9" borderId="18" xfId="2" applyFont="1" applyFill="1" applyBorder="1"/>
    <xf numFmtId="0" fontId="0" fillId="0" borderId="3" xfId="0" applyFill="1" applyBorder="1"/>
    <xf numFmtId="0" fontId="4" fillId="5" borderId="35" xfId="0" applyFont="1" applyFill="1" applyBorder="1"/>
    <xf numFmtId="0" fontId="3" fillId="0" borderId="14" xfId="0" applyFont="1" applyFill="1" applyBorder="1"/>
    <xf numFmtId="43" fontId="3" fillId="0" borderId="14" xfId="1" applyFont="1" applyFill="1" applyBorder="1"/>
    <xf numFmtId="43" fontId="3" fillId="0" borderId="14" xfId="1" applyNumberFormat="1" applyFont="1" applyFill="1" applyBorder="1"/>
    <xf numFmtId="0" fontId="3" fillId="0" borderId="36" xfId="0" applyFont="1" applyFill="1" applyBorder="1"/>
    <xf numFmtId="9" fontId="4" fillId="0" borderId="29" xfId="2" applyFont="1" applyBorder="1"/>
    <xf numFmtId="168" fontId="3" fillId="0" borderId="14" xfId="1" applyNumberFormat="1" applyFont="1" applyFill="1" applyBorder="1"/>
    <xf numFmtId="8" fontId="3" fillId="0" borderId="25" xfId="0" applyNumberFormat="1" applyFont="1" applyBorder="1"/>
    <xf numFmtId="0" fontId="4" fillId="5" borderId="37" xfId="0" applyFont="1" applyFill="1" applyBorder="1"/>
    <xf numFmtId="9" fontId="4" fillId="0" borderId="37" xfId="2" applyFont="1" applyBorder="1"/>
    <xf numFmtId="0" fontId="3" fillId="0" borderId="36" xfId="0" applyFont="1" applyBorder="1"/>
    <xf numFmtId="0" fontId="4" fillId="5" borderId="4" xfId="0" applyFont="1" applyFill="1" applyBorder="1"/>
    <xf numFmtId="43" fontId="4" fillId="0" borderId="29" xfId="1" applyFont="1" applyBorder="1"/>
    <xf numFmtId="0" fontId="4" fillId="5" borderId="29" xfId="0" applyFont="1" applyFill="1" applyBorder="1"/>
    <xf numFmtId="165" fontId="4" fillId="0" borderId="29" xfId="1" applyNumberFormat="1" applyFont="1" applyBorder="1"/>
    <xf numFmtId="0" fontId="4" fillId="5" borderId="23" xfId="0" applyFont="1" applyFill="1" applyBorder="1"/>
    <xf numFmtId="43" fontId="3" fillId="0" borderId="17" xfId="1" applyFont="1" applyFill="1" applyBorder="1"/>
    <xf numFmtId="43" fontId="3" fillId="0" borderId="17" xfId="1" applyNumberFormat="1" applyFont="1" applyFill="1" applyBorder="1"/>
    <xf numFmtId="43" fontId="3" fillId="0" borderId="19" xfId="1" applyNumberFormat="1" applyFont="1" applyFill="1" applyBorder="1"/>
    <xf numFmtId="43" fontId="3" fillId="0" borderId="18" xfId="1" applyFont="1" applyFill="1" applyBorder="1"/>
    <xf numFmtId="9" fontId="4" fillId="0" borderId="23" xfId="2" applyFont="1" applyBorder="1"/>
    <xf numFmtId="168" fontId="3" fillId="0" borderId="17" xfId="1" applyNumberFormat="1" applyFont="1" applyFill="1" applyBorder="1"/>
    <xf numFmtId="3" fontId="3" fillId="0" borderId="15" xfId="0" applyNumberFormat="1" applyFont="1" applyBorder="1"/>
    <xf numFmtId="8" fontId="3" fillId="0" borderId="14" xfId="0" applyNumberFormat="1" applyFont="1" applyBorder="1"/>
    <xf numFmtId="2" fontId="4" fillId="0" borderId="23" xfId="0" applyNumberFormat="1" applyFont="1" applyBorder="1"/>
    <xf numFmtId="167" fontId="4" fillId="0" borderId="23" xfId="0" applyNumberFormat="1" applyFont="1" applyBorder="1"/>
    <xf numFmtId="43" fontId="4" fillId="0" borderId="25" xfId="1" applyFont="1" applyFill="1" applyBorder="1"/>
    <xf numFmtId="43" fontId="4" fillId="0" borderId="37" xfId="1" applyFont="1" applyBorder="1"/>
    <xf numFmtId="165" fontId="4" fillId="0" borderId="37" xfId="1" applyNumberFormat="1" applyFont="1" applyBorder="1"/>
    <xf numFmtId="8" fontId="3" fillId="0" borderId="14" xfId="0" applyNumberFormat="1" applyFont="1" applyFill="1" applyBorder="1"/>
    <xf numFmtId="3" fontId="3" fillId="0" borderId="14" xfId="0" applyNumberFormat="1" applyFont="1" applyBorder="1"/>
    <xf numFmtId="0" fontId="3" fillId="0" borderId="38" xfId="0" applyFont="1" applyBorder="1"/>
    <xf numFmtId="165" fontId="4" fillId="0" borderId="23" xfId="1" applyNumberFormat="1" applyFont="1" applyBorder="1"/>
    <xf numFmtId="43" fontId="4" fillId="0" borderId="23" xfId="1" applyFont="1" applyBorder="1"/>
    <xf numFmtId="2" fontId="4" fillId="0" borderId="4" xfId="0" applyNumberFormat="1" applyFont="1" applyBorder="1"/>
    <xf numFmtId="165" fontId="4" fillId="0" borderId="0" xfId="1" applyNumberFormat="1" applyFont="1" applyFill="1" applyBorder="1"/>
    <xf numFmtId="2" fontId="4" fillId="0" borderId="0" xfId="0" applyNumberFormat="1" applyFont="1" applyFill="1" applyBorder="1"/>
    <xf numFmtId="167" fontId="4" fillId="0" borderId="0" xfId="1" applyNumberFormat="1" applyFont="1" applyFill="1" applyBorder="1"/>
    <xf numFmtId="167" fontId="4" fillId="0" borderId="0" xfId="0" applyNumberFormat="1" applyFont="1" applyBorder="1"/>
    <xf numFmtId="0" fontId="3" fillId="3" borderId="4" xfId="0" applyFont="1" applyFill="1" applyBorder="1"/>
    <xf numFmtId="0" fontId="3" fillId="5" borderId="23" xfId="0" applyFont="1" applyFill="1" applyBorder="1"/>
    <xf numFmtId="0" fontId="4" fillId="5" borderId="3" xfId="0" applyFont="1" applyFill="1" applyBorder="1"/>
    <xf numFmtId="43" fontId="4" fillId="10" borderId="23" xfId="1" applyFont="1" applyFill="1" applyBorder="1"/>
    <xf numFmtId="43" fontId="4" fillId="10" borderId="29" xfId="1" applyFont="1" applyFill="1" applyBorder="1"/>
    <xf numFmtId="43" fontId="4" fillId="10" borderId="37" xfId="1" applyFont="1" applyFill="1" applyBorder="1"/>
    <xf numFmtId="165" fontId="4" fillId="10" borderId="29" xfId="1" applyNumberFormat="1" applyFont="1" applyFill="1" applyBorder="1"/>
    <xf numFmtId="43" fontId="4" fillId="10" borderId="23" xfId="1" applyNumberFormat="1" applyFont="1" applyFill="1" applyBorder="1"/>
    <xf numFmtId="165" fontId="4" fillId="10" borderId="23" xfId="1" applyNumberFormat="1" applyFont="1" applyFill="1" applyBorder="1"/>
    <xf numFmtId="9" fontId="4" fillId="10" borderId="23" xfId="2" applyFont="1" applyFill="1" applyBorder="1"/>
    <xf numFmtId="9" fontId="4" fillId="10" borderId="29" xfId="2" applyFont="1" applyFill="1" applyBorder="1"/>
    <xf numFmtId="167" fontId="4" fillId="10" borderId="23" xfId="0" applyNumberFormat="1" applyFont="1" applyFill="1" applyBorder="1"/>
    <xf numFmtId="167" fontId="4" fillId="10" borderId="29" xfId="0" applyNumberFormat="1" applyFont="1" applyFill="1" applyBorder="1"/>
    <xf numFmtId="0" fontId="3" fillId="0" borderId="10" xfId="0" applyFont="1" applyFill="1" applyBorder="1"/>
    <xf numFmtId="0" fontId="0" fillId="0" borderId="17" xfId="0" applyBorder="1"/>
    <xf numFmtId="0" fontId="4" fillId="0" borderId="39" xfId="0" applyFont="1" applyFill="1" applyBorder="1"/>
    <xf numFmtId="0" fontId="0" fillId="0" borderId="20" xfId="0" applyFill="1" applyBorder="1"/>
    <xf numFmtId="0" fontId="3" fillId="0" borderId="20" xfId="0" applyFont="1" applyFill="1" applyBorder="1"/>
    <xf numFmtId="8" fontId="3" fillId="0" borderId="20" xfId="0" applyNumberFormat="1" applyFont="1" applyFill="1" applyBorder="1"/>
    <xf numFmtId="8" fontId="3" fillId="0" borderId="22" xfId="0" applyNumberFormat="1" applyFont="1" applyFill="1" applyBorder="1"/>
    <xf numFmtId="8" fontId="3" fillId="0" borderId="19" xfId="0" applyNumberFormat="1" applyFont="1" applyFill="1" applyBorder="1"/>
    <xf numFmtId="3" fontId="3" fillId="0" borderId="8" xfId="0" applyNumberFormat="1" applyFont="1" applyBorder="1"/>
    <xf numFmtId="8" fontId="3" fillId="0" borderId="35" xfId="0" applyNumberFormat="1" applyFont="1" applyBorder="1"/>
    <xf numFmtId="8" fontId="3" fillId="0" borderId="37" xfId="0" applyNumberFormat="1" applyFont="1" applyBorder="1"/>
    <xf numFmtId="8" fontId="3" fillId="0" borderId="24" xfId="0" applyNumberFormat="1" applyFont="1" applyBorder="1"/>
    <xf numFmtId="6" fontId="3" fillId="0" borderId="24" xfId="0" applyNumberFormat="1" applyFont="1" applyBorder="1"/>
    <xf numFmtId="0" fontId="3" fillId="0" borderId="40" xfId="0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6D472-DF00-4F4F-B4C5-8C09DB5181B3}">
  <dimension ref="A1:AT63"/>
  <sheetViews>
    <sheetView tabSelected="1" workbookViewId="0">
      <selection activeCell="H42" sqref="H42"/>
    </sheetView>
  </sheetViews>
  <sheetFormatPr defaultRowHeight="15" x14ac:dyDescent="0.25"/>
  <cols>
    <col min="1" max="1" width="3.5703125" customWidth="1"/>
    <col min="2" max="2" width="22" customWidth="1"/>
    <col min="3" max="3" width="24.85546875" customWidth="1"/>
    <col min="4" max="4" width="16.85546875" customWidth="1"/>
    <col min="5" max="5" width="11.42578125" bestFit="1" customWidth="1"/>
    <col min="6" max="6" width="12.85546875" bestFit="1" customWidth="1"/>
    <col min="7" max="7" width="13.28515625" bestFit="1" customWidth="1"/>
    <col min="8" max="8" width="13.28515625" customWidth="1"/>
    <col min="9" max="9" width="13.5703125" customWidth="1"/>
    <col min="10" max="10" width="15" customWidth="1"/>
    <col min="11" max="11" width="11.42578125" bestFit="1" customWidth="1"/>
  </cols>
  <sheetData>
    <row r="1" spans="1:46" ht="15.75" x14ac:dyDescent="0.25">
      <c r="A1" s="10"/>
      <c r="B1" s="11" t="s">
        <v>12</v>
      </c>
      <c r="C1" s="11" t="s">
        <v>13</v>
      </c>
      <c r="D1" s="12">
        <v>44423</v>
      </c>
      <c r="E1" s="10"/>
      <c r="F1" s="10"/>
      <c r="G1" s="10"/>
      <c r="H1" s="10"/>
      <c r="I1" s="10"/>
      <c r="J1" s="10"/>
      <c r="K1" s="10"/>
      <c r="L1" s="10"/>
      <c r="M1" s="10"/>
    </row>
    <row r="2" spans="1:46" ht="15.75" x14ac:dyDescent="0.25">
      <c r="A2" s="10"/>
      <c r="B2" s="11"/>
      <c r="C2" s="11" t="s">
        <v>211</v>
      </c>
      <c r="D2" s="12"/>
      <c r="E2" s="10"/>
      <c r="F2" s="10"/>
      <c r="G2" s="10"/>
      <c r="H2" s="10"/>
      <c r="I2" s="11"/>
      <c r="J2" s="10"/>
      <c r="K2" s="10"/>
      <c r="L2" s="10"/>
      <c r="M2" s="10"/>
    </row>
    <row r="3" spans="1:46" ht="15.75" x14ac:dyDescent="0.25">
      <c r="A3" s="10"/>
      <c r="B3" s="11"/>
      <c r="C3" s="11" t="s">
        <v>210</v>
      </c>
      <c r="D3" s="12"/>
      <c r="E3" s="10"/>
      <c r="F3" s="10"/>
      <c r="G3" s="10"/>
      <c r="H3" s="10"/>
      <c r="I3" s="11" t="s">
        <v>228</v>
      </c>
      <c r="J3" s="10"/>
      <c r="K3" s="10"/>
      <c r="L3" s="10"/>
      <c r="M3" s="10"/>
    </row>
    <row r="4" spans="1:46" ht="15.75" x14ac:dyDescent="0.25">
      <c r="A4" s="10"/>
      <c r="B4" s="11"/>
      <c r="C4" s="11" t="s">
        <v>212</v>
      </c>
      <c r="D4" s="12"/>
      <c r="E4" s="10"/>
      <c r="F4" s="10"/>
      <c r="G4" s="10"/>
      <c r="H4" s="10"/>
      <c r="I4" s="117" t="s">
        <v>218</v>
      </c>
      <c r="J4" s="1"/>
      <c r="K4" s="30"/>
      <c r="L4" s="10"/>
      <c r="M4" s="10"/>
    </row>
    <row r="5" spans="1:46" ht="15.75" x14ac:dyDescent="0.25">
      <c r="A5" s="10"/>
      <c r="B5" s="10"/>
      <c r="C5" s="11"/>
      <c r="D5" s="96"/>
      <c r="E5" s="13"/>
      <c r="F5" s="13"/>
      <c r="G5" s="13"/>
      <c r="H5" s="13"/>
      <c r="I5" s="117" t="s">
        <v>232</v>
      </c>
      <c r="J5" s="117"/>
      <c r="K5" s="30"/>
      <c r="L5" s="10"/>
      <c r="M5" s="10"/>
    </row>
    <row r="6" spans="1:46" ht="15.75" x14ac:dyDescent="0.25">
      <c r="A6" s="10"/>
      <c r="B6" s="11" t="s">
        <v>219</v>
      </c>
      <c r="C6" s="96" t="s">
        <v>214</v>
      </c>
      <c r="D6" s="96"/>
      <c r="E6" s="96"/>
      <c r="F6" s="10"/>
      <c r="G6" s="10"/>
      <c r="H6" s="10"/>
      <c r="I6" s="117" t="s">
        <v>221</v>
      </c>
      <c r="J6" s="117"/>
      <c r="K6" s="30"/>
      <c r="L6" s="10"/>
      <c r="M6" s="10"/>
    </row>
    <row r="7" spans="1:46" ht="16.5" thickBot="1" x14ac:dyDescent="0.3">
      <c r="A7" s="10"/>
      <c r="B7" s="11" t="s">
        <v>218</v>
      </c>
      <c r="C7" s="11" t="s">
        <v>220</v>
      </c>
      <c r="D7" s="96"/>
      <c r="E7" s="96"/>
      <c r="F7" s="96" t="s">
        <v>216</v>
      </c>
      <c r="G7" s="96" t="s">
        <v>217</v>
      </c>
      <c r="H7" s="96"/>
      <c r="I7" s="117"/>
      <c r="J7" s="148" t="s">
        <v>216</v>
      </c>
      <c r="K7" s="148" t="s">
        <v>217</v>
      </c>
      <c r="L7" s="10"/>
      <c r="M7" s="10"/>
    </row>
    <row r="8" spans="1:46" s="71" customFormat="1" ht="16.5" thickBot="1" x14ac:dyDescent="0.3">
      <c r="A8" s="70"/>
      <c r="B8" s="70"/>
      <c r="C8" s="70"/>
      <c r="D8" s="179">
        <v>2015</v>
      </c>
      <c r="E8" s="97">
        <v>2016</v>
      </c>
      <c r="F8" s="97">
        <v>2017</v>
      </c>
      <c r="G8" s="171">
        <v>2018</v>
      </c>
      <c r="H8" s="148"/>
      <c r="I8" s="186">
        <v>2016</v>
      </c>
      <c r="J8" s="184">
        <v>2017</v>
      </c>
      <c r="K8" s="184">
        <v>2018</v>
      </c>
      <c r="L8" s="134"/>
      <c r="M8" s="134"/>
      <c r="N8" s="135"/>
      <c r="O8" s="135"/>
      <c r="P8" s="135"/>
      <c r="Q8" s="135"/>
      <c r="R8" s="135"/>
      <c r="S8" s="135"/>
      <c r="T8" s="135"/>
      <c r="U8" s="135"/>
      <c r="V8" s="170"/>
      <c r="W8" s="170"/>
      <c r="X8" s="170"/>
      <c r="Y8" s="170"/>
      <c r="Z8" s="170"/>
      <c r="AA8" s="170"/>
      <c r="AB8" s="170"/>
      <c r="AC8" s="170"/>
      <c r="AD8" s="170"/>
      <c r="AE8" s="170"/>
      <c r="AF8" s="170"/>
      <c r="AG8" s="170"/>
      <c r="AH8" s="170"/>
      <c r="AI8" s="170"/>
      <c r="AJ8" s="170"/>
      <c r="AK8" s="170"/>
      <c r="AL8" s="170"/>
      <c r="AM8" s="170"/>
      <c r="AN8" s="170"/>
      <c r="AO8" s="170"/>
      <c r="AP8" s="170"/>
      <c r="AQ8" s="170"/>
      <c r="AR8" s="170"/>
      <c r="AS8" s="170"/>
      <c r="AT8" s="170"/>
    </row>
    <row r="9" spans="1:46" ht="15.75" x14ac:dyDescent="0.25">
      <c r="A9" s="147">
        <v>1</v>
      </c>
      <c r="B9" s="98" t="s">
        <v>17</v>
      </c>
      <c r="C9" s="10" t="s">
        <v>8</v>
      </c>
      <c r="D9" s="89"/>
      <c r="E9" s="181"/>
      <c r="F9" s="202"/>
      <c r="G9" s="52"/>
      <c r="H9" s="134"/>
      <c r="I9" s="139"/>
      <c r="J9" s="172"/>
      <c r="K9" s="172"/>
      <c r="L9" s="134"/>
      <c r="M9" s="134"/>
      <c r="N9" s="135"/>
      <c r="O9" s="135"/>
      <c r="P9" s="135"/>
      <c r="Q9" s="135"/>
      <c r="R9" s="135"/>
      <c r="S9" s="135"/>
      <c r="T9" s="135"/>
      <c r="U9" s="135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</row>
    <row r="10" spans="1:46" ht="15.75" x14ac:dyDescent="0.25">
      <c r="A10" s="10"/>
      <c r="B10" s="10"/>
      <c r="C10" s="10" t="s">
        <v>2</v>
      </c>
      <c r="D10" s="91">
        <v>26706</v>
      </c>
      <c r="E10" s="201">
        <v>28550</v>
      </c>
      <c r="F10" s="78">
        <f t="shared" ref="F10:F11" si="0">E10+(E10*0.03)</f>
        <v>29406.5</v>
      </c>
      <c r="G10" s="194">
        <f>F10+(F10*0.03)</f>
        <v>30288.695</v>
      </c>
      <c r="H10" s="126"/>
      <c r="I10" s="187">
        <v>43550</v>
      </c>
      <c r="J10" s="173">
        <f>I10+(I10*0.03)</f>
        <v>44856.5</v>
      </c>
      <c r="K10" s="173">
        <f>J10+(J10*0.03)</f>
        <v>46202.195</v>
      </c>
      <c r="L10" s="134"/>
      <c r="M10" s="134"/>
      <c r="N10" s="135"/>
      <c r="O10" s="135"/>
      <c r="P10" s="135"/>
      <c r="Q10" s="135"/>
      <c r="R10" s="135"/>
      <c r="S10" s="135"/>
      <c r="T10" s="135"/>
      <c r="U10" s="135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</row>
    <row r="11" spans="1:46" ht="16.5" thickBot="1" x14ac:dyDescent="0.3">
      <c r="A11" s="10"/>
      <c r="B11" s="10"/>
      <c r="C11" s="10" t="s">
        <v>1</v>
      </c>
      <c r="D11" s="94">
        <v>22618</v>
      </c>
      <c r="E11" s="193">
        <v>21906</v>
      </c>
      <c r="F11" s="99">
        <f t="shared" si="0"/>
        <v>22563.18</v>
      </c>
      <c r="G11" s="200">
        <f>F11+(F11*0.03)</f>
        <v>23240.075400000002</v>
      </c>
      <c r="H11" s="126"/>
      <c r="I11" s="131">
        <v>21906</v>
      </c>
      <c r="J11" s="173">
        <f>I11+(I11*0.03)</f>
        <v>22563.18</v>
      </c>
      <c r="K11" s="173">
        <f>J11+(J11*0.03)</f>
        <v>23240.075400000002</v>
      </c>
      <c r="L11" s="134"/>
      <c r="M11" s="134"/>
      <c r="N11" s="135"/>
      <c r="O11" s="135"/>
      <c r="P11" s="135"/>
      <c r="Q11" s="135"/>
      <c r="R11" s="135"/>
      <c r="S11" s="135"/>
      <c r="T11" s="135"/>
      <c r="U11" s="135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</row>
    <row r="12" spans="1:46" ht="16.5" thickBot="1" x14ac:dyDescent="0.3">
      <c r="A12" s="10"/>
      <c r="B12" s="10"/>
      <c r="C12" s="16" t="s">
        <v>17</v>
      </c>
      <c r="D12" s="199">
        <f>D10/D11</f>
        <v>1.1807410027411795</v>
      </c>
      <c r="E12" s="185">
        <f t="shared" ref="E12:K12" si="1">E10/E11</f>
        <v>1.3032959006664842</v>
      </c>
      <c r="F12" s="203">
        <f t="shared" si="1"/>
        <v>1.3032959006664842</v>
      </c>
      <c r="G12" s="185">
        <f t="shared" si="1"/>
        <v>1.3032959006664839</v>
      </c>
      <c r="H12" s="206"/>
      <c r="I12" s="213">
        <f t="shared" si="1"/>
        <v>1.9880398064457225</v>
      </c>
      <c r="J12" s="214">
        <f t="shared" si="1"/>
        <v>1.9880398064457225</v>
      </c>
      <c r="K12" s="214">
        <f t="shared" si="1"/>
        <v>1.9880398064457225</v>
      </c>
      <c r="L12" s="134"/>
      <c r="M12" s="134"/>
      <c r="N12" s="135"/>
      <c r="O12" s="135"/>
      <c r="P12" s="135"/>
      <c r="Q12" s="135"/>
      <c r="R12" s="135"/>
      <c r="S12" s="135"/>
      <c r="T12" s="135"/>
      <c r="U12" s="135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</row>
    <row r="13" spans="1:46" ht="16.5" thickBot="1" x14ac:dyDescent="0.3">
      <c r="A13" s="10"/>
      <c r="B13" s="11" t="s">
        <v>11</v>
      </c>
      <c r="C13" s="17"/>
      <c r="D13" s="10"/>
      <c r="E13" s="10"/>
      <c r="F13" s="10"/>
      <c r="G13" s="10"/>
      <c r="H13" s="134"/>
      <c r="I13" s="30"/>
      <c r="J13" s="30"/>
      <c r="K13" s="30"/>
      <c r="L13" s="134"/>
      <c r="M13" s="134"/>
      <c r="N13" s="135"/>
      <c r="O13" s="135"/>
      <c r="P13" s="135"/>
      <c r="Q13" s="135"/>
      <c r="R13" s="135"/>
      <c r="S13" s="135"/>
      <c r="T13" s="135"/>
      <c r="U13" s="135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</row>
    <row r="14" spans="1:46" s="73" customFormat="1" ht="16.5" thickBot="1" x14ac:dyDescent="0.3">
      <c r="A14" s="72"/>
      <c r="B14" s="72"/>
      <c r="C14" s="72"/>
      <c r="D14" s="179">
        <v>2015</v>
      </c>
      <c r="E14" s="171">
        <v>2016</v>
      </c>
      <c r="F14" s="186">
        <v>2017</v>
      </c>
      <c r="G14" s="186">
        <v>2018</v>
      </c>
      <c r="H14" s="148"/>
      <c r="I14" s="186">
        <v>2016</v>
      </c>
      <c r="J14" s="184">
        <v>2017</v>
      </c>
      <c r="K14" s="184">
        <v>2018</v>
      </c>
      <c r="L14" s="134"/>
      <c r="M14" s="134"/>
      <c r="N14" s="135"/>
      <c r="O14" s="135"/>
      <c r="P14" s="135"/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5"/>
      <c r="AE14" s="135"/>
      <c r="AF14" s="135"/>
      <c r="AG14" s="135"/>
      <c r="AH14" s="135"/>
      <c r="AI14" s="135"/>
      <c r="AJ14" s="135"/>
      <c r="AK14" s="135"/>
      <c r="AL14" s="135"/>
      <c r="AM14" s="135"/>
      <c r="AN14" s="135"/>
      <c r="AO14" s="135"/>
      <c r="AP14" s="135"/>
      <c r="AQ14" s="135"/>
      <c r="AR14" s="135"/>
      <c r="AS14" s="135"/>
      <c r="AT14" s="135"/>
    </row>
    <row r="15" spans="1:46" ht="15.75" x14ac:dyDescent="0.25">
      <c r="A15" s="30">
        <v>2</v>
      </c>
      <c r="B15" s="11" t="s">
        <v>0</v>
      </c>
      <c r="C15" s="10" t="s">
        <v>9</v>
      </c>
      <c r="D15" s="89"/>
      <c r="E15" s="52"/>
      <c r="F15" s="57"/>
      <c r="G15" s="57"/>
      <c r="H15" s="134"/>
      <c r="I15" s="139"/>
      <c r="J15" s="172"/>
      <c r="K15" s="172"/>
      <c r="L15" s="134"/>
      <c r="M15" s="134"/>
      <c r="N15" s="135"/>
      <c r="O15" s="135"/>
      <c r="P15" s="135"/>
      <c r="Q15" s="135"/>
      <c r="R15" s="135"/>
      <c r="S15" s="135"/>
      <c r="T15" s="135"/>
      <c r="U15" s="135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</row>
    <row r="16" spans="1:46" ht="15.75" x14ac:dyDescent="0.25">
      <c r="A16" s="10"/>
      <c r="B16" s="10"/>
      <c r="C16" s="10" t="s">
        <v>3</v>
      </c>
      <c r="D16" s="91">
        <v>26706</v>
      </c>
      <c r="E16" s="201">
        <v>28550</v>
      </c>
      <c r="F16" s="78">
        <f t="shared" ref="F16:F17" si="2">E16+(E16*0.03)</f>
        <v>29406.5</v>
      </c>
      <c r="G16" s="78">
        <f>F16+(F16*0.03)</f>
        <v>30288.695</v>
      </c>
      <c r="H16" s="126"/>
      <c r="I16" s="121">
        <v>43550</v>
      </c>
      <c r="J16" s="174">
        <f>I16+(I16*0.03)</f>
        <v>44856.5</v>
      </c>
      <c r="K16" s="174">
        <f>J16+(J16*0.03)</f>
        <v>46202.195</v>
      </c>
      <c r="L16" s="134"/>
      <c r="M16" s="134"/>
      <c r="N16" s="135"/>
      <c r="O16" s="135"/>
      <c r="P16" s="135"/>
      <c r="Q16" s="135"/>
      <c r="R16" s="135"/>
      <c r="S16" s="135"/>
      <c r="T16" s="135"/>
      <c r="U16" s="135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</row>
    <row r="17" spans="1:46" ht="15.75" x14ac:dyDescent="0.25">
      <c r="A17" s="10"/>
      <c r="B17" s="10"/>
      <c r="C17" s="10" t="s">
        <v>4</v>
      </c>
      <c r="D17" s="91">
        <v>8135</v>
      </c>
      <c r="E17" s="201">
        <v>8704</v>
      </c>
      <c r="F17" s="78">
        <f t="shared" si="2"/>
        <v>8965.1200000000008</v>
      </c>
      <c r="G17" s="78">
        <f>F17+(F17*0.03)</f>
        <v>9234.0736000000015</v>
      </c>
      <c r="H17" s="126"/>
      <c r="I17" s="188">
        <v>8704</v>
      </c>
      <c r="J17" s="174">
        <f t="shared" ref="J17:K17" si="3">I17+(I17*0.03)</f>
        <v>8965.1200000000008</v>
      </c>
      <c r="K17" s="174">
        <f t="shared" si="3"/>
        <v>9234.0736000000015</v>
      </c>
      <c r="L17" s="134"/>
      <c r="M17" s="134"/>
      <c r="N17" s="135"/>
      <c r="O17" s="135"/>
      <c r="P17" s="135"/>
      <c r="Q17" s="135"/>
      <c r="R17" s="135"/>
      <c r="S17" s="135"/>
      <c r="T17" s="135"/>
      <c r="U17" s="135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</row>
    <row r="18" spans="1:46" ht="16.5" thickBot="1" x14ac:dyDescent="0.3">
      <c r="A18" s="10"/>
      <c r="B18" s="10"/>
      <c r="C18" s="10" t="s">
        <v>1</v>
      </c>
      <c r="D18" s="94">
        <v>22618</v>
      </c>
      <c r="E18" s="193">
        <v>21906</v>
      </c>
      <c r="F18" s="99">
        <f t="shared" ref="F18" si="4">E18+(E18*0.03)</f>
        <v>22563.18</v>
      </c>
      <c r="G18" s="99">
        <f>F18+(F18*0.03)</f>
        <v>23240.075400000002</v>
      </c>
      <c r="H18" s="126"/>
      <c r="I18" s="189">
        <v>21906</v>
      </c>
      <c r="J18" s="174">
        <f t="shared" ref="J18:K18" si="5">I18+(I18*0.03)</f>
        <v>22563.18</v>
      </c>
      <c r="K18" s="174">
        <f t="shared" si="5"/>
        <v>23240.075400000002</v>
      </c>
      <c r="L18" s="134"/>
      <c r="M18" s="134"/>
      <c r="N18" s="135"/>
      <c r="O18" s="135"/>
      <c r="P18" s="135"/>
      <c r="Q18" s="135"/>
      <c r="R18" s="135"/>
      <c r="S18" s="135"/>
      <c r="T18" s="135"/>
      <c r="U18" s="135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</row>
    <row r="19" spans="1:46" ht="16.5" thickBot="1" x14ac:dyDescent="0.3">
      <c r="A19" s="10"/>
      <c r="B19" s="10"/>
      <c r="C19" s="16" t="s">
        <v>5</v>
      </c>
      <c r="D19" s="198">
        <f>(D16-D17)/D18</f>
        <v>0.82107171279511892</v>
      </c>
      <c r="E19" s="183">
        <f t="shared" ref="E19:K19" si="6">(E16-E17)/E18</f>
        <v>0.90596183693965127</v>
      </c>
      <c r="F19" s="204">
        <f t="shared" si="6"/>
        <v>0.90596183693965116</v>
      </c>
      <c r="G19" s="204">
        <f t="shared" si="6"/>
        <v>0.90596183693965104</v>
      </c>
      <c r="H19" s="119"/>
      <c r="I19" s="215">
        <f t="shared" si="6"/>
        <v>1.5907057427188898</v>
      </c>
      <c r="J19" s="216">
        <f t="shared" si="6"/>
        <v>1.5907057427188898</v>
      </c>
      <c r="K19" s="216">
        <f t="shared" si="6"/>
        <v>1.5907057427188895</v>
      </c>
      <c r="L19" s="134"/>
      <c r="M19" s="134"/>
      <c r="N19" s="135"/>
      <c r="O19" s="135"/>
      <c r="P19" s="135"/>
      <c r="Q19" s="135"/>
      <c r="R19" s="135"/>
      <c r="S19" s="135"/>
      <c r="T19" s="135"/>
      <c r="U19" s="135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</row>
    <row r="20" spans="1:46" ht="16.5" thickBot="1" x14ac:dyDescent="0.3">
      <c r="A20" s="10"/>
      <c r="B20" s="11" t="s">
        <v>11</v>
      </c>
      <c r="C20" s="17"/>
      <c r="D20" s="10"/>
      <c r="E20" s="10"/>
      <c r="F20" s="10"/>
      <c r="G20" s="10"/>
      <c r="H20" s="134"/>
      <c r="I20" s="30"/>
      <c r="J20" s="30"/>
      <c r="K20" s="30"/>
      <c r="L20" s="134"/>
      <c r="M20" s="134"/>
      <c r="N20" s="135"/>
      <c r="O20" s="135"/>
      <c r="P20" s="135"/>
      <c r="Q20" s="135"/>
      <c r="R20" s="135"/>
      <c r="S20" s="135"/>
      <c r="T20" s="135"/>
      <c r="U20" s="135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</row>
    <row r="21" spans="1:46" s="71" customFormat="1" ht="16.5" hidden="1" thickBot="1" x14ac:dyDescent="0.3">
      <c r="A21" s="70"/>
      <c r="B21" s="70"/>
      <c r="C21" s="70"/>
      <c r="D21" s="97">
        <v>2015</v>
      </c>
      <c r="E21" s="97">
        <v>2016</v>
      </c>
      <c r="F21" s="97">
        <v>2017</v>
      </c>
      <c r="G21" s="182">
        <v>2018</v>
      </c>
      <c r="H21" s="148"/>
      <c r="I21" s="129"/>
      <c r="J21" s="129"/>
      <c r="K21" s="129"/>
      <c r="L21" s="134"/>
      <c r="M21" s="134"/>
      <c r="N21" s="135"/>
      <c r="O21" s="135"/>
      <c r="P21" s="135"/>
      <c r="Q21" s="135"/>
      <c r="R21" s="135"/>
      <c r="S21" s="135"/>
      <c r="T21" s="135"/>
      <c r="U21" s="135"/>
      <c r="V21" s="170"/>
      <c r="W21" s="170"/>
      <c r="X21" s="170"/>
      <c r="Y21" s="170"/>
      <c r="Z21" s="170"/>
      <c r="AA21" s="170"/>
      <c r="AB21" s="170"/>
      <c r="AC21" s="170"/>
      <c r="AD21" s="170"/>
      <c r="AE21" s="170"/>
      <c r="AF21" s="170"/>
      <c r="AG21" s="170"/>
      <c r="AH21" s="170"/>
      <c r="AI21" s="170"/>
      <c r="AJ21" s="170"/>
      <c r="AK21" s="170"/>
      <c r="AL21" s="170"/>
      <c r="AM21" s="170"/>
      <c r="AN21" s="170"/>
      <c r="AO21" s="170"/>
      <c r="AP21" s="170"/>
      <c r="AQ21" s="170"/>
      <c r="AR21" s="170"/>
      <c r="AS21" s="170"/>
      <c r="AT21" s="170"/>
    </row>
    <row r="22" spans="1:46" ht="16.5" hidden="1" thickBot="1" x14ac:dyDescent="0.3">
      <c r="A22" s="10">
        <v>3</v>
      </c>
      <c r="B22" s="115" t="s">
        <v>23</v>
      </c>
      <c r="C22" s="105" t="s">
        <v>22</v>
      </c>
      <c r="D22" s="10"/>
      <c r="E22" s="10"/>
      <c r="F22" s="10"/>
      <c r="G22" s="10"/>
      <c r="H22" s="134"/>
      <c r="I22" s="128"/>
      <c r="J22" s="128"/>
      <c r="K22" s="128"/>
      <c r="L22" s="134"/>
      <c r="M22" s="134"/>
      <c r="N22" s="135"/>
      <c r="O22" s="135"/>
      <c r="P22" s="135"/>
      <c r="Q22" s="135"/>
      <c r="R22" s="135"/>
      <c r="S22" s="135"/>
      <c r="T22" s="135"/>
      <c r="U22" s="135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</row>
    <row r="23" spans="1:46" ht="16.5" hidden="1" thickBot="1" x14ac:dyDescent="0.3">
      <c r="A23" s="10"/>
      <c r="B23" s="30" t="s">
        <v>183</v>
      </c>
      <c r="C23" s="105" t="s">
        <v>24</v>
      </c>
      <c r="D23" s="76">
        <v>7966</v>
      </c>
      <c r="E23" s="76">
        <v>5426</v>
      </c>
      <c r="F23" s="78">
        <f t="shared" ref="F23:F24" si="7">E23+(E23*0.03)</f>
        <v>5588.78</v>
      </c>
      <c r="G23" s="178">
        <f>F23+(F23*0.03)</f>
        <v>5756.4434000000001</v>
      </c>
      <c r="H23" s="126"/>
      <c r="I23" s="128"/>
      <c r="J23" s="128"/>
      <c r="K23" s="128"/>
      <c r="L23" s="134"/>
      <c r="M23" s="134"/>
      <c r="N23" s="135"/>
      <c r="O23" s="135"/>
      <c r="P23" s="135"/>
      <c r="Q23" s="135"/>
      <c r="R23" s="135"/>
      <c r="S23" s="135"/>
      <c r="T23" s="135"/>
      <c r="U23" s="135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</row>
    <row r="24" spans="1:46" ht="16.5" hidden="1" thickBot="1" x14ac:dyDescent="0.3">
      <c r="A24" s="10"/>
      <c r="B24" s="10"/>
      <c r="C24" s="105" t="s">
        <v>201</v>
      </c>
      <c r="D24" s="15">
        <v>56098</v>
      </c>
      <c r="E24" s="15">
        <v>57244</v>
      </c>
      <c r="F24" s="78">
        <f t="shared" si="7"/>
        <v>58961.32</v>
      </c>
      <c r="G24" s="178">
        <f>F24+(F24*0.03)</f>
        <v>60730.159599999999</v>
      </c>
      <c r="H24" s="126"/>
      <c r="I24" s="128"/>
      <c r="J24" s="128"/>
      <c r="K24" s="128"/>
      <c r="L24" s="134"/>
      <c r="M24" s="134"/>
      <c r="N24" s="135"/>
      <c r="O24" s="135"/>
      <c r="P24" s="135"/>
      <c r="Q24" s="135"/>
      <c r="R24" s="135"/>
      <c r="S24" s="135"/>
      <c r="T24" s="135"/>
      <c r="U24" s="135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</row>
    <row r="25" spans="1:46" ht="16.5" hidden="1" thickBot="1" x14ac:dyDescent="0.3">
      <c r="A25" s="10"/>
      <c r="B25" s="10"/>
      <c r="C25" s="16" t="s">
        <v>19</v>
      </c>
      <c r="D25" s="18">
        <f>D23/D24</f>
        <v>0.14200149737958573</v>
      </c>
      <c r="E25" s="18">
        <f>E23/E24</f>
        <v>9.4787226608902236E-2</v>
      </c>
      <c r="F25" s="18">
        <f>F23/F24</f>
        <v>9.4787226608902236E-2</v>
      </c>
      <c r="G25" s="205">
        <f>G23/G24</f>
        <v>9.478722660890225E-2</v>
      </c>
      <c r="H25" s="207"/>
      <c r="I25" s="130" t="e">
        <f>I23/I24</f>
        <v>#DIV/0!</v>
      </c>
      <c r="J25" s="128"/>
      <c r="K25" s="128"/>
      <c r="L25" s="134"/>
      <c r="M25" s="134"/>
      <c r="N25" s="135"/>
      <c r="O25" s="135"/>
      <c r="P25" s="135"/>
      <c r="Q25" s="135"/>
      <c r="R25" s="135"/>
      <c r="S25" s="135"/>
      <c r="T25" s="135"/>
      <c r="U25" s="135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</row>
    <row r="26" spans="1:46" ht="16.5" hidden="1" thickBot="1" x14ac:dyDescent="0.3">
      <c r="A26" s="10"/>
      <c r="B26" s="11" t="s">
        <v>14</v>
      </c>
      <c r="C26" s="10"/>
      <c r="D26" s="10"/>
      <c r="E26" s="10"/>
      <c r="F26" s="10"/>
      <c r="G26" s="10"/>
      <c r="H26" s="134"/>
      <c r="I26" s="128"/>
      <c r="J26" s="128"/>
      <c r="K26" s="128"/>
      <c r="L26" s="134"/>
      <c r="M26" s="134"/>
      <c r="N26" s="135"/>
      <c r="O26" s="135"/>
      <c r="P26" s="135"/>
      <c r="Q26" s="135"/>
      <c r="R26" s="135"/>
      <c r="S26" s="135"/>
      <c r="T26" s="135"/>
      <c r="U26" s="135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</row>
    <row r="27" spans="1:46" s="71" customFormat="1" ht="16.5" thickBot="1" x14ac:dyDescent="0.3">
      <c r="A27" s="70"/>
      <c r="B27" s="70"/>
      <c r="C27" s="70"/>
      <c r="D27" s="179">
        <v>2015</v>
      </c>
      <c r="E27" s="171">
        <v>2016</v>
      </c>
      <c r="F27" s="184">
        <v>2017</v>
      </c>
      <c r="G27" s="184">
        <v>2018</v>
      </c>
      <c r="H27" s="148"/>
      <c r="I27" s="186">
        <v>2016</v>
      </c>
      <c r="J27" s="186">
        <v>2017</v>
      </c>
      <c r="K27" s="184">
        <v>2018</v>
      </c>
      <c r="L27" s="134"/>
      <c r="M27" s="134"/>
      <c r="N27" s="135"/>
      <c r="O27" s="135"/>
      <c r="P27" s="135"/>
      <c r="Q27" s="135"/>
      <c r="R27" s="135"/>
      <c r="S27" s="135"/>
      <c r="T27" s="135"/>
      <c r="U27" s="135"/>
      <c r="V27" s="170"/>
      <c r="W27" s="170"/>
      <c r="X27" s="170"/>
      <c r="Y27" s="170"/>
      <c r="Z27" s="170"/>
      <c r="AA27" s="170"/>
      <c r="AB27" s="170"/>
      <c r="AC27" s="170"/>
      <c r="AD27" s="170"/>
      <c r="AE27" s="170"/>
      <c r="AF27" s="170"/>
      <c r="AG27" s="170"/>
      <c r="AH27" s="170"/>
      <c r="AI27" s="170"/>
      <c r="AJ27" s="170"/>
      <c r="AK27" s="170"/>
      <c r="AL27" s="170"/>
      <c r="AM27" s="170"/>
      <c r="AN27" s="170"/>
      <c r="AO27" s="170"/>
      <c r="AP27" s="170"/>
      <c r="AQ27" s="170"/>
      <c r="AR27" s="170"/>
      <c r="AS27" s="170"/>
      <c r="AT27" s="170"/>
    </row>
    <row r="28" spans="1:46" ht="15.75" x14ac:dyDescent="0.25">
      <c r="A28" s="30">
        <v>3</v>
      </c>
      <c r="B28" s="11" t="s">
        <v>223</v>
      </c>
      <c r="C28" s="10" t="s">
        <v>26</v>
      </c>
      <c r="D28" s="89"/>
      <c r="E28" s="52"/>
      <c r="F28" s="52"/>
      <c r="G28" s="52"/>
      <c r="H28" s="134"/>
      <c r="I28" s="139"/>
      <c r="J28" s="139"/>
      <c r="K28" s="172"/>
      <c r="L28" s="134"/>
      <c r="M28" s="134"/>
      <c r="N28" s="135"/>
      <c r="O28" s="135"/>
      <c r="P28" s="135"/>
      <c r="Q28" s="135"/>
      <c r="R28" s="135"/>
      <c r="S28" s="135"/>
      <c r="T28" s="135"/>
      <c r="U28" s="135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</row>
    <row r="29" spans="1:46" ht="15.75" x14ac:dyDescent="0.25">
      <c r="A29" s="10"/>
      <c r="B29" s="10"/>
      <c r="C29" s="10" t="s">
        <v>6</v>
      </c>
      <c r="D29" s="91">
        <v>58518</v>
      </c>
      <c r="E29" s="201">
        <v>27358</v>
      </c>
      <c r="F29" s="194">
        <f t="shared" ref="F29:F30" si="8">E29+(E29*0.03)</f>
        <v>28178.74</v>
      </c>
      <c r="G29" s="194">
        <f>F29+(F29*0.03)</f>
        <v>29024.102200000001</v>
      </c>
      <c r="H29" s="126"/>
      <c r="I29" s="121">
        <v>55241</v>
      </c>
      <c r="J29" s="188">
        <f>I29+(I29*0.03)</f>
        <v>56898.23</v>
      </c>
      <c r="K29" s="174">
        <f>J29+(J29*0.03)</f>
        <v>58605.176900000006</v>
      </c>
      <c r="L29" s="134"/>
      <c r="M29" s="134"/>
      <c r="N29" s="135"/>
      <c r="O29" s="135"/>
      <c r="P29" s="135"/>
      <c r="Q29" s="135"/>
      <c r="R29" s="135"/>
      <c r="S29" s="135"/>
      <c r="T29" s="135"/>
      <c r="U29" s="135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</row>
    <row r="30" spans="1:46" ht="16.5" thickBot="1" x14ac:dyDescent="0.3">
      <c r="A30" s="10"/>
      <c r="B30" s="10"/>
      <c r="C30" s="10" t="s">
        <v>213</v>
      </c>
      <c r="D30" s="91">
        <v>27358</v>
      </c>
      <c r="E30" s="201">
        <v>27579</v>
      </c>
      <c r="F30" s="194">
        <f t="shared" si="8"/>
        <v>28406.37</v>
      </c>
      <c r="G30" s="194">
        <f>F30+(F30*0.03)</f>
        <v>29258.561099999999</v>
      </c>
      <c r="H30" s="126"/>
      <c r="I30" s="190">
        <v>47875</v>
      </c>
      <c r="J30" s="188">
        <f>I30+(I30*0.03)</f>
        <v>49311.25</v>
      </c>
      <c r="K30" s="174">
        <f>J30+(J30*0.03)</f>
        <v>50790.587500000001</v>
      </c>
      <c r="L30" s="134"/>
      <c r="M30" s="134"/>
      <c r="N30" s="135"/>
      <c r="O30" s="135"/>
      <c r="P30" s="135"/>
      <c r="Q30" s="135"/>
      <c r="R30" s="135"/>
      <c r="S30" s="135"/>
      <c r="T30" s="135"/>
      <c r="U30" s="135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</row>
    <row r="31" spans="1:46" ht="16.5" thickBot="1" x14ac:dyDescent="0.3">
      <c r="A31" s="10"/>
      <c r="B31" s="11"/>
      <c r="C31" s="16" t="s">
        <v>7</v>
      </c>
      <c r="D31" s="198">
        <f>D29/D30</f>
        <v>2.1389721470867755</v>
      </c>
      <c r="E31" s="183">
        <f t="shared" ref="E31:K31" si="9">E29/E30</f>
        <v>0.9919866565140143</v>
      </c>
      <c r="F31" s="183">
        <f t="shared" si="9"/>
        <v>0.99198665651401441</v>
      </c>
      <c r="G31" s="183">
        <f t="shared" si="9"/>
        <v>0.99198665651401441</v>
      </c>
      <c r="H31" s="119"/>
      <c r="I31" s="217">
        <f>I29/I30</f>
        <v>1.1538590078328981</v>
      </c>
      <c r="J31" s="218">
        <f t="shared" si="9"/>
        <v>1.1538590078328983</v>
      </c>
      <c r="K31" s="216">
        <f t="shared" si="9"/>
        <v>1.1538590078328983</v>
      </c>
      <c r="L31" s="134"/>
      <c r="M31" s="134"/>
      <c r="N31" s="135"/>
      <c r="O31" s="135"/>
      <c r="P31" s="135"/>
      <c r="Q31" s="135"/>
      <c r="R31" s="135"/>
      <c r="S31" s="135"/>
      <c r="T31" s="135"/>
      <c r="U31" s="135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</row>
    <row r="32" spans="1:46" s="9" customFormat="1" ht="16.5" thickBot="1" x14ac:dyDescent="0.3">
      <c r="A32" s="19"/>
      <c r="B32" s="20" t="s">
        <v>11</v>
      </c>
      <c r="C32" s="21"/>
      <c r="D32" s="22"/>
      <c r="E32" s="19"/>
      <c r="F32" s="19"/>
      <c r="G32" s="210"/>
      <c r="H32" s="134"/>
      <c r="I32" s="30"/>
      <c r="J32" s="30"/>
      <c r="K32" s="30"/>
      <c r="L32" s="134"/>
      <c r="M32" s="134"/>
      <c r="N32" s="135"/>
      <c r="O32" s="135"/>
      <c r="P32" s="135"/>
      <c r="Q32" s="135"/>
      <c r="R32" s="135"/>
      <c r="S32" s="135"/>
      <c r="T32" s="135"/>
      <c r="U32" s="135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</row>
    <row r="33" spans="1:46" s="71" customFormat="1" ht="16.5" thickBot="1" x14ac:dyDescent="0.3">
      <c r="A33" s="70"/>
      <c r="B33" s="70"/>
      <c r="C33" s="70"/>
      <c r="D33" s="179">
        <v>2015</v>
      </c>
      <c r="E33" s="171">
        <v>2016</v>
      </c>
      <c r="F33" s="186">
        <v>2017</v>
      </c>
      <c r="G33" s="186">
        <v>2018</v>
      </c>
      <c r="H33" s="148"/>
      <c r="I33" s="186">
        <v>2016</v>
      </c>
      <c r="J33" s="186">
        <v>2017</v>
      </c>
      <c r="K33" s="182">
        <v>2018</v>
      </c>
      <c r="L33" s="134"/>
      <c r="M33" s="134"/>
      <c r="N33" s="135"/>
      <c r="O33" s="135"/>
      <c r="P33" s="135"/>
      <c r="Q33" s="135"/>
      <c r="R33" s="135"/>
      <c r="S33" s="135"/>
      <c r="T33" s="135"/>
      <c r="U33" s="135"/>
      <c r="V33" s="170"/>
      <c r="W33" s="170"/>
      <c r="X33" s="170"/>
      <c r="Y33" s="170"/>
      <c r="Z33" s="170"/>
      <c r="AA33" s="170"/>
      <c r="AB33" s="170"/>
      <c r="AC33" s="170"/>
      <c r="AD33" s="170"/>
      <c r="AE33" s="170"/>
      <c r="AF33" s="170"/>
      <c r="AG33" s="170"/>
      <c r="AH33" s="170"/>
      <c r="AI33" s="170"/>
      <c r="AJ33" s="170"/>
      <c r="AK33" s="170"/>
      <c r="AL33" s="170"/>
      <c r="AM33" s="170"/>
      <c r="AN33" s="170"/>
      <c r="AO33" s="170"/>
      <c r="AP33" s="170"/>
      <c r="AQ33" s="170"/>
      <c r="AR33" s="170"/>
      <c r="AS33" s="170"/>
      <c r="AT33" s="170"/>
    </row>
    <row r="34" spans="1:46" ht="15.75" x14ac:dyDescent="0.25">
      <c r="A34" s="30">
        <v>4</v>
      </c>
      <c r="B34" s="117" t="s">
        <v>20</v>
      </c>
      <c r="C34" s="118" t="s">
        <v>202</v>
      </c>
      <c r="D34" s="197"/>
      <c r="E34" s="172"/>
      <c r="F34" s="57"/>
      <c r="G34" s="202"/>
      <c r="H34" s="134"/>
      <c r="I34" s="139"/>
      <c r="J34" s="139"/>
      <c r="K34" s="175"/>
      <c r="L34" s="134"/>
      <c r="M34" s="134"/>
      <c r="N34" s="135"/>
      <c r="O34" s="135"/>
      <c r="P34" s="135"/>
      <c r="Q34" s="135"/>
      <c r="R34" s="135"/>
      <c r="S34" s="135"/>
      <c r="T34" s="135"/>
      <c r="U34" s="135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</row>
    <row r="35" spans="1:46" ht="15.75" x14ac:dyDescent="0.25">
      <c r="A35" s="10"/>
      <c r="B35" s="30"/>
      <c r="C35" s="118" t="s">
        <v>21</v>
      </c>
      <c r="D35" s="120">
        <v>7966</v>
      </c>
      <c r="E35" s="120">
        <v>5426</v>
      </c>
      <c r="F35" s="78">
        <f t="shared" ref="F35:F36" si="10">E35+(E35*0.03)</f>
        <v>5588.78</v>
      </c>
      <c r="G35" s="78">
        <f>F35+(F35*0.03)</f>
        <v>5756.4434000000001</v>
      </c>
      <c r="H35" s="126"/>
      <c r="I35" s="120">
        <v>5426</v>
      </c>
      <c r="J35" s="187">
        <f>I35+(I35*0.03)</f>
        <v>5588.78</v>
      </c>
      <c r="K35" s="173">
        <f>J35+(J35*0.03)</f>
        <v>5756.4434000000001</v>
      </c>
      <c r="L35" s="134"/>
      <c r="M35" s="134"/>
      <c r="N35" s="135"/>
      <c r="O35" s="135"/>
      <c r="P35" s="135"/>
      <c r="Q35" s="135"/>
      <c r="R35" s="135"/>
      <c r="S35" s="135"/>
      <c r="T35" s="135"/>
      <c r="U35" s="135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</row>
    <row r="36" spans="1:46" ht="16.5" thickBot="1" x14ac:dyDescent="0.3">
      <c r="A36" s="10"/>
      <c r="B36" s="30"/>
      <c r="C36" s="118" t="s">
        <v>203</v>
      </c>
      <c r="D36" s="121">
        <v>27358</v>
      </c>
      <c r="E36" s="121">
        <v>27579</v>
      </c>
      <c r="F36" s="78">
        <f t="shared" si="10"/>
        <v>28406.37</v>
      </c>
      <c r="G36" s="78">
        <f>F36+(F36*0.03)</f>
        <v>29258.561099999999</v>
      </c>
      <c r="H36" s="126"/>
      <c r="I36" s="190">
        <v>47875</v>
      </c>
      <c r="J36" s="187">
        <f>I36+(I36*0.03)</f>
        <v>49311.25</v>
      </c>
      <c r="K36" s="173">
        <f>J36+(J36*0.03)</f>
        <v>50790.587500000001</v>
      </c>
      <c r="L36" s="134"/>
      <c r="M36" s="134"/>
      <c r="N36" s="135"/>
      <c r="O36" s="135"/>
      <c r="P36" s="135"/>
      <c r="Q36" s="135"/>
      <c r="R36" s="135"/>
      <c r="S36" s="135"/>
      <c r="T36" s="135"/>
      <c r="U36" s="135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</row>
    <row r="37" spans="1:46" ht="16.5" thickBot="1" x14ac:dyDescent="0.3">
      <c r="A37" s="10"/>
      <c r="B37" s="10"/>
      <c r="C37" s="23" t="s">
        <v>222</v>
      </c>
      <c r="D37" s="180">
        <f>D35/D36</f>
        <v>0.29117625557423787</v>
      </c>
      <c r="E37" s="176">
        <f t="shared" ref="E37:G37" si="11">E35/E36</f>
        <v>0.19674389934370354</v>
      </c>
      <c r="F37" s="191">
        <f t="shared" si="11"/>
        <v>0.19674389934370354</v>
      </c>
      <c r="G37" s="191">
        <f t="shared" si="11"/>
        <v>0.19674389934370357</v>
      </c>
      <c r="H37" s="208"/>
      <c r="I37" s="219">
        <f>I35/I36</f>
        <v>0.11333681462140992</v>
      </c>
      <c r="J37" s="219">
        <f t="shared" ref="J37:K37" si="12">J35/J36</f>
        <v>0.11333681462140992</v>
      </c>
      <c r="K37" s="220">
        <f t="shared" si="12"/>
        <v>0.11333681462140992</v>
      </c>
      <c r="L37" s="134"/>
      <c r="M37" s="134"/>
      <c r="N37" s="135"/>
      <c r="O37" s="135"/>
      <c r="P37" s="135"/>
      <c r="Q37" s="135"/>
      <c r="R37" s="135"/>
      <c r="S37" s="135"/>
      <c r="T37" s="135"/>
      <c r="U37" s="135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</row>
    <row r="38" spans="1:46" ht="16.5" thickBot="1" x14ac:dyDescent="0.3">
      <c r="A38" s="10"/>
      <c r="B38" s="11" t="s">
        <v>11</v>
      </c>
      <c r="C38" s="17"/>
      <c r="D38" s="10"/>
      <c r="E38" s="10"/>
      <c r="F38" s="10"/>
      <c r="G38" s="10"/>
      <c r="H38" s="134"/>
      <c r="I38" s="30"/>
      <c r="J38" s="30"/>
      <c r="K38" s="30"/>
      <c r="L38" s="134"/>
      <c r="M38" s="134"/>
      <c r="N38" s="135"/>
      <c r="O38" s="135"/>
      <c r="P38" s="135"/>
      <c r="Q38" s="135"/>
      <c r="R38" s="135"/>
      <c r="S38" s="135"/>
      <c r="T38" s="135"/>
      <c r="U38" s="135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</row>
    <row r="39" spans="1:46" s="71" customFormat="1" ht="16.5" thickBot="1" x14ac:dyDescent="0.3">
      <c r="A39" s="70"/>
      <c r="B39" s="70"/>
      <c r="C39" s="70"/>
      <c r="D39" s="186">
        <v>2015</v>
      </c>
      <c r="E39" s="186">
        <v>2016</v>
      </c>
      <c r="F39" s="186">
        <v>2017</v>
      </c>
      <c r="G39" s="211">
        <v>2018</v>
      </c>
      <c r="H39" s="148"/>
      <c r="I39" s="186">
        <v>2016</v>
      </c>
      <c r="J39" s="186">
        <v>2017</v>
      </c>
      <c r="K39" s="184">
        <v>2018</v>
      </c>
      <c r="L39" s="134"/>
      <c r="M39" s="134"/>
      <c r="N39" s="135"/>
      <c r="O39" s="135"/>
      <c r="P39" s="135"/>
      <c r="Q39" s="135"/>
      <c r="R39" s="135"/>
      <c r="S39" s="135"/>
      <c r="T39" s="135"/>
      <c r="U39" s="135"/>
      <c r="V39" s="170"/>
      <c r="W39" s="170"/>
      <c r="X39" s="170"/>
      <c r="Y39" s="170"/>
      <c r="Z39" s="170"/>
      <c r="AA39" s="170"/>
      <c r="AB39" s="170"/>
      <c r="AC39" s="170"/>
      <c r="AD39" s="170"/>
      <c r="AE39" s="170"/>
      <c r="AF39" s="170"/>
      <c r="AG39" s="170"/>
      <c r="AH39" s="170"/>
      <c r="AI39" s="170"/>
      <c r="AJ39" s="170"/>
      <c r="AK39" s="170"/>
      <c r="AL39" s="170"/>
      <c r="AM39" s="170"/>
      <c r="AN39" s="170"/>
      <c r="AO39" s="170"/>
      <c r="AP39" s="170"/>
      <c r="AQ39" s="170"/>
      <c r="AR39" s="170"/>
      <c r="AS39" s="170"/>
      <c r="AT39" s="170"/>
    </row>
    <row r="40" spans="1:46" ht="15.75" x14ac:dyDescent="0.25">
      <c r="A40" s="30">
        <v>5</v>
      </c>
      <c r="B40" s="11" t="s">
        <v>15</v>
      </c>
      <c r="C40" s="30" t="s">
        <v>204</v>
      </c>
      <c r="D40" s="57"/>
      <c r="E40" s="57"/>
      <c r="F40" s="57"/>
      <c r="G40" s="202"/>
      <c r="H40" s="13"/>
      <c r="I40" s="139"/>
      <c r="J40" s="139"/>
      <c r="K40" s="172"/>
      <c r="L40" s="134"/>
      <c r="M40" s="134"/>
      <c r="N40" s="135"/>
      <c r="O40" s="135"/>
      <c r="P40" s="135"/>
      <c r="Q40" s="135"/>
      <c r="R40" s="135"/>
      <c r="S40" s="135"/>
      <c r="T40" s="135"/>
      <c r="U40" s="135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</row>
    <row r="41" spans="1:46" ht="15.75" x14ac:dyDescent="0.25">
      <c r="A41" s="10"/>
      <c r="B41" s="10"/>
      <c r="C41" s="30" t="s">
        <v>205</v>
      </c>
      <c r="D41" s="61">
        <v>87484</v>
      </c>
      <c r="E41" s="61">
        <v>89706</v>
      </c>
      <c r="F41" s="78">
        <f t="shared" ref="F41:F42" si="13">E41+(E41*0.03)</f>
        <v>92397.18</v>
      </c>
      <c r="G41" s="78">
        <f>F41+(F41*0.03)</f>
        <v>95169.095399999991</v>
      </c>
      <c r="H41" s="125"/>
      <c r="I41" s="121">
        <v>104704</v>
      </c>
      <c r="J41" s="192">
        <f>I41+(I41*0.03)</f>
        <v>107845.12</v>
      </c>
      <c r="K41" s="177">
        <f>J41+(J41*0.03)</f>
        <v>111080.4736</v>
      </c>
      <c r="L41" s="134"/>
      <c r="M41" s="134"/>
      <c r="N41" s="135"/>
      <c r="O41" s="135"/>
      <c r="P41" s="135"/>
      <c r="Q41" s="135"/>
      <c r="R41" s="135"/>
      <c r="S41" s="135"/>
      <c r="T41" s="135"/>
      <c r="U41" s="135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</row>
    <row r="42" spans="1:46" ht="16.5" thickBot="1" x14ac:dyDescent="0.3">
      <c r="A42" s="10"/>
      <c r="B42" s="10"/>
      <c r="C42" s="30" t="s">
        <v>206</v>
      </c>
      <c r="D42" s="56">
        <v>28844</v>
      </c>
      <c r="E42" s="56">
        <v>29169</v>
      </c>
      <c r="F42" s="78">
        <f t="shared" si="13"/>
        <v>30044.07</v>
      </c>
      <c r="G42" s="78">
        <f>F42+(F42*0.03)</f>
        <v>30945.392100000001</v>
      </c>
      <c r="H42" s="125"/>
      <c r="I42" s="192">
        <v>49465</v>
      </c>
      <c r="J42" s="192">
        <f>I42+(I42*0.03)</f>
        <v>50948.95</v>
      </c>
      <c r="K42" s="177">
        <f>J42+(J42*0.03)</f>
        <v>52477.4185</v>
      </c>
      <c r="L42" s="134"/>
      <c r="M42" s="134"/>
      <c r="N42" s="135"/>
      <c r="O42" s="135"/>
      <c r="P42" s="135"/>
      <c r="Q42" s="135"/>
      <c r="R42" s="135"/>
      <c r="S42" s="135"/>
      <c r="T42" s="135"/>
      <c r="U42" s="135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</row>
    <row r="43" spans="1:46" ht="16.5" thickBot="1" x14ac:dyDescent="0.3">
      <c r="A43" s="10"/>
      <c r="B43" s="10"/>
      <c r="C43" s="16" t="s">
        <v>15</v>
      </c>
      <c r="D43" s="195">
        <f>D41/D42</f>
        <v>3.033005131049785</v>
      </c>
      <c r="E43" s="195">
        <f t="shared" ref="E43:K43" si="14">E41/E42</f>
        <v>3.0753882546539133</v>
      </c>
      <c r="F43" s="196">
        <f t="shared" si="14"/>
        <v>3.0753882546539133</v>
      </c>
      <c r="G43" s="196">
        <f t="shared" si="14"/>
        <v>3.0753882546539129</v>
      </c>
      <c r="H43" s="209"/>
      <c r="I43" s="221">
        <f t="shared" si="14"/>
        <v>2.1167290003032448</v>
      </c>
      <c r="J43" s="221">
        <f t="shared" si="14"/>
        <v>2.1167290003032448</v>
      </c>
      <c r="K43" s="222">
        <f t="shared" si="14"/>
        <v>2.1167290003032448</v>
      </c>
      <c r="L43" s="134"/>
      <c r="M43" s="134"/>
      <c r="N43" s="135"/>
      <c r="O43" s="135"/>
      <c r="P43" s="135"/>
      <c r="Q43" s="135"/>
      <c r="R43" s="135"/>
      <c r="S43" s="135"/>
      <c r="T43" s="135"/>
      <c r="U43" s="135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</row>
    <row r="44" spans="1:46" ht="16.5" thickBot="1" x14ac:dyDescent="0.3">
      <c r="A44" s="10"/>
      <c r="B44" s="11" t="s">
        <v>11</v>
      </c>
      <c r="C44" s="10"/>
      <c r="D44" s="10"/>
      <c r="E44" s="10"/>
      <c r="F44" s="10"/>
      <c r="G44" s="10"/>
      <c r="H44" s="10"/>
      <c r="I44" s="30"/>
      <c r="J44" s="30"/>
      <c r="K44" s="30"/>
      <c r="L44" s="134"/>
      <c r="M44" s="134"/>
      <c r="N44" s="135"/>
      <c r="O44" s="135"/>
      <c r="P44" s="135"/>
      <c r="Q44" s="135"/>
      <c r="R44" s="135"/>
      <c r="S44" s="135"/>
      <c r="T44" s="135"/>
      <c r="U44" s="135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</row>
    <row r="45" spans="1:46" s="71" customFormat="1" ht="15.75" x14ac:dyDescent="0.25">
      <c r="A45" s="70"/>
      <c r="B45" s="70"/>
      <c r="C45" s="70"/>
      <c r="D45" s="123"/>
      <c r="E45" s="123"/>
      <c r="F45" s="123"/>
      <c r="G45" s="123"/>
      <c r="H45" s="212"/>
      <c r="I45" s="70"/>
      <c r="J45" s="70"/>
      <c r="K45" s="70"/>
      <c r="L45" s="134"/>
      <c r="M45" s="134"/>
      <c r="N45" s="135"/>
      <c r="O45" s="135"/>
      <c r="P45" s="135"/>
      <c r="Q45" s="135"/>
      <c r="R45" s="135"/>
      <c r="S45" s="135"/>
      <c r="T45" s="135"/>
      <c r="U45" s="135"/>
      <c r="V45" s="170"/>
      <c r="W45" s="170"/>
      <c r="X45" s="170"/>
      <c r="Y45" s="170"/>
      <c r="Z45" s="170"/>
      <c r="AA45" s="170"/>
      <c r="AB45" s="170"/>
      <c r="AC45" s="170"/>
      <c r="AD45" s="170"/>
      <c r="AE45" s="170"/>
      <c r="AF45" s="170"/>
      <c r="AG45" s="170"/>
      <c r="AH45" s="170"/>
      <c r="AI45" s="170"/>
      <c r="AJ45" s="170"/>
      <c r="AK45" s="170"/>
      <c r="AL45" s="170"/>
      <c r="AM45" s="170"/>
      <c r="AN45" s="170"/>
      <c r="AO45" s="170"/>
      <c r="AP45" s="170"/>
      <c r="AQ45" s="170"/>
      <c r="AR45" s="170"/>
      <c r="AS45" s="170"/>
      <c r="AT45" s="170"/>
    </row>
    <row r="46" spans="1:46" ht="15.75" hidden="1" x14ac:dyDescent="0.25">
      <c r="A46" s="10">
        <v>7</v>
      </c>
      <c r="B46" s="11" t="s">
        <v>16</v>
      </c>
      <c r="C46" s="10" t="s">
        <v>207</v>
      </c>
      <c r="D46" s="13"/>
      <c r="E46" s="13"/>
      <c r="F46" s="10"/>
      <c r="G46" s="10"/>
      <c r="H46" s="10"/>
      <c r="I46" s="10"/>
      <c r="J46" s="10"/>
      <c r="K46" s="10"/>
      <c r="L46" s="10"/>
      <c r="M46" s="10"/>
    </row>
    <row r="47" spans="1:46" ht="15.75" hidden="1" x14ac:dyDescent="0.25">
      <c r="A47" s="10"/>
      <c r="B47" s="10" t="s">
        <v>181</v>
      </c>
      <c r="C47" s="10" t="s">
        <v>6</v>
      </c>
      <c r="D47" s="14">
        <v>58518</v>
      </c>
      <c r="E47" s="14">
        <v>27358</v>
      </c>
      <c r="F47" s="78">
        <f t="shared" ref="F47" si="15">E47+(E47*0.03)</f>
        <v>28178.74</v>
      </c>
      <c r="G47" s="78">
        <f>F47+(F47*0.03)</f>
        <v>29024.102200000001</v>
      </c>
      <c r="H47" s="125"/>
      <c r="I47" s="10"/>
      <c r="J47" s="10"/>
      <c r="K47" s="10"/>
      <c r="L47" s="10"/>
      <c r="M47" s="10"/>
    </row>
    <row r="48" spans="1:46" ht="15.75" hidden="1" x14ac:dyDescent="0.25">
      <c r="A48" s="10"/>
      <c r="B48" s="10" t="s">
        <v>181</v>
      </c>
      <c r="C48" s="10" t="s">
        <v>206</v>
      </c>
      <c r="D48" s="15">
        <v>28844</v>
      </c>
      <c r="E48" s="15">
        <v>29169</v>
      </c>
      <c r="F48" s="78">
        <f t="shared" ref="F48" si="16">E48+(E48*0.03)</f>
        <v>30044.07</v>
      </c>
      <c r="G48" s="78">
        <f>F48+(F48*0.03)</f>
        <v>30945.392100000001</v>
      </c>
      <c r="H48" s="125"/>
      <c r="I48" s="10"/>
      <c r="J48" s="10"/>
      <c r="K48" s="10"/>
      <c r="L48" s="10"/>
      <c r="M48" s="10"/>
    </row>
    <row r="49" spans="1:13" ht="16.5" hidden="1" thickBot="1" x14ac:dyDescent="0.3">
      <c r="A49" s="10"/>
      <c r="B49" s="10"/>
      <c r="C49" s="16" t="s">
        <v>16</v>
      </c>
      <c r="D49" s="18">
        <f>D47/D48</f>
        <v>2.0287754819026489</v>
      </c>
      <c r="E49" s="24">
        <f t="shared" ref="E49:I49" si="17">E47/E48</f>
        <v>0.93791353834550384</v>
      </c>
      <c r="F49" s="103">
        <f t="shared" si="17"/>
        <v>0.93791353834550384</v>
      </c>
      <c r="G49" s="103">
        <f t="shared" si="17"/>
        <v>0.93791353834550384</v>
      </c>
      <c r="H49" s="103"/>
      <c r="I49" s="33" t="e">
        <f t="shared" si="17"/>
        <v>#DIV/0!</v>
      </c>
      <c r="J49" s="10"/>
      <c r="K49" s="10"/>
      <c r="L49" s="10"/>
      <c r="M49" s="10"/>
    </row>
    <row r="50" spans="1:13" ht="15.75" hidden="1" x14ac:dyDescent="0.25">
      <c r="A50" s="10"/>
      <c r="B50" s="11" t="s">
        <v>11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</row>
    <row r="51" spans="1:13" s="71" customFormat="1" ht="16.5" hidden="1" thickBot="1" x14ac:dyDescent="0.3">
      <c r="A51" s="70"/>
      <c r="B51" s="70"/>
      <c r="C51" s="70"/>
      <c r="D51" s="97">
        <v>2015</v>
      </c>
      <c r="E51" s="97">
        <v>2016</v>
      </c>
      <c r="F51" s="97">
        <v>2017</v>
      </c>
      <c r="G51" s="97">
        <v>2018</v>
      </c>
      <c r="H51" s="127"/>
      <c r="I51" s="70"/>
      <c r="J51" s="70"/>
      <c r="K51" s="70"/>
      <c r="L51" s="70"/>
      <c r="M51" s="70"/>
    </row>
    <row r="52" spans="1:13" ht="31.5" hidden="1" x14ac:dyDescent="0.25">
      <c r="A52" s="10">
        <v>8</v>
      </c>
      <c r="B52" s="11" t="s">
        <v>18</v>
      </c>
      <c r="C52" s="106" t="s">
        <v>208</v>
      </c>
      <c r="D52" s="26"/>
      <c r="E52" s="10"/>
      <c r="F52" s="10"/>
      <c r="G52" s="10"/>
      <c r="H52" s="10"/>
      <c r="I52" s="10"/>
      <c r="J52" s="10"/>
      <c r="K52" s="10"/>
      <c r="L52" s="10"/>
      <c r="M52" s="10"/>
    </row>
    <row r="53" spans="1:13" ht="15.75" hidden="1" x14ac:dyDescent="0.25">
      <c r="A53" s="10"/>
      <c r="B53" s="10" t="s">
        <v>182</v>
      </c>
      <c r="C53" s="25" t="s">
        <v>24</v>
      </c>
      <c r="D53" s="76">
        <v>7966</v>
      </c>
      <c r="E53" s="76">
        <v>5426</v>
      </c>
      <c r="F53" s="99">
        <f>E53+(E53*0.03)</f>
        <v>5588.78</v>
      </c>
      <c r="G53" s="99">
        <f>F53+(F53*0.03)</f>
        <v>5756.4434000000001</v>
      </c>
      <c r="H53" s="126"/>
      <c r="I53" s="10"/>
      <c r="J53" s="10"/>
      <c r="K53" s="10"/>
      <c r="L53" s="10"/>
      <c r="M53" s="10"/>
    </row>
    <row r="54" spans="1:13" ht="16.5" hidden="1" thickBot="1" x14ac:dyDescent="0.3">
      <c r="A54" s="10"/>
      <c r="B54" s="10" t="s">
        <v>181</v>
      </c>
      <c r="C54" s="106" t="s">
        <v>209</v>
      </c>
      <c r="D54" s="27">
        <v>87484</v>
      </c>
      <c r="E54" s="27">
        <v>89706</v>
      </c>
      <c r="F54" s="78">
        <f t="shared" ref="F54" si="18">E54+(E54*0.03)</f>
        <v>92397.18</v>
      </c>
      <c r="G54" s="78">
        <f>F54+(F54*0.03)</f>
        <v>95169.095399999991</v>
      </c>
      <c r="H54" s="125"/>
      <c r="I54" s="10"/>
      <c r="J54" s="10"/>
      <c r="K54" s="10"/>
      <c r="L54" s="10"/>
      <c r="M54" s="10"/>
    </row>
    <row r="55" spans="1:13" ht="16.5" hidden="1" thickBot="1" x14ac:dyDescent="0.3">
      <c r="A55" s="10"/>
      <c r="B55" s="11"/>
      <c r="C55" s="28" t="s">
        <v>18</v>
      </c>
      <c r="D55" s="29">
        <f>D53/D54</f>
        <v>9.1056650358922769E-2</v>
      </c>
      <c r="E55" s="29">
        <f t="shared" ref="E55:I55" si="19">E53/E54</f>
        <v>6.0486478050520591E-2</v>
      </c>
      <c r="F55" s="104">
        <f t="shared" si="19"/>
        <v>6.0486478050520591E-2</v>
      </c>
      <c r="G55" s="104">
        <f t="shared" si="19"/>
        <v>6.0486478050520598E-2</v>
      </c>
      <c r="H55" s="104"/>
      <c r="I55" s="34" t="e">
        <f t="shared" si="19"/>
        <v>#DIV/0!</v>
      </c>
      <c r="J55" s="10"/>
      <c r="K55" s="10"/>
      <c r="L55" s="10"/>
      <c r="M55" s="10"/>
    </row>
    <row r="56" spans="1:13" s="1" customFormat="1" ht="15.75" hidden="1" x14ac:dyDescent="0.25">
      <c r="A56" s="30"/>
      <c r="B56" s="11" t="s">
        <v>11</v>
      </c>
      <c r="C56" s="31"/>
      <c r="D56" s="32"/>
      <c r="E56" s="30"/>
      <c r="F56" s="30"/>
      <c r="G56" s="30"/>
      <c r="H56" s="30"/>
      <c r="I56" s="30"/>
      <c r="J56" s="30"/>
      <c r="K56" s="30"/>
      <c r="L56" s="30"/>
      <c r="M56" s="30"/>
    </row>
    <row r="57" spans="1:13" s="71" customFormat="1" ht="15.75" hidden="1" x14ac:dyDescent="0.25">
      <c r="A57" s="70"/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0"/>
    </row>
    <row r="58" spans="1:13" ht="15.75" x14ac:dyDescent="0.25">
      <c r="A58" s="10"/>
      <c r="B58" s="11" t="s">
        <v>10</v>
      </c>
      <c r="C58" s="10"/>
      <c r="D58" s="10"/>
      <c r="E58" s="10"/>
      <c r="F58" s="10"/>
      <c r="G58" s="13"/>
      <c r="H58" s="13"/>
      <c r="I58" s="10"/>
      <c r="J58" s="10"/>
      <c r="K58" s="10"/>
      <c r="L58" s="10"/>
      <c r="M58" s="10"/>
    </row>
    <row r="59" spans="1:13" ht="15.75" x14ac:dyDescent="0.25">
      <c r="A59" s="10"/>
      <c r="B59" s="11" t="s">
        <v>215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</row>
    <row r="60" spans="1:13" ht="15.75" x14ac:dyDescent="0.25">
      <c r="A60" s="10"/>
      <c r="B60" s="11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</row>
    <row r="61" spans="1:13" s="1" customFormat="1" ht="15.75" x14ac:dyDescent="0.25">
      <c r="A61" s="30"/>
      <c r="B61" s="117"/>
      <c r="C61" s="30"/>
      <c r="D61" s="30"/>
      <c r="E61" s="30"/>
      <c r="F61" s="30"/>
      <c r="G61" s="30"/>
      <c r="H61" s="30"/>
      <c r="I61" s="30"/>
      <c r="J61" s="30"/>
      <c r="K61" s="30"/>
      <c r="L61" s="30"/>
      <c r="M61" s="30"/>
    </row>
    <row r="62" spans="1:13" s="1" customFormat="1" ht="17.25" customHeight="1" x14ac:dyDescent="0.25">
      <c r="A62" s="30"/>
      <c r="B62" s="117"/>
      <c r="C62" s="117"/>
      <c r="D62" s="30"/>
      <c r="E62" s="30"/>
      <c r="F62" s="30"/>
      <c r="G62" s="30"/>
      <c r="H62" s="30"/>
      <c r="I62" s="145"/>
      <c r="J62" s="30"/>
      <c r="K62" s="30"/>
      <c r="L62" s="30"/>
      <c r="M62" s="30"/>
    </row>
    <row r="63" spans="1:13" ht="15.75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FB682-6FBA-45DF-B3A6-5AD8CD7AAF51}">
  <dimension ref="A1:AQ319"/>
  <sheetViews>
    <sheetView workbookViewId="0">
      <selection activeCell="E4" sqref="E4"/>
    </sheetView>
  </sheetViews>
  <sheetFormatPr defaultRowHeight="15" x14ac:dyDescent="0.25"/>
  <cols>
    <col min="1" max="1" width="11.140625" bestFit="1" customWidth="1"/>
    <col min="5" max="5" width="13.85546875" customWidth="1"/>
    <col min="9" max="10" width="11.5703125" bestFit="1" customWidth="1"/>
  </cols>
  <sheetData>
    <row r="1" spans="1:43" ht="15.75" x14ac:dyDescent="0.25">
      <c r="C1" s="10"/>
      <c r="D1" s="10"/>
      <c r="E1" s="10"/>
    </row>
    <row r="2" spans="1:43" ht="15.75" x14ac:dyDescent="0.25">
      <c r="B2" s="11" t="s">
        <v>36</v>
      </c>
      <c r="F2" s="11" t="s">
        <v>37</v>
      </c>
    </row>
    <row r="3" spans="1:43" ht="16.5" thickBot="1" x14ac:dyDescent="0.3">
      <c r="A3" s="10"/>
      <c r="G3" s="10"/>
      <c r="H3" s="10"/>
      <c r="I3" s="96" t="s">
        <v>216</v>
      </c>
      <c r="J3" s="96" t="s">
        <v>216</v>
      </c>
      <c r="K3" s="10"/>
      <c r="L3" s="13"/>
      <c r="M3" s="13"/>
      <c r="N3" s="13"/>
      <c r="O3" s="13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</row>
    <row r="4" spans="1:43" ht="16.5" thickBot="1" x14ac:dyDescent="0.3">
      <c r="A4" s="11" t="s">
        <v>11</v>
      </c>
      <c r="B4" s="10"/>
      <c r="C4" s="10"/>
      <c r="D4" s="10"/>
      <c r="E4" s="10"/>
      <c r="F4" s="35">
        <v>2014</v>
      </c>
      <c r="G4" s="35">
        <v>2015</v>
      </c>
      <c r="H4" s="35">
        <v>2016</v>
      </c>
      <c r="I4" s="35">
        <v>2017</v>
      </c>
      <c r="J4" s="35">
        <v>2018</v>
      </c>
      <c r="K4" s="10"/>
      <c r="L4" s="13"/>
      <c r="M4" s="13"/>
      <c r="N4" s="13"/>
      <c r="O4" s="13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</row>
    <row r="5" spans="1:43" ht="15.75" x14ac:dyDescent="0.25">
      <c r="A5" s="10"/>
      <c r="B5" s="10" t="s">
        <v>30</v>
      </c>
      <c r="C5" s="10"/>
      <c r="D5" s="10"/>
      <c r="E5" s="10"/>
      <c r="F5" s="57"/>
      <c r="G5" s="57"/>
      <c r="H5" s="57"/>
      <c r="I5" s="57"/>
      <c r="J5" s="57"/>
      <c r="K5" s="10"/>
      <c r="L5" s="13"/>
      <c r="M5" s="13"/>
      <c r="N5" s="13"/>
      <c r="O5" s="13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</row>
    <row r="6" spans="1:43" ht="15.75" x14ac:dyDescent="0.25">
      <c r="A6" s="10"/>
      <c r="B6" s="10" t="s">
        <v>54</v>
      </c>
      <c r="C6" s="10"/>
      <c r="D6" s="10"/>
      <c r="E6" s="10"/>
      <c r="F6" s="61">
        <v>41545</v>
      </c>
      <c r="G6" s="61">
        <v>39801</v>
      </c>
      <c r="H6" s="61">
        <v>40735</v>
      </c>
      <c r="I6" s="78">
        <f>H6+(H6*0.03)</f>
        <v>41957.05</v>
      </c>
      <c r="J6" s="78">
        <f>I6+(I6*0.03)</f>
        <v>43215.761500000001</v>
      </c>
      <c r="K6" s="10"/>
      <c r="L6" s="13"/>
      <c r="M6" s="13"/>
      <c r="N6" s="13"/>
      <c r="O6" s="13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</row>
    <row r="7" spans="1:43" ht="15.75" x14ac:dyDescent="0.25">
      <c r="A7" s="13"/>
      <c r="B7" s="10" t="s">
        <v>55</v>
      </c>
      <c r="C7" s="10"/>
      <c r="D7" s="10"/>
      <c r="E7" s="10"/>
      <c r="F7" s="55">
        <v>16355</v>
      </c>
      <c r="G7" s="55">
        <v>16297</v>
      </c>
      <c r="H7" s="55">
        <v>16509</v>
      </c>
      <c r="I7" s="78">
        <f t="shared" ref="I7:J7" si="0">H7+(H7*0.03)</f>
        <v>17004.27</v>
      </c>
      <c r="J7" s="78">
        <f t="shared" si="0"/>
        <v>17514.398100000002</v>
      </c>
      <c r="K7" s="89"/>
      <c r="L7" s="13"/>
      <c r="M7" s="13"/>
      <c r="N7" s="13"/>
      <c r="O7" s="13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</row>
    <row r="8" spans="1:43" s="47" customFormat="1" ht="15.75" x14ac:dyDescent="0.25">
      <c r="A8" s="134"/>
      <c r="B8" s="46"/>
      <c r="C8" s="46"/>
      <c r="D8" s="46"/>
      <c r="E8" s="46"/>
      <c r="F8" s="120">
        <v>57900</v>
      </c>
      <c r="G8" s="120">
        <v>56098</v>
      </c>
      <c r="H8" s="120">
        <v>57244</v>
      </c>
      <c r="I8" s="99">
        <f t="shared" ref="I8:J8" si="1">H8+(H8*0.03)</f>
        <v>58961.32</v>
      </c>
      <c r="J8" s="99">
        <f t="shared" si="1"/>
        <v>60730.159599999999</v>
      </c>
      <c r="K8" s="137"/>
      <c r="L8" s="134"/>
      <c r="M8" s="134"/>
      <c r="N8" s="134"/>
      <c r="O8" s="134"/>
      <c r="P8" s="135"/>
      <c r="Q8" s="135"/>
      <c r="R8" s="135"/>
      <c r="S8" s="135"/>
      <c r="T8" s="136"/>
      <c r="U8" s="136"/>
      <c r="V8" s="136"/>
      <c r="W8" s="136"/>
      <c r="X8" s="136"/>
      <c r="Y8" s="136"/>
      <c r="Z8" s="136"/>
      <c r="AA8" s="136"/>
      <c r="AB8" s="136"/>
      <c r="AC8" s="136"/>
      <c r="AD8" s="136"/>
      <c r="AE8" s="136"/>
      <c r="AF8" s="136"/>
      <c r="AG8" s="136"/>
      <c r="AH8" s="136"/>
      <c r="AI8" s="136"/>
      <c r="AJ8" s="136"/>
      <c r="AK8" s="136"/>
      <c r="AL8" s="136"/>
      <c r="AM8" s="136"/>
      <c r="AN8" s="136"/>
      <c r="AO8" s="136"/>
      <c r="AP8" s="136"/>
      <c r="AQ8" s="136"/>
    </row>
    <row r="9" spans="1:43" ht="15.75" x14ac:dyDescent="0.25">
      <c r="A9" s="13"/>
      <c r="B9" s="10" t="s">
        <v>31</v>
      </c>
      <c r="C9" s="10"/>
      <c r="D9" s="10"/>
      <c r="E9" s="10"/>
      <c r="F9" s="57"/>
      <c r="G9" s="57"/>
      <c r="H9" s="57"/>
      <c r="I9" s="78">
        <f t="shared" ref="I9:J9" si="2">H9+(H9*0.03)</f>
        <v>0</v>
      </c>
      <c r="J9" s="78">
        <f t="shared" si="2"/>
        <v>0</v>
      </c>
      <c r="K9" s="10"/>
      <c r="L9" s="13"/>
      <c r="M9" s="13"/>
      <c r="N9" s="13"/>
      <c r="O9" s="13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</row>
    <row r="10" spans="1:43" ht="15.75" x14ac:dyDescent="0.25">
      <c r="A10" s="13"/>
      <c r="B10" s="10" t="s">
        <v>56</v>
      </c>
      <c r="C10" s="10"/>
      <c r="D10" s="10"/>
      <c r="E10" s="10"/>
      <c r="F10" s="55">
        <v>30367</v>
      </c>
      <c r="G10" s="55">
        <v>29771</v>
      </c>
      <c r="H10" s="55">
        <v>30325</v>
      </c>
      <c r="I10" s="78">
        <f t="shared" ref="I10:J10" si="3">H10+(H10*0.03)</f>
        <v>31234.75</v>
      </c>
      <c r="J10" s="78">
        <f t="shared" si="3"/>
        <v>32171.7925</v>
      </c>
      <c r="K10" s="10"/>
      <c r="L10" s="13"/>
      <c r="M10" s="13"/>
      <c r="N10" s="13"/>
      <c r="O10" s="13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</row>
    <row r="11" spans="1:43" ht="15.75" x14ac:dyDescent="0.25">
      <c r="A11" s="13"/>
      <c r="B11" s="10" t="s">
        <v>57</v>
      </c>
      <c r="C11" s="10"/>
      <c r="D11" s="10"/>
      <c r="E11" s="10"/>
      <c r="F11" s="55">
        <v>10531</v>
      </c>
      <c r="G11" s="55">
        <v>10660</v>
      </c>
      <c r="H11" s="55">
        <v>11135</v>
      </c>
      <c r="I11" s="78">
        <f t="shared" ref="I11:J11" si="4">H11+(H11*0.03)</f>
        <v>11469.05</v>
      </c>
      <c r="J11" s="78">
        <f t="shared" si="4"/>
        <v>11813.121499999999</v>
      </c>
      <c r="K11" s="10"/>
      <c r="L11" s="13"/>
      <c r="M11" s="13"/>
      <c r="N11" s="13"/>
      <c r="O11" s="13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</row>
    <row r="12" spans="1:43" ht="15.75" x14ac:dyDescent="0.25">
      <c r="A12" s="13"/>
      <c r="B12" s="10" t="s">
        <v>58</v>
      </c>
      <c r="C12" s="10"/>
      <c r="D12" s="10"/>
      <c r="E12" s="10"/>
      <c r="F12" s="55">
        <v>2475</v>
      </c>
      <c r="G12" s="55">
        <v>2279</v>
      </c>
      <c r="H12" s="55">
        <v>2337</v>
      </c>
      <c r="I12" s="78">
        <f t="shared" ref="I12:J12" si="5">H12+(H12*0.03)</f>
        <v>2407.11</v>
      </c>
      <c r="J12" s="78">
        <f t="shared" si="5"/>
        <v>2479.3233</v>
      </c>
      <c r="K12" s="10"/>
      <c r="L12" s="13"/>
      <c r="M12" s="13"/>
      <c r="N12" s="13"/>
      <c r="O12" s="13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</row>
    <row r="13" spans="1:43" s="7" customFormat="1" ht="15.75" x14ac:dyDescent="0.25">
      <c r="A13" s="13"/>
      <c r="B13" s="37" t="s">
        <v>59</v>
      </c>
      <c r="C13" s="37"/>
      <c r="D13" s="37"/>
      <c r="E13" s="37"/>
      <c r="F13" s="56">
        <v>6172</v>
      </c>
      <c r="G13" s="56">
        <v>5886</v>
      </c>
      <c r="H13" s="56">
        <v>6060</v>
      </c>
      <c r="I13" s="78">
        <f t="shared" ref="I13:J13" si="6">H13+(H13*0.03)</f>
        <v>6241.8</v>
      </c>
      <c r="J13" s="78">
        <f t="shared" si="6"/>
        <v>6429.0540000000001</v>
      </c>
      <c r="K13" s="89"/>
      <c r="L13" s="13"/>
      <c r="M13" s="13"/>
      <c r="N13" s="13"/>
      <c r="O13" s="13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</row>
    <row r="14" spans="1:43" ht="15.75" x14ac:dyDescent="0.25">
      <c r="A14" s="13"/>
      <c r="B14" s="10"/>
      <c r="C14" s="10"/>
      <c r="D14" s="10"/>
      <c r="E14" s="10"/>
      <c r="F14" s="55">
        <v>49545</v>
      </c>
      <c r="G14" s="55">
        <v>48596</v>
      </c>
      <c r="H14" s="55">
        <v>49857</v>
      </c>
      <c r="I14" s="78">
        <f t="shared" ref="I14:J14" si="7">H14+(H14*0.03)</f>
        <v>51352.71</v>
      </c>
      <c r="J14" s="78">
        <f t="shared" si="7"/>
        <v>52893.291299999997</v>
      </c>
      <c r="K14" s="10"/>
      <c r="L14" s="13"/>
      <c r="M14" s="13"/>
      <c r="N14" s="13"/>
      <c r="O14" s="13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</row>
    <row r="15" spans="1:43" s="7" customFormat="1" ht="15.75" x14ac:dyDescent="0.25">
      <c r="A15" s="13"/>
      <c r="B15" s="37" t="s">
        <v>60</v>
      </c>
      <c r="C15" s="37"/>
      <c r="D15" s="37"/>
      <c r="E15" s="37"/>
      <c r="F15" s="56">
        <v>1238</v>
      </c>
      <c r="G15" s="85">
        <v>-211</v>
      </c>
      <c r="H15" s="85">
        <v>785</v>
      </c>
      <c r="I15" s="78">
        <f t="shared" ref="I15:J15" si="8">H15+(H15*0.03)</f>
        <v>808.55</v>
      </c>
      <c r="J15" s="78">
        <f t="shared" si="8"/>
        <v>832.80649999999991</v>
      </c>
      <c r="K15" s="89"/>
      <c r="L15" s="13"/>
      <c r="M15" s="13"/>
      <c r="N15" s="13"/>
      <c r="O15" s="13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</row>
    <row r="16" spans="1:43" ht="15.75" x14ac:dyDescent="0.25">
      <c r="A16" s="13"/>
      <c r="B16" s="10" t="s">
        <v>61</v>
      </c>
      <c r="C16" s="10"/>
      <c r="D16" s="10"/>
      <c r="E16" s="10"/>
      <c r="F16" s="55">
        <v>9593</v>
      </c>
      <c r="G16" s="55">
        <v>7291</v>
      </c>
      <c r="H16" s="55">
        <v>8172</v>
      </c>
      <c r="I16" s="78">
        <f t="shared" ref="I16:J16" si="9">H16+(H16*0.03)</f>
        <v>8417.16</v>
      </c>
      <c r="J16" s="78">
        <f t="shared" si="9"/>
        <v>8669.6748000000007</v>
      </c>
      <c r="K16" s="10"/>
      <c r="L16" s="13"/>
      <c r="M16" s="13"/>
      <c r="N16" s="13"/>
      <c r="O16" s="13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</row>
    <row r="17" spans="1:43" s="7" customFormat="1" ht="15.75" x14ac:dyDescent="0.25">
      <c r="A17" s="13"/>
      <c r="B17" s="37" t="s">
        <v>62</v>
      </c>
      <c r="C17" s="37"/>
      <c r="D17" s="37"/>
      <c r="E17" s="37"/>
      <c r="F17" s="85">
        <v>881</v>
      </c>
      <c r="G17" s="85">
        <v>824</v>
      </c>
      <c r="H17" s="56">
        <v>1039</v>
      </c>
      <c r="I17" s="78">
        <f t="shared" ref="I17:J17" si="10">H17+(H17*0.03)</f>
        <v>1070.17</v>
      </c>
      <c r="J17" s="78">
        <f t="shared" si="10"/>
        <v>1102.2751000000001</v>
      </c>
      <c r="K17" s="89"/>
      <c r="L17" s="13"/>
      <c r="M17" s="13"/>
      <c r="N17" s="13"/>
      <c r="O17" s="13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</row>
    <row r="18" spans="1:43" ht="15.75" x14ac:dyDescent="0.25">
      <c r="A18" s="13"/>
      <c r="B18" s="10" t="s">
        <v>63</v>
      </c>
      <c r="C18" s="10"/>
      <c r="D18" s="10"/>
      <c r="E18" s="10"/>
      <c r="F18" s="55">
        <v>8712</v>
      </c>
      <c r="G18" s="55">
        <v>6467</v>
      </c>
      <c r="H18" s="55">
        <v>7133</v>
      </c>
      <c r="I18" s="78">
        <f t="shared" ref="I18:J18" si="11">H18+(H18*0.03)</f>
        <v>7346.99</v>
      </c>
      <c r="J18" s="78">
        <f t="shared" si="11"/>
        <v>7567.3996999999999</v>
      </c>
      <c r="K18" s="10"/>
      <c r="L18" s="13"/>
      <c r="M18" s="13"/>
      <c r="N18" s="13"/>
      <c r="O18" s="13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</row>
    <row r="19" spans="1:43" s="7" customFormat="1" ht="15.75" x14ac:dyDescent="0.25">
      <c r="A19" s="13"/>
      <c r="B19" s="37" t="s">
        <v>64</v>
      </c>
      <c r="C19" s="37"/>
      <c r="D19" s="37"/>
      <c r="E19" s="37"/>
      <c r="F19" s="56">
        <v>2244</v>
      </c>
      <c r="G19" s="56">
        <v>2111</v>
      </c>
      <c r="H19" s="56">
        <v>1697</v>
      </c>
      <c r="I19" s="78">
        <f t="shared" ref="I19:J19" si="12">H19+(H19*0.03)</f>
        <v>1747.91</v>
      </c>
      <c r="J19" s="78">
        <f t="shared" si="12"/>
        <v>1800.3473000000001</v>
      </c>
      <c r="K19" s="89"/>
      <c r="L19" s="13"/>
      <c r="M19" s="13"/>
      <c r="N19" s="13"/>
      <c r="O19" s="13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</row>
    <row r="20" spans="1:43" ht="15.75" x14ac:dyDescent="0.25">
      <c r="A20" s="13"/>
      <c r="B20" s="10" t="s">
        <v>65</v>
      </c>
      <c r="C20" s="10"/>
      <c r="D20" s="10"/>
      <c r="E20" s="10"/>
      <c r="F20" s="55">
        <v>6468</v>
      </c>
      <c r="G20" s="55">
        <v>4356</v>
      </c>
      <c r="H20" s="55">
        <v>5436</v>
      </c>
      <c r="I20" s="78">
        <f t="shared" ref="I20:J20" si="13">H20+(H20*0.03)</f>
        <v>5599.08</v>
      </c>
      <c r="J20" s="78">
        <f t="shared" si="13"/>
        <v>5767.0523999999996</v>
      </c>
      <c r="K20" s="10"/>
      <c r="L20" s="13"/>
      <c r="M20" s="13"/>
      <c r="N20" s="13"/>
      <c r="O20" s="13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</row>
    <row r="21" spans="1:43" ht="15.75" x14ac:dyDescent="0.25">
      <c r="A21" s="13"/>
      <c r="B21" s="10" t="s">
        <v>66</v>
      </c>
      <c r="C21" s="10"/>
      <c r="D21" s="10"/>
      <c r="E21" s="10"/>
      <c r="F21" s="57">
        <v>402</v>
      </c>
      <c r="G21" s="57">
        <v>360</v>
      </c>
      <c r="H21" s="57">
        <v>371</v>
      </c>
      <c r="I21" s="78">
        <f t="shared" ref="I21:J21" si="14">H21+(H21*0.03)</f>
        <v>382.13</v>
      </c>
      <c r="J21" s="78">
        <f t="shared" si="14"/>
        <v>393.59390000000002</v>
      </c>
      <c r="K21" s="89"/>
      <c r="L21" s="13"/>
      <c r="M21" s="13"/>
      <c r="N21" s="13"/>
      <c r="O21" s="13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</row>
    <row r="22" spans="1:43" s="6" customFormat="1" ht="15.75" x14ac:dyDescent="0.25">
      <c r="A22" s="13"/>
      <c r="B22" s="36" t="s">
        <v>67</v>
      </c>
      <c r="C22" s="36"/>
      <c r="D22" s="36"/>
      <c r="E22" s="36"/>
      <c r="F22" s="75">
        <v>6066</v>
      </c>
      <c r="G22" s="75">
        <v>3996</v>
      </c>
      <c r="H22" s="75">
        <v>5065</v>
      </c>
      <c r="I22" s="78">
        <f t="shared" ref="I22:J22" si="15">H22+(H22*0.03)</f>
        <v>5216.95</v>
      </c>
      <c r="J22" s="78">
        <f t="shared" si="15"/>
        <v>5373.4584999999997</v>
      </c>
      <c r="K22" s="89"/>
      <c r="L22" s="13"/>
      <c r="M22" s="13"/>
      <c r="N22" s="13"/>
      <c r="O22" s="13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</row>
    <row r="23" spans="1:43" ht="15.75" x14ac:dyDescent="0.25">
      <c r="A23" s="13"/>
      <c r="B23" s="10" t="s">
        <v>32</v>
      </c>
      <c r="C23" s="10"/>
      <c r="D23" s="10"/>
      <c r="E23" s="10"/>
      <c r="F23" s="57"/>
      <c r="G23" s="57"/>
      <c r="H23" s="57"/>
      <c r="I23" s="78">
        <f t="shared" ref="I23:J23" si="16">H23+(H23*0.03)</f>
        <v>0</v>
      </c>
      <c r="J23" s="78">
        <f t="shared" si="16"/>
        <v>0</v>
      </c>
      <c r="K23" s="10"/>
      <c r="L23" s="13"/>
      <c r="M23" s="13"/>
      <c r="N23" s="13"/>
      <c r="O23" s="13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</row>
    <row r="24" spans="1:43" ht="15.75" x14ac:dyDescent="0.25">
      <c r="A24" s="13"/>
      <c r="B24" s="10" t="s">
        <v>68</v>
      </c>
      <c r="C24" s="10"/>
      <c r="D24" s="10"/>
      <c r="E24" s="10"/>
      <c r="F24" s="57">
        <v>175</v>
      </c>
      <c r="G24" s="57">
        <v>252</v>
      </c>
      <c r="H24" s="57">
        <v>1</v>
      </c>
      <c r="I24" s="78">
        <f t="shared" ref="I24:J24" si="17">H24+(H24*0.03)</f>
        <v>1.03</v>
      </c>
      <c r="J24" s="78">
        <f t="shared" si="17"/>
        <v>1.0609</v>
      </c>
      <c r="K24" s="10"/>
      <c r="L24" s="13"/>
      <c r="M24" s="13"/>
      <c r="N24" s="13"/>
      <c r="O24" s="13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</row>
    <row r="25" spans="1:43" ht="15.75" x14ac:dyDescent="0.25">
      <c r="A25" s="13"/>
      <c r="B25" s="10" t="s">
        <v>69</v>
      </c>
      <c r="C25" s="10"/>
      <c r="D25" s="10"/>
      <c r="E25" s="10"/>
      <c r="F25" s="57" t="s">
        <v>49</v>
      </c>
      <c r="G25" s="55">
        <v>6042</v>
      </c>
      <c r="H25" s="57">
        <v>13</v>
      </c>
      <c r="I25" s="78">
        <f t="shared" ref="I25:J25" si="18">H25+(H25*0.03)</f>
        <v>13.39</v>
      </c>
      <c r="J25" s="78">
        <f t="shared" si="18"/>
        <v>13.791700000000001</v>
      </c>
      <c r="K25" s="10"/>
      <c r="L25" s="13"/>
      <c r="M25" s="13"/>
      <c r="N25" s="13"/>
      <c r="O25" s="13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</row>
    <row r="26" spans="1:43" s="7" customFormat="1" ht="15.75" x14ac:dyDescent="0.25">
      <c r="A26" s="13"/>
      <c r="B26" s="37" t="s">
        <v>64</v>
      </c>
      <c r="C26" s="37"/>
      <c r="D26" s="37"/>
      <c r="E26" s="37"/>
      <c r="F26" s="85">
        <v>-20</v>
      </c>
      <c r="G26" s="56">
        <v>-2684</v>
      </c>
      <c r="H26" s="85">
        <v>-24</v>
      </c>
      <c r="I26" s="78">
        <f t="shared" ref="I26:J26" si="19">H26+(H26*0.03)</f>
        <v>-24.72</v>
      </c>
      <c r="J26" s="78">
        <f t="shared" si="19"/>
        <v>-25.461599999999997</v>
      </c>
      <c r="K26" s="89"/>
      <c r="L26" s="13"/>
      <c r="M26" s="13"/>
      <c r="N26" s="13"/>
      <c r="O26" s="13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</row>
    <row r="27" spans="1:43" ht="15.75" x14ac:dyDescent="0.25">
      <c r="A27" s="13"/>
      <c r="B27" s="10" t="s">
        <v>70</v>
      </c>
      <c r="C27" s="10"/>
      <c r="D27" s="10"/>
      <c r="E27" s="10"/>
      <c r="F27" s="57">
        <v>155</v>
      </c>
      <c r="G27" s="55">
        <v>3610</v>
      </c>
      <c r="H27" s="57">
        <v>-10</v>
      </c>
      <c r="I27" s="78">
        <f t="shared" ref="I27:J27" si="20">H27+(H27*0.03)</f>
        <v>-10.3</v>
      </c>
      <c r="J27" s="78">
        <f t="shared" si="20"/>
        <v>-10.609</v>
      </c>
      <c r="K27" s="10"/>
      <c r="L27" s="13"/>
      <c r="M27" s="13"/>
      <c r="N27" s="13"/>
      <c r="O27" s="13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</row>
    <row r="28" spans="1:43" ht="15.75" x14ac:dyDescent="0.25">
      <c r="A28" s="13"/>
      <c r="B28" s="10" t="s">
        <v>71</v>
      </c>
      <c r="C28" s="10"/>
      <c r="D28" s="10"/>
      <c r="E28" s="10"/>
      <c r="F28" s="57">
        <v>1</v>
      </c>
      <c r="G28" s="57">
        <v>-2</v>
      </c>
      <c r="H28" s="57" t="s">
        <v>72</v>
      </c>
      <c r="I28" s="78" t="e">
        <f t="shared" ref="I28:J28" si="21">H28+(H28*0.03)</f>
        <v>#VALUE!</v>
      </c>
      <c r="J28" s="78" t="e">
        <f t="shared" si="21"/>
        <v>#VALUE!</v>
      </c>
      <c r="K28" s="10"/>
      <c r="L28" s="13"/>
      <c r="M28" s="13"/>
      <c r="N28" s="13"/>
      <c r="O28" s="13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</row>
    <row r="29" spans="1:43" s="7" customFormat="1" ht="15.75" x14ac:dyDescent="0.25">
      <c r="A29" s="13"/>
      <c r="B29" s="37" t="s">
        <v>73</v>
      </c>
      <c r="C29" s="37"/>
      <c r="D29" s="37"/>
      <c r="E29" s="37"/>
      <c r="F29" s="85">
        <v>154</v>
      </c>
      <c r="G29" s="56">
        <v>3612</v>
      </c>
      <c r="H29" s="85">
        <v>-10</v>
      </c>
      <c r="I29" s="78">
        <f t="shared" ref="I29:J29" si="22">H29+(H29*0.03)</f>
        <v>-10.3</v>
      </c>
      <c r="J29" s="78">
        <f t="shared" si="22"/>
        <v>-10.609</v>
      </c>
      <c r="K29" s="89"/>
      <c r="L29" s="13"/>
      <c r="M29" s="13"/>
      <c r="N29" s="13"/>
      <c r="O29" s="13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</row>
    <row r="30" spans="1:43" s="4" customFormat="1" ht="16.5" thickBot="1" x14ac:dyDescent="0.3">
      <c r="A30" s="13"/>
      <c r="B30" s="38" t="s">
        <v>74</v>
      </c>
      <c r="C30" s="38"/>
      <c r="D30" s="38"/>
      <c r="E30" s="38"/>
      <c r="F30" s="58">
        <v>6220</v>
      </c>
      <c r="G30" s="58">
        <v>7608</v>
      </c>
      <c r="H30" s="58">
        <v>5055</v>
      </c>
      <c r="I30" s="78">
        <f t="shared" ref="I30:J30" si="23">H30+(H30*0.03)</f>
        <v>5206.6499999999996</v>
      </c>
      <c r="J30" s="78">
        <f t="shared" si="23"/>
        <v>5362.8494999999994</v>
      </c>
      <c r="K30" s="89"/>
      <c r="L30" s="13"/>
      <c r="M30" s="13"/>
      <c r="N30" s="13"/>
      <c r="O30" s="13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</row>
    <row r="31" spans="1:43" ht="15.75" x14ac:dyDescent="0.25">
      <c r="A31" s="13"/>
      <c r="B31" s="10" t="s">
        <v>33</v>
      </c>
      <c r="C31" s="10"/>
      <c r="D31" s="10"/>
      <c r="E31" s="10"/>
      <c r="F31" s="57"/>
      <c r="G31" s="57"/>
      <c r="H31" s="57"/>
      <c r="I31" s="78">
        <f t="shared" ref="I31:J31" si="24">H31+(H31*0.03)</f>
        <v>0</v>
      </c>
      <c r="J31" s="78">
        <f t="shared" si="24"/>
        <v>0</v>
      </c>
      <c r="K31" s="10"/>
      <c r="L31" s="13"/>
      <c r="M31" s="13"/>
      <c r="N31" s="13"/>
      <c r="O31" s="13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</row>
    <row r="32" spans="1:43" ht="15.75" x14ac:dyDescent="0.25">
      <c r="A32" s="10"/>
      <c r="B32" s="10" t="s">
        <v>75</v>
      </c>
      <c r="C32" s="10"/>
      <c r="D32" s="10"/>
      <c r="E32" s="10"/>
      <c r="F32" s="78">
        <v>6.75</v>
      </c>
      <c r="G32" s="78">
        <v>4.58</v>
      </c>
      <c r="H32" s="78">
        <v>6.19</v>
      </c>
      <c r="I32" s="78">
        <f t="shared" ref="I32:J32" si="25">H32+(H32*0.03)</f>
        <v>6.3757000000000001</v>
      </c>
      <c r="J32" s="78">
        <f t="shared" si="25"/>
        <v>6.5669710000000006</v>
      </c>
      <c r="K32" s="10"/>
      <c r="L32" s="13"/>
      <c r="M32" s="13"/>
      <c r="N32" s="13"/>
      <c r="O32" s="13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</row>
    <row r="33" spans="1:43" ht="15.75" x14ac:dyDescent="0.25">
      <c r="A33" s="10"/>
      <c r="B33" s="10" t="s">
        <v>76</v>
      </c>
      <c r="C33" s="10"/>
      <c r="D33" s="10"/>
      <c r="E33" s="10"/>
      <c r="F33" s="78">
        <v>6.92</v>
      </c>
      <c r="G33" s="78">
        <v>8.7200000000000006</v>
      </c>
      <c r="H33" s="78">
        <v>6.18</v>
      </c>
      <c r="I33" s="78">
        <f t="shared" ref="I33:J33" si="26">H33+(H33*0.03)</f>
        <v>6.3653999999999993</v>
      </c>
      <c r="J33" s="78">
        <f t="shared" si="26"/>
        <v>6.5563619999999991</v>
      </c>
      <c r="K33" s="10"/>
      <c r="L33" s="13"/>
      <c r="M33" s="13"/>
      <c r="N33" s="13"/>
      <c r="O33" s="13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</row>
    <row r="34" spans="1:43" ht="15.75" x14ac:dyDescent="0.25">
      <c r="A34" s="10"/>
      <c r="B34" s="10" t="s">
        <v>34</v>
      </c>
      <c r="C34" s="10"/>
      <c r="D34" s="10"/>
      <c r="E34" s="10"/>
      <c r="F34" s="57"/>
      <c r="G34" s="57"/>
      <c r="H34" s="57"/>
      <c r="I34" s="78">
        <f t="shared" ref="I34:J34" si="27">H34+(H34*0.03)</f>
        <v>0</v>
      </c>
      <c r="J34" s="78">
        <f t="shared" si="27"/>
        <v>0</v>
      </c>
      <c r="K34" s="10"/>
      <c r="L34" s="13"/>
      <c r="M34" s="13"/>
      <c r="N34" s="13"/>
      <c r="O34" s="13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</row>
    <row r="35" spans="1:43" ht="15.75" x14ac:dyDescent="0.25">
      <c r="A35" s="10"/>
      <c r="B35" s="10" t="s">
        <v>77</v>
      </c>
      <c r="C35" s="10"/>
      <c r="D35" s="10"/>
      <c r="E35" s="10"/>
      <c r="F35" s="78">
        <v>6.65</v>
      </c>
      <c r="G35" s="78">
        <v>4.53</v>
      </c>
      <c r="H35" s="78">
        <v>6.13</v>
      </c>
      <c r="I35" s="78">
        <f t="shared" ref="I35:J35" si="28">H35+(H35*0.03)</f>
        <v>6.3139000000000003</v>
      </c>
      <c r="J35" s="78">
        <f t="shared" si="28"/>
        <v>6.503317</v>
      </c>
      <c r="K35" s="10"/>
      <c r="L35" s="13"/>
      <c r="M35" s="13"/>
      <c r="N35" s="13"/>
      <c r="O35" s="13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</row>
    <row r="36" spans="1:43" ht="15.75" x14ac:dyDescent="0.25">
      <c r="A36" s="10"/>
      <c r="B36" s="10" t="s">
        <v>76</v>
      </c>
      <c r="C36" s="10"/>
      <c r="D36" s="10"/>
      <c r="E36" s="10"/>
      <c r="F36" s="78">
        <v>6.82</v>
      </c>
      <c r="G36" s="78">
        <v>8.61</v>
      </c>
      <c r="H36" s="78">
        <v>6.12</v>
      </c>
      <c r="I36" s="78">
        <f t="shared" ref="I36:J36" si="29">H36+(H36*0.03)</f>
        <v>6.3036000000000003</v>
      </c>
      <c r="J36" s="78">
        <f t="shared" si="29"/>
        <v>6.4927080000000004</v>
      </c>
      <c r="K36" s="10"/>
      <c r="L36" s="13"/>
      <c r="M36" s="13"/>
      <c r="N36" s="13"/>
      <c r="O36" s="13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</row>
    <row r="37" spans="1:43" ht="15.75" x14ac:dyDescent="0.25">
      <c r="A37" s="10"/>
      <c r="B37" s="10" t="s">
        <v>78</v>
      </c>
      <c r="C37" s="10"/>
      <c r="D37" s="10"/>
      <c r="E37" s="10"/>
      <c r="F37" s="78">
        <v>2.36</v>
      </c>
      <c r="G37" s="78">
        <v>2.56</v>
      </c>
      <c r="H37" s="78">
        <v>2.62</v>
      </c>
      <c r="I37" s="78">
        <f t="shared" ref="I37:J37" si="30">H37+(H37*0.03)</f>
        <v>2.6985999999999999</v>
      </c>
      <c r="J37" s="78">
        <f t="shared" si="30"/>
        <v>2.7795579999999998</v>
      </c>
      <c r="K37" s="10"/>
      <c r="L37" s="13"/>
      <c r="M37" s="13"/>
      <c r="N37" s="13"/>
      <c r="O37" s="13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</row>
    <row r="38" spans="1:43" ht="15.75" x14ac:dyDescent="0.25">
      <c r="A38" s="10"/>
      <c r="B38" s="10" t="s">
        <v>35</v>
      </c>
      <c r="C38" s="10"/>
      <c r="D38" s="10"/>
      <c r="E38" s="10"/>
      <c r="F38" s="57"/>
      <c r="G38" s="57"/>
      <c r="H38" s="57"/>
      <c r="I38" s="78">
        <f t="shared" ref="I38:J38" si="31">H38+(H38*0.03)</f>
        <v>0</v>
      </c>
      <c r="J38" s="78">
        <f t="shared" si="31"/>
        <v>0</v>
      </c>
      <c r="K38" s="10"/>
      <c r="L38" s="13"/>
      <c r="M38" s="13"/>
      <c r="N38" s="13"/>
      <c r="O38" s="13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</row>
    <row r="39" spans="1:43" ht="15.75" x14ac:dyDescent="0.25">
      <c r="A39" s="10"/>
      <c r="B39" s="10" t="s">
        <v>79</v>
      </c>
      <c r="C39" s="10"/>
      <c r="D39" s="10"/>
      <c r="E39" s="10"/>
      <c r="F39" s="57">
        <v>898.3</v>
      </c>
      <c r="G39" s="57">
        <v>872.7</v>
      </c>
      <c r="H39" s="57">
        <v>818.2</v>
      </c>
      <c r="I39" s="78">
        <f t="shared" ref="I39:J39" si="32">H39+(H39*0.03)</f>
        <v>842.74600000000009</v>
      </c>
      <c r="J39" s="78">
        <f t="shared" si="32"/>
        <v>868.02838000000008</v>
      </c>
      <c r="K39" s="10"/>
      <c r="L39" s="13"/>
      <c r="M39" s="13"/>
      <c r="N39" s="13"/>
      <c r="O39" s="13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</row>
    <row r="40" spans="1:43" s="5" customFormat="1" ht="16.5" thickBot="1" x14ac:dyDescent="0.3">
      <c r="A40" s="13"/>
      <c r="B40" s="39" t="s">
        <v>80</v>
      </c>
      <c r="C40" s="39"/>
      <c r="D40" s="39"/>
      <c r="E40" s="39"/>
      <c r="F40" s="87">
        <v>911.6</v>
      </c>
      <c r="G40" s="87">
        <v>883.2</v>
      </c>
      <c r="H40" s="87">
        <v>826.1</v>
      </c>
      <c r="I40" s="78">
        <f t="shared" ref="I40:J40" si="33">H40+(H40*0.03)</f>
        <v>850.88300000000004</v>
      </c>
      <c r="J40" s="78">
        <f t="shared" si="33"/>
        <v>876.40949000000001</v>
      </c>
      <c r="K40" s="89"/>
      <c r="L40" s="13"/>
      <c r="M40" s="13"/>
      <c r="N40" s="13"/>
      <c r="O40" s="13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</row>
    <row r="41" spans="1:43" s="2" customFormat="1" ht="15.75" x14ac:dyDescent="0.25">
      <c r="A41" s="13"/>
      <c r="B41" s="13"/>
      <c r="C41" s="13"/>
      <c r="D41" s="13"/>
      <c r="E41" s="13"/>
      <c r="F41" s="57"/>
      <c r="G41" s="57"/>
      <c r="H41" s="57"/>
      <c r="I41" s="57"/>
      <c r="J41" s="57"/>
      <c r="K41" s="13"/>
      <c r="L41" s="13"/>
      <c r="M41" s="13"/>
      <c r="N41" s="13"/>
      <c r="O41" s="13"/>
    </row>
    <row r="42" spans="1:43" s="8" customFormat="1" ht="13.9" customHeight="1" x14ac:dyDescent="0.25">
      <c r="A42" s="40"/>
      <c r="B42" s="40"/>
      <c r="C42" s="40"/>
      <c r="D42" s="40"/>
      <c r="E42" s="40"/>
      <c r="F42" s="88"/>
      <c r="G42" s="88"/>
      <c r="H42" s="88"/>
      <c r="I42" s="146" t="s">
        <v>230</v>
      </c>
      <c r="J42" s="88"/>
      <c r="K42" s="40"/>
      <c r="L42" s="40"/>
      <c r="M42" s="40"/>
      <c r="N42" s="40"/>
      <c r="O42" s="40"/>
    </row>
    <row r="43" spans="1:43" s="2" customFormat="1" ht="16.5" thickBot="1" x14ac:dyDescent="0.3">
      <c r="A43" s="13"/>
      <c r="B43" s="13"/>
      <c r="C43" s="13"/>
      <c r="D43" s="13"/>
      <c r="E43" s="13"/>
      <c r="F43" s="57"/>
      <c r="G43" s="57"/>
      <c r="H43" s="57"/>
      <c r="I43" s="96" t="s">
        <v>216</v>
      </c>
      <c r="J43" s="96" t="s">
        <v>216</v>
      </c>
      <c r="K43" s="13"/>
      <c r="L43" s="13"/>
      <c r="M43" s="13"/>
      <c r="N43" s="13"/>
      <c r="O43" s="13"/>
    </row>
    <row r="44" spans="1:43" s="2" customFormat="1" ht="16.5" thickBot="1" x14ac:dyDescent="0.3">
      <c r="A44" s="96" t="s">
        <v>229</v>
      </c>
      <c r="B44" s="13"/>
      <c r="C44" s="13"/>
      <c r="D44" s="13"/>
      <c r="E44" s="13"/>
      <c r="F44" s="35">
        <v>2014</v>
      </c>
      <c r="G44" s="100">
        <v>2015</v>
      </c>
      <c r="H44" s="101">
        <v>2016</v>
      </c>
      <c r="I44" s="102">
        <v>2017</v>
      </c>
      <c r="J44" s="35">
        <v>2018</v>
      </c>
      <c r="K44" s="13"/>
      <c r="L44" s="13"/>
      <c r="M44" s="13"/>
      <c r="N44" s="13"/>
      <c r="O44" s="13"/>
    </row>
    <row r="45" spans="1:43" ht="15.75" x14ac:dyDescent="0.25">
      <c r="A45" s="10"/>
      <c r="B45" s="10"/>
      <c r="C45" s="10"/>
      <c r="D45" s="10"/>
      <c r="E45" s="10"/>
      <c r="F45" s="57"/>
      <c r="G45" s="57"/>
      <c r="H45" s="57"/>
      <c r="I45" s="57"/>
      <c r="J45" s="57"/>
      <c r="K45" s="10"/>
      <c r="L45" s="13"/>
      <c r="M45" s="13"/>
      <c r="N45" s="13"/>
      <c r="O45" s="13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</row>
    <row r="46" spans="1:43" s="74" customFormat="1" ht="15.75" x14ac:dyDescent="0.25">
      <c r="A46" s="30"/>
      <c r="B46" s="48" t="s">
        <v>65</v>
      </c>
      <c r="C46" s="48"/>
      <c r="D46" s="48"/>
      <c r="E46" s="48"/>
      <c r="F46" s="138">
        <v>6468</v>
      </c>
      <c r="G46" s="138">
        <v>4356</v>
      </c>
      <c r="H46" s="138">
        <v>5436</v>
      </c>
      <c r="I46" s="99">
        <f>H46+(H46*0.03)</f>
        <v>5599.08</v>
      </c>
      <c r="J46" s="99">
        <f>I46+(I46*0.03)</f>
        <v>5767.0523999999996</v>
      </c>
      <c r="K46" s="30"/>
      <c r="L46" s="134"/>
      <c r="M46" s="134"/>
      <c r="N46" s="134"/>
      <c r="O46" s="134"/>
      <c r="P46" s="135"/>
      <c r="Q46" s="135"/>
      <c r="R46" s="135"/>
      <c r="S46" s="135"/>
      <c r="T46" s="135"/>
      <c r="U46" s="135"/>
      <c r="V46" s="135"/>
      <c r="W46" s="135"/>
      <c r="X46" s="133"/>
      <c r="Y46" s="133"/>
      <c r="Z46" s="133"/>
      <c r="AA46" s="133"/>
      <c r="AB46" s="133"/>
      <c r="AC46" s="133"/>
      <c r="AD46" s="133"/>
      <c r="AE46" s="133"/>
      <c r="AF46" s="133"/>
      <c r="AG46" s="133"/>
      <c r="AH46" s="133"/>
      <c r="AI46" s="133"/>
      <c r="AJ46" s="133"/>
      <c r="AK46" s="133"/>
      <c r="AL46" s="133"/>
      <c r="AM46" s="133"/>
      <c r="AN46" s="133"/>
      <c r="AO46" s="133"/>
      <c r="AP46" s="133"/>
      <c r="AQ46" s="133"/>
    </row>
    <row r="47" spans="1:43" ht="15.75" x14ac:dyDescent="0.25">
      <c r="A47" s="13"/>
      <c r="B47" s="10" t="s">
        <v>81</v>
      </c>
      <c r="C47" s="10"/>
      <c r="D47" s="10"/>
      <c r="E47" s="10"/>
      <c r="F47" s="139">
        <v>155</v>
      </c>
      <c r="G47" s="121">
        <v>3610</v>
      </c>
      <c r="H47" s="139">
        <v>-10</v>
      </c>
      <c r="I47" s="99">
        <f t="shared" ref="I47:J47" si="34">H47+(H47*0.03)</f>
        <v>-10.3</v>
      </c>
      <c r="J47" s="99">
        <f t="shared" si="34"/>
        <v>-10.609</v>
      </c>
      <c r="K47" s="137"/>
      <c r="L47" s="134"/>
      <c r="M47" s="134"/>
      <c r="N47" s="134"/>
      <c r="O47" s="134"/>
      <c r="P47" s="135"/>
      <c r="Q47" s="135"/>
      <c r="R47" s="135"/>
      <c r="S47" s="135"/>
      <c r="T47" s="135"/>
      <c r="U47" s="135"/>
      <c r="V47" s="135"/>
      <c r="W47" s="135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</row>
    <row r="48" spans="1:43" s="47" customFormat="1" ht="15.75" x14ac:dyDescent="0.25">
      <c r="A48" s="134"/>
      <c r="B48" s="46" t="s">
        <v>82</v>
      </c>
      <c r="C48" s="46"/>
      <c r="D48" s="46"/>
      <c r="E48" s="46"/>
      <c r="F48" s="120">
        <v>6623</v>
      </c>
      <c r="G48" s="120">
        <v>7966</v>
      </c>
      <c r="H48" s="120">
        <v>5426</v>
      </c>
      <c r="I48" s="99">
        <f t="shared" ref="I48:J48" si="35">H48+(H48*0.03)</f>
        <v>5588.78</v>
      </c>
      <c r="J48" s="99">
        <f t="shared" si="35"/>
        <v>5756.4434000000001</v>
      </c>
      <c r="K48" s="137"/>
      <c r="L48" s="134"/>
      <c r="M48" s="134"/>
      <c r="N48" s="134"/>
      <c r="O48" s="134"/>
      <c r="P48" s="135"/>
      <c r="Q48" s="135"/>
      <c r="R48" s="135"/>
      <c r="S48" s="135"/>
      <c r="T48" s="135"/>
      <c r="U48" s="135"/>
      <c r="V48" s="135"/>
      <c r="W48" s="135"/>
      <c r="X48" s="136"/>
      <c r="Y48" s="136"/>
      <c r="Z48" s="136"/>
      <c r="AA48" s="136"/>
      <c r="AB48" s="136"/>
      <c r="AC48" s="136"/>
      <c r="AD48" s="136"/>
      <c r="AE48" s="136"/>
      <c r="AF48" s="136"/>
      <c r="AG48" s="136"/>
      <c r="AH48" s="136"/>
      <c r="AI48" s="136"/>
      <c r="AJ48" s="136"/>
      <c r="AK48" s="136"/>
      <c r="AL48" s="136"/>
      <c r="AM48" s="136"/>
      <c r="AN48" s="136"/>
      <c r="AO48" s="136"/>
      <c r="AP48" s="136"/>
      <c r="AQ48" s="136"/>
    </row>
    <row r="49" spans="1:43" ht="15.75" x14ac:dyDescent="0.25">
      <c r="A49" s="13"/>
      <c r="B49" s="10" t="s">
        <v>27</v>
      </c>
      <c r="C49" s="10"/>
      <c r="D49" s="10"/>
      <c r="E49" s="10"/>
      <c r="F49" s="57"/>
      <c r="G49" s="57"/>
      <c r="H49" s="57"/>
      <c r="I49" s="78">
        <f t="shared" ref="I49:J49" si="36">H49+(H49*0.03)</f>
        <v>0</v>
      </c>
      <c r="J49" s="78">
        <f t="shared" si="36"/>
        <v>0</v>
      </c>
      <c r="K49" s="10"/>
      <c r="L49" s="13"/>
      <c r="M49" s="13"/>
      <c r="N49" s="13"/>
      <c r="O49" s="13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</row>
    <row r="50" spans="1:43" ht="15.75" x14ac:dyDescent="0.25">
      <c r="A50" s="13"/>
      <c r="B50" s="10" t="s">
        <v>50</v>
      </c>
      <c r="C50" s="10"/>
      <c r="D50" s="10"/>
      <c r="E50" s="10"/>
      <c r="F50" s="57"/>
      <c r="G50" s="57"/>
      <c r="H50" s="57"/>
      <c r="I50" s="78">
        <f t="shared" ref="I50:J50" si="37">H50+(H50*0.03)</f>
        <v>0</v>
      </c>
      <c r="J50" s="78">
        <f t="shared" si="37"/>
        <v>0</v>
      </c>
      <c r="K50" s="10"/>
      <c r="L50" s="13"/>
      <c r="M50" s="13"/>
      <c r="N50" s="13"/>
      <c r="O50" s="13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</row>
    <row r="51" spans="1:43" ht="15.75" x14ac:dyDescent="0.25">
      <c r="A51" s="13"/>
      <c r="B51" s="10" t="s">
        <v>83</v>
      </c>
      <c r="C51" s="10"/>
      <c r="D51" s="10"/>
      <c r="E51" s="10"/>
      <c r="F51" s="55">
        <v>-1302</v>
      </c>
      <c r="G51" s="55">
        <v>-1502</v>
      </c>
      <c r="H51" s="55">
        <v>-1089</v>
      </c>
      <c r="I51" s="78">
        <f t="shared" ref="I51:J51" si="38">H51+(H51*0.03)</f>
        <v>-1121.67</v>
      </c>
      <c r="J51" s="78">
        <f t="shared" si="38"/>
        <v>-1155.3201000000001</v>
      </c>
      <c r="K51" s="10"/>
      <c r="L51" s="13"/>
      <c r="M51" s="13"/>
      <c r="N51" s="13"/>
      <c r="O51" s="13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</row>
    <row r="52" spans="1:43" ht="15.75" x14ac:dyDescent="0.25">
      <c r="A52" s="13"/>
      <c r="B52" s="10" t="s">
        <v>84</v>
      </c>
      <c r="C52" s="10"/>
      <c r="D52" s="10"/>
      <c r="E52" s="10"/>
      <c r="F52" s="57">
        <v>7</v>
      </c>
      <c r="G52" s="57">
        <v>42</v>
      </c>
      <c r="H52" s="57" t="s">
        <v>72</v>
      </c>
      <c r="I52" s="78" t="e">
        <f t="shared" ref="I52:J52" si="39">H52+(H52*0.03)</f>
        <v>#VALUE!</v>
      </c>
      <c r="J52" s="78" t="e">
        <f t="shared" si="39"/>
        <v>#VALUE!</v>
      </c>
      <c r="K52" s="89"/>
      <c r="L52" s="13"/>
      <c r="M52" s="13"/>
      <c r="N52" s="13"/>
      <c r="O52" s="13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</row>
    <row r="53" spans="1:43" s="6" customFormat="1" ht="15.75" x14ac:dyDescent="0.25">
      <c r="A53" s="13"/>
      <c r="B53" s="36"/>
      <c r="C53" s="36"/>
      <c r="D53" s="36"/>
      <c r="E53" s="36"/>
      <c r="F53" s="75">
        <v>-1295</v>
      </c>
      <c r="G53" s="75">
        <v>-1460</v>
      </c>
      <c r="H53" s="75">
        <v>-1089</v>
      </c>
      <c r="I53" s="78">
        <f t="shared" ref="I53:J53" si="40">H53+(H53*0.03)</f>
        <v>-1121.67</v>
      </c>
      <c r="J53" s="78">
        <f t="shared" si="40"/>
        <v>-1155.3201000000001</v>
      </c>
      <c r="K53" s="89"/>
      <c r="L53" s="13"/>
      <c r="M53" s="13"/>
      <c r="N53" s="13"/>
      <c r="O53" s="13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</row>
    <row r="54" spans="1:43" ht="15.75" x14ac:dyDescent="0.25">
      <c r="A54" s="13"/>
      <c r="B54" s="10" t="s">
        <v>51</v>
      </c>
      <c r="C54" s="10"/>
      <c r="D54" s="10"/>
      <c r="E54" s="10"/>
      <c r="F54" s="57"/>
      <c r="G54" s="57"/>
      <c r="H54" s="57"/>
      <c r="I54" s="78">
        <f t="shared" ref="I54:J54" si="41">H54+(H54*0.03)</f>
        <v>0</v>
      </c>
      <c r="J54" s="78">
        <f t="shared" si="41"/>
        <v>0</v>
      </c>
      <c r="K54" s="10"/>
      <c r="L54" s="13"/>
      <c r="M54" s="13"/>
      <c r="N54" s="13"/>
      <c r="O54" s="13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</row>
    <row r="55" spans="1:43" ht="15.75" x14ac:dyDescent="0.25">
      <c r="A55" s="13"/>
      <c r="B55" s="10" t="s">
        <v>85</v>
      </c>
      <c r="C55" s="10"/>
      <c r="D55" s="10"/>
      <c r="E55" s="10"/>
      <c r="F55" s="55">
        <v>-4362</v>
      </c>
      <c r="G55" s="57">
        <v>-284</v>
      </c>
      <c r="H55" s="57">
        <v>-785</v>
      </c>
      <c r="I55" s="78">
        <f t="shared" ref="I55:J55" si="42">H55+(H55*0.03)</f>
        <v>-808.55</v>
      </c>
      <c r="J55" s="78">
        <f t="shared" si="42"/>
        <v>-832.80649999999991</v>
      </c>
      <c r="K55" s="10"/>
      <c r="L55" s="13"/>
      <c r="M55" s="13"/>
      <c r="N55" s="13"/>
      <c r="O55" s="13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</row>
    <row r="56" spans="1:43" ht="15.75" x14ac:dyDescent="0.25">
      <c r="A56" s="13"/>
      <c r="B56" s="10" t="s">
        <v>86</v>
      </c>
      <c r="C56" s="10"/>
      <c r="D56" s="10"/>
      <c r="E56" s="10"/>
      <c r="F56" s="57">
        <v>-5</v>
      </c>
      <c r="G56" s="57">
        <v>-37</v>
      </c>
      <c r="H56" s="57">
        <v>-13</v>
      </c>
      <c r="I56" s="78">
        <f t="shared" ref="I56:J56" si="43">H56+(H56*0.03)</f>
        <v>-13.39</v>
      </c>
      <c r="J56" s="78">
        <f t="shared" si="43"/>
        <v>-13.791700000000001</v>
      </c>
      <c r="K56" s="10"/>
      <c r="L56" s="13"/>
      <c r="M56" s="13"/>
      <c r="N56" s="13"/>
      <c r="O56" s="13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</row>
    <row r="57" spans="1:43" ht="15.75" x14ac:dyDescent="0.25">
      <c r="A57" s="13"/>
      <c r="B57" s="10" t="s">
        <v>87</v>
      </c>
      <c r="C57" s="10"/>
      <c r="D57" s="10"/>
      <c r="E57" s="10"/>
      <c r="F57" s="57">
        <v>121</v>
      </c>
      <c r="G57" s="57">
        <v>326</v>
      </c>
      <c r="H57" s="57">
        <v>542</v>
      </c>
      <c r="I57" s="78">
        <f t="shared" ref="I57:J57" si="44">H57+(H57*0.03)</f>
        <v>558.26</v>
      </c>
      <c r="J57" s="78">
        <f t="shared" si="44"/>
        <v>575.00779999999997</v>
      </c>
      <c r="K57" s="10"/>
      <c r="L57" s="13"/>
      <c r="M57" s="13"/>
      <c r="N57" s="13"/>
      <c r="O57" s="13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</row>
    <row r="58" spans="1:43" s="7" customFormat="1" ht="15.75" x14ac:dyDescent="0.25">
      <c r="A58" s="13"/>
      <c r="B58" s="37" t="s">
        <v>88</v>
      </c>
      <c r="C58" s="37"/>
      <c r="D58" s="37"/>
      <c r="E58" s="37"/>
      <c r="F58" s="85">
        <v>416</v>
      </c>
      <c r="G58" s="85">
        <v>867</v>
      </c>
      <c r="H58" s="85">
        <v>535</v>
      </c>
      <c r="I58" s="78">
        <f t="shared" ref="I58:J58" si="45">H58+(H58*0.03)</f>
        <v>551.04999999999995</v>
      </c>
      <c r="J58" s="78">
        <f t="shared" si="45"/>
        <v>567.58150000000001</v>
      </c>
      <c r="K58" s="89"/>
      <c r="L58" s="13"/>
      <c r="M58" s="13"/>
      <c r="N58" s="13"/>
      <c r="O58" s="13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</row>
    <row r="59" spans="1:43" ht="15.75" x14ac:dyDescent="0.25">
      <c r="A59" s="13"/>
      <c r="B59" s="10"/>
      <c r="C59" s="10"/>
      <c r="D59" s="10"/>
      <c r="E59" s="10"/>
      <c r="F59" s="55">
        <v>-3830</v>
      </c>
      <c r="G59" s="57">
        <v>872</v>
      </c>
      <c r="H59" s="57">
        <v>279</v>
      </c>
      <c r="I59" s="78">
        <f t="shared" ref="I59:J59" si="46">H59+(H59*0.03)</f>
        <v>287.37</v>
      </c>
      <c r="J59" s="78">
        <f t="shared" si="46"/>
        <v>295.99110000000002</v>
      </c>
      <c r="K59" s="10"/>
      <c r="L59" s="13"/>
      <c r="M59" s="13"/>
      <c r="N59" s="13"/>
      <c r="O59" s="13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</row>
    <row r="60" spans="1:43" ht="15.75" x14ac:dyDescent="0.25">
      <c r="A60" s="13"/>
      <c r="B60" s="10" t="s">
        <v>89</v>
      </c>
      <c r="C60" s="10"/>
      <c r="D60" s="10"/>
      <c r="E60" s="10"/>
      <c r="F60" s="55">
        <v>1388</v>
      </c>
      <c r="G60" s="57">
        <v>-298</v>
      </c>
      <c r="H60" s="57">
        <v>-189</v>
      </c>
      <c r="I60" s="78">
        <f t="shared" ref="I60:J60" si="47">H60+(H60*0.03)</f>
        <v>-194.67</v>
      </c>
      <c r="J60" s="78">
        <f t="shared" si="47"/>
        <v>-200.51009999999999</v>
      </c>
      <c r="K60" s="89"/>
      <c r="L60" s="13"/>
      <c r="M60" s="13"/>
      <c r="N60" s="13"/>
      <c r="O60" s="13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</row>
    <row r="61" spans="1:43" s="6" customFormat="1" ht="15.75" x14ac:dyDescent="0.25">
      <c r="A61" s="13"/>
      <c r="B61" s="36"/>
      <c r="C61" s="36"/>
      <c r="D61" s="36"/>
      <c r="E61" s="36"/>
      <c r="F61" s="75">
        <v>-2442</v>
      </c>
      <c r="G61" s="63">
        <v>574</v>
      </c>
      <c r="H61" s="63">
        <v>90</v>
      </c>
      <c r="I61" s="78">
        <f t="shared" ref="I61:J61" si="48">H61+(H61*0.03)</f>
        <v>92.7</v>
      </c>
      <c r="J61" s="78">
        <f t="shared" si="48"/>
        <v>95.481000000000009</v>
      </c>
      <c r="K61" s="89"/>
      <c r="L61" s="13"/>
      <c r="M61" s="13"/>
      <c r="N61" s="13"/>
      <c r="O61" s="13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</row>
    <row r="62" spans="1:43" ht="15.75" x14ac:dyDescent="0.25">
      <c r="A62" s="13"/>
      <c r="B62" s="10" t="s">
        <v>52</v>
      </c>
      <c r="C62" s="10"/>
      <c r="D62" s="10"/>
      <c r="E62" s="10"/>
      <c r="F62" s="57"/>
      <c r="G62" s="57"/>
      <c r="H62" s="57"/>
      <c r="I62" s="78">
        <f t="shared" ref="I62:J62" si="49">H62+(H62*0.03)</f>
        <v>0</v>
      </c>
      <c r="J62" s="78">
        <f t="shared" si="49"/>
        <v>0</v>
      </c>
      <c r="K62" s="10"/>
      <c r="L62" s="13"/>
      <c r="M62" s="13"/>
      <c r="N62" s="13"/>
      <c r="O62" s="13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</row>
    <row r="63" spans="1:43" ht="15.75" x14ac:dyDescent="0.25">
      <c r="A63" s="13"/>
      <c r="B63" s="10" t="s">
        <v>90</v>
      </c>
      <c r="C63" s="10"/>
      <c r="D63" s="10"/>
      <c r="E63" s="10"/>
      <c r="F63" s="57">
        <v>35</v>
      </c>
      <c r="G63" s="57">
        <v>28</v>
      </c>
      <c r="H63" s="57">
        <v>190</v>
      </c>
      <c r="I63" s="78">
        <f t="shared" ref="I63:J63" si="50">H63+(H63*0.03)</f>
        <v>195.7</v>
      </c>
      <c r="J63" s="78">
        <f t="shared" si="50"/>
        <v>201.571</v>
      </c>
      <c r="K63" s="10"/>
      <c r="L63" s="13"/>
      <c r="M63" s="13"/>
      <c r="N63" s="13"/>
      <c r="O63" s="13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</row>
    <row r="64" spans="1:43" s="7" customFormat="1" ht="15.75" x14ac:dyDescent="0.25">
      <c r="A64" s="13"/>
      <c r="B64" s="37" t="s">
        <v>91</v>
      </c>
      <c r="C64" s="37"/>
      <c r="D64" s="37"/>
      <c r="E64" s="37"/>
      <c r="F64" s="85">
        <v>-20</v>
      </c>
      <c r="G64" s="85">
        <v>-54</v>
      </c>
      <c r="H64" s="85">
        <v>-94</v>
      </c>
      <c r="I64" s="78">
        <f t="shared" ref="I64:J64" si="51">H64+(H64*0.03)</f>
        <v>-96.82</v>
      </c>
      <c r="J64" s="78">
        <f t="shared" si="51"/>
        <v>-99.724599999999995</v>
      </c>
      <c r="K64" s="89"/>
      <c r="L64" s="13"/>
      <c r="M64" s="13"/>
      <c r="N64" s="13"/>
      <c r="O64" s="13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</row>
    <row r="65" spans="1:43" ht="15.75" x14ac:dyDescent="0.25">
      <c r="A65" s="13"/>
      <c r="B65" s="10"/>
      <c r="C65" s="10"/>
      <c r="D65" s="10"/>
      <c r="E65" s="10"/>
      <c r="F65" s="57">
        <v>15</v>
      </c>
      <c r="G65" s="57">
        <v>-26</v>
      </c>
      <c r="H65" s="57">
        <v>96</v>
      </c>
      <c r="I65" s="78">
        <f t="shared" ref="I65:J65" si="52">H65+(H65*0.03)</f>
        <v>98.88</v>
      </c>
      <c r="J65" s="78">
        <f t="shared" si="52"/>
        <v>101.84639999999999</v>
      </c>
      <c r="K65" s="10"/>
      <c r="L65" s="13"/>
      <c r="M65" s="13"/>
      <c r="N65" s="13"/>
      <c r="O65" s="13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</row>
    <row r="66" spans="1:43" s="7" customFormat="1" ht="15.75" x14ac:dyDescent="0.25">
      <c r="A66" s="13"/>
      <c r="B66" s="37" t="s">
        <v>92</v>
      </c>
      <c r="C66" s="37"/>
      <c r="D66" s="37"/>
      <c r="E66" s="37"/>
      <c r="F66" s="85">
        <v>-3</v>
      </c>
      <c r="G66" s="85">
        <v>11</v>
      </c>
      <c r="H66" s="85">
        <v>-36</v>
      </c>
      <c r="I66" s="78">
        <f t="shared" ref="I66:J66" si="53">H66+(H66*0.03)</f>
        <v>-37.08</v>
      </c>
      <c r="J66" s="78">
        <f t="shared" si="53"/>
        <v>-38.192399999999999</v>
      </c>
      <c r="K66" s="89"/>
      <c r="L66" s="13"/>
      <c r="M66" s="13"/>
      <c r="N66" s="13"/>
      <c r="O66" s="13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</row>
    <row r="67" spans="1:43" s="6" customFormat="1" ht="15.75" x14ac:dyDescent="0.25">
      <c r="A67" s="13"/>
      <c r="B67" s="36"/>
      <c r="C67" s="36"/>
      <c r="D67" s="36"/>
      <c r="E67" s="36"/>
      <c r="F67" s="63">
        <v>12</v>
      </c>
      <c r="G67" s="63">
        <v>-15</v>
      </c>
      <c r="H67" s="63">
        <v>60</v>
      </c>
      <c r="I67" s="78">
        <f t="shared" ref="I67:J67" si="54">H67+(H67*0.03)</f>
        <v>61.8</v>
      </c>
      <c r="J67" s="78">
        <f t="shared" si="54"/>
        <v>63.653999999999996</v>
      </c>
      <c r="K67" s="89"/>
      <c r="L67" s="13"/>
      <c r="M67" s="13"/>
      <c r="N67" s="13"/>
      <c r="O67" s="13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</row>
    <row r="68" spans="1:43" ht="15.75" x14ac:dyDescent="0.25">
      <c r="A68" s="13"/>
      <c r="B68" s="10" t="s">
        <v>53</v>
      </c>
      <c r="C68" s="10"/>
      <c r="D68" s="10"/>
      <c r="E68" s="10"/>
      <c r="F68" s="57"/>
      <c r="G68" s="57"/>
      <c r="H68" s="57"/>
      <c r="I68" s="78">
        <f t="shared" ref="I68:J68" si="55">H68+(H68*0.03)</f>
        <v>0</v>
      </c>
      <c r="J68" s="78">
        <f t="shared" si="55"/>
        <v>0</v>
      </c>
      <c r="K68" s="10"/>
      <c r="L68" s="13"/>
      <c r="M68" s="13"/>
      <c r="N68" s="13"/>
      <c r="O68" s="13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</row>
    <row r="69" spans="1:43" ht="15.75" x14ac:dyDescent="0.25">
      <c r="A69" s="13"/>
      <c r="B69" s="10" t="s">
        <v>93</v>
      </c>
      <c r="C69" s="10"/>
      <c r="D69" s="10"/>
      <c r="E69" s="10"/>
      <c r="F69" s="57">
        <v>-263</v>
      </c>
      <c r="G69" s="57">
        <v>-415</v>
      </c>
      <c r="H69" s="57">
        <v>75</v>
      </c>
      <c r="I69" s="78">
        <f t="shared" ref="I69:J69" si="56">H69+(H69*0.03)</f>
        <v>77.25</v>
      </c>
      <c r="J69" s="78">
        <f t="shared" si="56"/>
        <v>79.567499999999995</v>
      </c>
      <c r="K69" s="10"/>
      <c r="L69" s="13"/>
      <c r="M69" s="13"/>
      <c r="N69" s="13"/>
      <c r="O69" s="13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</row>
    <row r="70" spans="1:43" s="7" customFormat="1" ht="15.75" x14ac:dyDescent="0.25">
      <c r="A70" s="13"/>
      <c r="B70" s="37" t="s">
        <v>94</v>
      </c>
      <c r="C70" s="37"/>
      <c r="D70" s="37"/>
      <c r="E70" s="37"/>
      <c r="F70" s="85">
        <v>96</v>
      </c>
      <c r="G70" s="85">
        <v>234</v>
      </c>
      <c r="H70" s="85">
        <v>171</v>
      </c>
      <c r="I70" s="78">
        <f t="shared" ref="I70:J70" si="57">H70+(H70*0.03)</f>
        <v>176.13</v>
      </c>
      <c r="J70" s="78">
        <f t="shared" si="57"/>
        <v>181.41389999999998</v>
      </c>
      <c r="K70" s="89"/>
      <c r="L70" s="13"/>
      <c r="M70" s="13"/>
      <c r="N70" s="13"/>
      <c r="O70" s="13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</row>
    <row r="71" spans="1:43" ht="15.75" x14ac:dyDescent="0.25">
      <c r="A71" s="13"/>
      <c r="B71" s="10"/>
      <c r="C71" s="10"/>
      <c r="D71" s="10"/>
      <c r="E71" s="10"/>
      <c r="F71" s="57">
        <v>-167</v>
      </c>
      <c r="G71" s="57">
        <v>-181</v>
      </c>
      <c r="H71" s="57">
        <v>246</v>
      </c>
      <c r="I71" s="78">
        <f t="shared" ref="I71:J71" si="58">H71+(H71*0.03)</f>
        <v>253.38</v>
      </c>
      <c r="J71" s="78">
        <f t="shared" si="58"/>
        <v>260.98140000000001</v>
      </c>
      <c r="K71" s="10"/>
      <c r="L71" s="13"/>
      <c r="M71" s="13"/>
      <c r="N71" s="13"/>
      <c r="O71" s="13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</row>
    <row r="72" spans="1:43" ht="15.75" x14ac:dyDescent="0.25">
      <c r="A72" s="13"/>
      <c r="B72" s="10" t="s">
        <v>92</v>
      </c>
      <c r="C72" s="10"/>
      <c r="D72" s="10"/>
      <c r="E72" s="10"/>
      <c r="F72" s="57">
        <v>37</v>
      </c>
      <c r="G72" s="57">
        <v>51</v>
      </c>
      <c r="H72" s="57">
        <v>-69</v>
      </c>
      <c r="I72" s="78">
        <f t="shared" ref="I72:J72" si="59">H72+(H72*0.03)</f>
        <v>-71.069999999999993</v>
      </c>
      <c r="J72" s="78">
        <f t="shared" si="59"/>
        <v>-73.202099999999987</v>
      </c>
      <c r="K72" s="89"/>
      <c r="L72" s="13"/>
      <c r="M72" s="13"/>
      <c r="N72" s="13"/>
      <c r="O72" s="13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</row>
    <row r="73" spans="1:43" s="6" customFormat="1" ht="15.75" x14ac:dyDescent="0.25">
      <c r="A73" s="13"/>
      <c r="B73" s="36"/>
      <c r="C73" s="36"/>
      <c r="D73" s="36"/>
      <c r="E73" s="36"/>
      <c r="F73" s="63">
        <v>-130</v>
      </c>
      <c r="G73" s="63">
        <v>-130</v>
      </c>
      <c r="H73" s="63">
        <v>177</v>
      </c>
      <c r="I73" s="78">
        <f t="shared" ref="I73:J73" si="60">H73+(H73*0.03)</f>
        <v>182.31</v>
      </c>
      <c r="J73" s="78">
        <f t="shared" si="60"/>
        <v>187.77930000000001</v>
      </c>
      <c r="K73" s="89"/>
      <c r="L73" s="13"/>
      <c r="M73" s="13"/>
      <c r="N73" s="13"/>
      <c r="O73" s="13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</row>
    <row r="74" spans="1:43" s="6" customFormat="1" ht="15.75" x14ac:dyDescent="0.25">
      <c r="A74" s="13"/>
      <c r="B74" s="36" t="s">
        <v>27</v>
      </c>
      <c r="C74" s="36"/>
      <c r="D74" s="36"/>
      <c r="E74" s="36"/>
      <c r="F74" s="75">
        <v>-3855</v>
      </c>
      <c r="G74" s="75">
        <v>-1031</v>
      </c>
      <c r="H74" s="63">
        <v>-762</v>
      </c>
      <c r="I74" s="78">
        <f t="shared" ref="I74:J74" si="61">H74+(H74*0.03)</f>
        <v>-784.86</v>
      </c>
      <c r="J74" s="78">
        <f t="shared" si="61"/>
        <v>-808.4058</v>
      </c>
      <c r="K74" s="89"/>
      <c r="L74" s="13"/>
      <c r="M74" s="13"/>
      <c r="N74" s="13"/>
      <c r="O74" s="13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</row>
    <row r="75" spans="1:43" ht="15.75" x14ac:dyDescent="0.25">
      <c r="A75" s="13"/>
      <c r="B75" s="10" t="s">
        <v>95</v>
      </c>
      <c r="C75" s="10"/>
      <c r="D75" s="10"/>
      <c r="E75" s="10"/>
      <c r="F75" s="55">
        <v>2768</v>
      </c>
      <c r="G75" s="55">
        <v>6935</v>
      </c>
      <c r="H75" s="55">
        <v>4664</v>
      </c>
      <c r="I75" s="78">
        <f t="shared" ref="I75:J75" si="62">H75+(H75*0.03)</f>
        <v>4803.92</v>
      </c>
      <c r="J75" s="78">
        <f t="shared" si="62"/>
        <v>4948.0375999999997</v>
      </c>
      <c r="K75" s="10"/>
      <c r="L75" s="13"/>
      <c r="M75" s="13"/>
      <c r="N75" s="13"/>
      <c r="O75" s="13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</row>
    <row r="76" spans="1:43" ht="15.75" x14ac:dyDescent="0.25">
      <c r="A76" s="13"/>
      <c r="B76" s="10" t="s">
        <v>96</v>
      </c>
      <c r="C76" s="10"/>
      <c r="D76" s="10"/>
      <c r="E76" s="10"/>
      <c r="F76" s="57">
        <v>-329</v>
      </c>
      <c r="G76" s="57">
        <v>-285</v>
      </c>
      <c r="H76" s="57">
        <v>-324</v>
      </c>
      <c r="I76" s="78">
        <f t="shared" ref="I76:J76" si="63">H76+(H76*0.03)</f>
        <v>-333.72</v>
      </c>
      <c r="J76" s="78">
        <f t="shared" si="63"/>
        <v>-343.73160000000001</v>
      </c>
      <c r="K76" s="89"/>
      <c r="L76" s="13"/>
      <c r="M76" s="13"/>
      <c r="N76" s="13"/>
      <c r="O76" s="13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</row>
    <row r="77" spans="1:43" s="4" customFormat="1" ht="16.5" thickBot="1" x14ac:dyDescent="0.3">
      <c r="A77" s="13"/>
      <c r="B77" s="38" t="s">
        <v>97</v>
      </c>
      <c r="C77" s="38"/>
      <c r="D77" s="38"/>
      <c r="E77" s="38"/>
      <c r="F77" s="77">
        <v>2439</v>
      </c>
      <c r="G77" s="77">
        <v>6650</v>
      </c>
      <c r="H77" s="77">
        <v>4340</v>
      </c>
      <c r="I77" s="79">
        <f t="shared" ref="I77:J77" si="64">H77+(H77*0.03)</f>
        <v>4470.2</v>
      </c>
      <c r="J77" s="79">
        <f t="shared" si="64"/>
        <v>4604.3059999999996</v>
      </c>
      <c r="K77" s="89"/>
      <c r="L77" s="13"/>
      <c r="M77" s="13"/>
      <c r="N77" s="13"/>
      <c r="O77" s="13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</row>
    <row r="78" spans="1:43" ht="15.75" x14ac:dyDescent="0.25">
      <c r="A78" s="13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3"/>
      <c r="M78" s="13"/>
      <c r="N78" s="13"/>
      <c r="O78" s="13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</row>
    <row r="79" spans="1:43" x14ac:dyDescent="0.25"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</row>
    <row r="80" spans="1:43" x14ac:dyDescent="0.25"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</row>
    <row r="81" spans="12:43" x14ac:dyDescent="0.25"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</row>
    <row r="82" spans="12:43" x14ac:dyDescent="0.25"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</row>
    <row r="83" spans="12:43" x14ac:dyDescent="0.25"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</row>
    <row r="84" spans="12:43" x14ac:dyDescent="0.25"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</row>
    <row r="85" spans="12:43" x14ac:dyDescent="0.25"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</row>
    <row r="86" spans="12:43" x14ac:dyDescent="0.25"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</row>
    <row r="87" spans="12:43" x14ac:dyDescent="0.25"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</row>
    <row r="88" spans="12:43" x14ac:dyDescent="0.25"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</row>
    <row r="89" spans="12:43" x14ac:dyDescent="0.25"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</row>
    <row r="90" spans="12:43" x14ac:dyDescent="0.25"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</row>
    <row r="91" spans="12:43" x14ac:dyDescent="0.25"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</row>
    <row r="92" spans="12:43" x14ac:dyDescent="0.25"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</row>
    <row r="93" spans="12:43" x14ac:dyDescent="0.25"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</row>
    <row r="94" spans="12:43" x14ac:dyDescent="0.25"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</row>
    <row r="95" spans="12:43" x14ac:dyDescent="0.25"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</row>
    <row r="96" spans="12:43" x14ac:dyDescent="0.25"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</row>
    <row r="97" spans="12:43" x14ac:dyDescent="0.25"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</row>
    <row r="98" spans="12:43" x14ac:dyDescent="0.25"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</row>
    <row r="99" spans="12:43" x14ac:dyDescent="0.25"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</row>
    <row r="100" spans="12:43" x14ac:dyDescent="0.25"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</row>
    <row r="101" spans="12:43" x14ac:dyDescent="0.25"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</row>
    <row r="102" spans="12:43" x14ac:dyDescent="0.25"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</row>
    <row r="103" spans="12:43" x14ac:dyDescent="0.25"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</row>
    <row r="104" spans="12:43" x14ac:dyDescent="0.25"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</row>
    <row r="105" spans="12:43" x14ac:dyDescent="0.25"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</row>
    <row r="106" spans="12:43" x14ac:dyDescent="0.25"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</row>
    <row r="107" spans="12:43" x14ac:dyDescent="0.25"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</row>
    <row r="108" spans="12:43" x14ac:dyDescent="0.25"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</row>
    <row r="109" spans="12:43" x14ac:dyDescent="0.25"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</row>
    <row r="110" spans="12:43" x14ac:dyDescent="0.25"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</row>
    <row r="111" spans="12:43" x14ac:dyDescent="0.25"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</row>
    <row r="112" spans="12:43" x14ac:dyDescent="0.25"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</row>
    <row r="113" spans="12:43" x14ac:dyDescent="0.25"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</row>
    <row r="114" spans="12:43" x14ac:dyDescent="0.25"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</row>
    <row r="115" spans="12:43" x14ac:dyDescent="0.25"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</row>
    <row r="116" spans="12:43" x14ac:dyDescent="0.25"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</row>
    <row r="117" spans="12:43" x14ac:dyDescent="0.25"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</row>
    <row r="118" spans="12:43" x14ac:dyDescent="0.25"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</row>
    <row r="119" spans="12:43" x14ac:dyDescent="0.25"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</row>
    <row r="120" spans="12:43" x14ac:dyDescent="0.25"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</row>
    <row r="121" spans="12:43" x14ac:dyDescent="0.25"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</row>
    <row r="122" spans="12:43" x14ac:dyDescent="0.25"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</row>
    <row r="123" spans="12:43" x14ac:dyDescent="0.25"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</row>
    <row r="124" spans="12:43" x14ac:dyDescent="0.25"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</row>
    <row r="125" spans="12:43" x14ac:dyDescent="0.25"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</row>
    <row r="126" spans="12:43" x14ac:dyDescent="0.25"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</row>
    <row r="127" spans="12:43" x14ac:dyDescent="0.25"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</row>
    <row r="128" spans="12:43" x14ac:dyDescent="0.25"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</row>
    <row r="129" spans="12:43" x14ac:dyDescent="0.25"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</row>
    <row r="130" spans="12:43" x14ac:dyDescent="0.25"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</row>
    <row r="131" spans="12:43" x14ac:dyDescent="0.25"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</row>
    <row r="132" spans="12:43" x14ac:dyDescent="0.25"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</row>
    <row r="133" spans="12:43" x14ac:dyDescent="0.25"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</row>
    <row r="134" spans="12:43" x14ac:dyDescent="0.25"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</row>
    <row r="135" spans="12:43" x14ac:dyDescent="0.25"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</row>
    <row r="136" spans="12:43" x14ac:dyDescent="0.25"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</row>
    <row r="137" spans="12:43" x14ac:dyDescent="0.25"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</row>
    <row r="138" spans="12:43" x14ac:dyDescent="0.25"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</row>
    <row r="139" spans="12:43" x14ac:dyDescent="0.25"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</row>
    <row r="140" spans="12:43" x14ac:dyDescent="0.25"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</row>
    <row r="141" spans="12:43" x14ac:dyDescent="0.25"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</row>
    <row r="142" spans="12:43" x14ac:dyDescent="0.25"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</row>
    <row r="143" spans="12:43" x14ac:dyDescent="0.25"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</row>
    <row r="144" spans="12:43" x14ac:dyDescent="0.25"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</row>
    <row r="145" spans="12:43" x14ac:dyDescent="0.25"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</row>
    <row r="146" spans="12:43" x14ac:dyDescent="0.25"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</row>
    <row r="147" spans="12:43" x14ac:dyDescent="0.25"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</row>
    <row r="148" spans="12:43" x14ac:dyDescent="0.25"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</row>
    <row r="149" spans="12:43" x14ac:dyDescent="0.25"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</row>
    <row r="150" spans="12:43" x14ac:dyDescent="0.25"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</row>
    <row r="151" spans="12:43" x14ac:dyDescent="0.25"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</row>
    <row r="152" spans="12:43" x14ac:dyDescent="0.25"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</row>
    <row r="153" spans="12:43" x14ac:dyDescent="0.25"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</row>
    <row r="154" spans="12:43" x14ac:dyDescent="0.25"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</row>
    <row r="155" spans="12:43" x14ac:dyDescent="0.25"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</row>
    <row r="156" spans="12:43" x14ac:dyDescent="0.25"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</row>
    <row r="157" spans="12:43" x14ac:dyDescent="0.25"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</row>
    <row r="158" spans="12:43" x14ac:dyDescent="0.25"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</row>
    <row r="159" spans="12:43" x14ac:dyDescent="0.25"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</row>
    <row r="160" spans="12:43" x14ac:dyDescent="0.25"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</row>
    <row r="161" spans="12:43" x14ac:dyDescent="0.25"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</row>
    <row r="162" spans="12:43" x14ac:dyDescent="0.25"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</row>
    <row r="163" spans="12:43" x14ac:dyDescent="0.25"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</row>
    <row r="164" spans="12:43" x14ac:dyDescent="0.25"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</row>
    <row r="165" spans="12:43" x14ac:dyDescent="0.25"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</row>
    <row r="166" spans="12:43" x14ac:dyDescent="0.25"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</row>
    <row r="167" spans="12:43" x14ac:dyDescent="0.25"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</row>
    <row r="168" spans="12:43" x14ac:dyDescent="0.25"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</row>
    <row r="169" spans="12:43" x14ac:dyDescent="0.25"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</row>
    <row r="170" spans="12:43" x14ac:dyDescent="0.25"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</row>
    <row r="171" spans="12:43" x14ac:dyDescent="0.25"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</row>
    <row r="172" spans="12:43" x14ac:dyDescent="0.25"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</row>
    <row r="173" spans="12:43" x14ac:dyDescent="0.25"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</row>
    <row r="174" spans="12:43" x14ac:dyDescent="0.25"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</row>
    <row r="175" spans="12:43" x14ac:dyDescent="0.25"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</row>
    <row r="176" spans="12:43" x14ac:dyDescent="0.25"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</row>
    <row r="177" spans="12:43" x14ac:dyDescent="0.25"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</row>
    <row r="178" spans="12:43" x14ac:dyDescent="0.25"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</row>
    <row r="179" spans="12:43" x14ac:dyDescent="0.25"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</row>
    <row r="180" spans="12:43" x14ac:dyDescent="0.25"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</row>
    <row r="181" spans="12:43" x14ac:dyDescent="0.25"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</row>
    <row r="182" spans="12:43" x14ac:dyDescent="0.25"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</row>
    <row r="183" spans="12:43" x14ac:dyDescent="0.25"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</row>
    <row r="184" spans="12:43" x14ac:dyDescent="0.25"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</row>
    <row r="185" spans="12:43" x14ac:dyDescent="0.25"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</row>
    <row r="186" spans="12:43" x14ac:dyDescent="0.25"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</row>
    <row r="187" spans="12:43" x14ac:dyDescent="0.25"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</row>
    <row r="188" spans="12:43" x14ac:dyDescent="0.25"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</row>
    <row r="189" spans="12:43" x14ac:dyDescent="0.25"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</row>
    <row r="190" spans="12:43" x14ac:dyDescent="0.25"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</row>
    <row r="191" spans="12:43" x14ac:dyDescent="0.25"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</row>
    <row r="192" spans="12:43" x14ac:dyDescent="0.25"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</row>
    <row r="193" spans="12:43" x14ac:dyDescent="0.25"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</row>
    <row r="194" spans="12:43" x14ac:dyDescent="0.25"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</row>
    <row r="195" spans="12:43" x14ac:dyDescent="0.25"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</row>
    <row r="196" spans="12:43" x14ac:dyDescent="0.25"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</row>
    <row r="197" spans="12:43" x14ac:dyDescent="0.25"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</row>
    <row r="198" spans="12:43" x14ac:dyDescent="0.25"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</row>
    <row r="199" spans="12:43" x14ac:dyDescent="0.25"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</row>
    <row r="200" spans="12:43" x14ac:dyDescent="0.25"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</row>
    <row r="201" spans="12:43" x14ac:dyDescent="0.25"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</row>
    <row r="202" spans="12:43" x14ac:dyDescent="0.25"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</row>
    <row r="203" spans="12:43" x14ac:dyDescent="0.25"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</row>
    <row r="204" spans="12:43" x14ac:dyDescent="0.25"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</row>
    <row r="205" spans="12:43" x14ac:dyDescent="0.25"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</row>
    <row r="206" spans="12:43" x14ac:dyDescent="0.25"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</row>
    <row r="207" spans="12:43" x14ac:dyDescent="0.25"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</row>
    <row r="208" spans="12:43" x14ac:dyDescent="0.25"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</row>
    <row r="209" spans="12:43" x14ac:dyDescent="0.25"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</row>
    <row r="210" spans="12:43" x14ac:dyDescent="0.25"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</row>
    <row r="211" spans="12:43" x14ac:dyDescent="0.25"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</row>
    <row r="212" spans="12:43" x14ac:dyDescent="0.25"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</row>
    <row r="213" spans="12:43" x14ac:dyDescent="0.25"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</row>
    <row r="214" spans="12:43" x14ac:dyDescent="0.25"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</row>
    <row r="215" spans="12:43" x14ac:dyDescent="0.25"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</row>
    <row r="216" spans="12:43" x14ac:dyDescent="0.25"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</row>
    <row r="217" spans="12:43" x14ac:dyDescent="0.25"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</row>
    <row r="218" spans="12:43" x14ac:dyDescent="0.25"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</row>
    <row r="219" spans="12:43" x14ac:dyDescent="0.25"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</row>
    <row r="220" spans="12:43" x14ac:dyDescent="0.25"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</row>
    <row r="221" spans="12:43" x14ac:dyDescent="0.25"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</row>
    <row r="222" spans="12:43" x14ac:dyDescent="0.25"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</row>
    <row r="223" spans="12:43" x14ac:dyDescent="0.25"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</row>
    <row r="224" spans="12:43" x14ac:dyDescent="0.25"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</row>
    <row r="225" spans="12:43" x14ac:dyDescent="0.25"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</row>
    <row r="226" spans="12:43" x14ac:dyDescent="0.25"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</row>
    <row r="227" spans="12:43" x14ac:dyDescent="0.25"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</row>
    <row r="228" spans="12:43" x14ac:dyDescent="0.25"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</row>
    <row r="229" spans="12:43" x14ac:dyDescent="0.25"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</row>
    <row r="230" spans="12:43" x14ac:dyDescent="0.25"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</row>
    <row r="231" spans="12:43" x14ac:dyDescent="0.25"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</row>
    <row r="232" spans="12:43" x14ac:dyDescent="0.25"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</row>
    <row r="233" spans="12:43" x14ac:dyDescent="0.25"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</row>
    <row r="234" spans="12:43" x14ac:dyDescent="0.25"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</row>
    <row r="235" spans="12:43" x14ac:dyDescent="0.25"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</row>
    <row r="236" spans="12:43" x14ac:dyDescent="0.25"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</row>
    <row r="237" spans="12:43" x14ac:dyDescent="0.25"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</row>
    <row r="238" spans="12:43" x14ac:dyDescent="0.25"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</row>
    <row r="239" spans="12:43" x14ac:dyDescent="0.25"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</row>
    <row r="240" spans="12:43" x14ac:dyDescent="0.25"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</row>
    <row r="241" spans="12:43" x14ac:dyDescent="0.25"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</row>
    <row r="242" spans="12:43" x14ac:dyDescent="0.25"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</row>
    <row r="243" spans="12:43" x14ac:dyDescent="0.25"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</row>
    <row r="244" spans="12:43" x14ac:dyDescent="0.25"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</row>
    <row r="245" spans="12:43" x14ac:dyDescent="0.25"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</row>
    <row r="246" spans="12:43" x14ac:dyDescent="0.25"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</row>
    <row r="247" spans="12:43" x14ac:dyDescent="0.25"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</row>
    <row r="248" spans="12:43" x14ac:dyDescent="0.25"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</row>
    <row r="249" spans="12:43" x14ac:dyDescent="0.25"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</row>
    <row r="250" spans="12:43" x14ac:dyDescent="0.25"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</row>
    <row r="251" spans="12:43" x14ac:dyDescent="0.25"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</row>
    <row r="252" spans="12:43" x14ac:dyDescent="0.25"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</row>
    <row r="253" spans="12:43" x14ac:dyDescent="0.25"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</row>
    <row r="254" spans="12:43" x14ac:dyDescent="0.25"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</row>
    <row r="255" spans="12:43" x14ac:dyDescent="0.25"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</row>
    <row r="256" spans="12:43" x14ac:dyDescent="0.25"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</row>
    <row r="257" spans="12:43" x14ac:dyDescent="0.25"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</row>
    <row r="258" spans="12:43" x14ac:dyDescent="0.25"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</row>
    <row r="259" spans="12:43" x14ac:dyDescent="0.25"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</row>
    <row r="260" spans="12:43" x14ac:dyDescent="0.25"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</row>
    <row r="261" spans="12:43" x14ac:dyDescent="0.25"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</row>
    <row r="262" spans="12:43" x14ac:dyDescent="0.25"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</row>
    <row r="263" spans="12:43" x14ac:dyDescent="0.25"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</row>
    <row r="264" spans="12:43" x14ac:dyDescent="0.25"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</row>
    <row r="265" spans="12:43" x14ac:dyDescent="0.25"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</row>
    <row r="266" spans="12:43" x14ac:dyDescent="0.25"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</row>
    <row r="267" spans="12:43" x14ac:dyDescent="0.25"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</row>
    <row r="268" spans="12:43" x14ac:dyDescent="0.25"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</row>
    <row r="269" spans="12:43" x14ac:dyDescent="0.25"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</row>
    <row r="270" spans="12:43" x14ac:dyDescent="0.25"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</row>
    <row r="271" spans="12:43" x14ac:dyDescent="0.25"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</row>
    <row r="272" spans="12:43" x14ac:dyDescent="0.25"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</row>
    <row r="273" spans="12:43" x14ac:dyDescent="0.25"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</row>
    <row r="274" spans="12:43" x14ac:dyDescent="0.25"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</row>
    <row r="275" spans="12:43" x14ac:dyDescent="0.25"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</row>
    <row r="276" spans="12:43" x14ac:dyDescent="0.25"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</row>
    <row r="277" spans="12:43" x14ac:dyDescent="0.25"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</row>
    <row r="278" spans="12:43" x14ac:dyDescent="0.25"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</row>
    <row r="279" spans="12:43" x14ac:dyDescent="0.25"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</row>
    <row r="280" spans="12:43" x14ac:dyDescent="0.25"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</row>
    <row r="281" spans="12:43" x14ac:dyDescent="0.25"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</row>
    <row r="282" spans="12:43" x14ac:dyDescent="0.25"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</row>
    <row r="283" spans="12:43" x14ac:dyDescent="0.25"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</row>
    <row r="284" spans="12:43" x14ac:dyDescent="0.25"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</row>
    <row r="285" spans="12:43" x14ac:dyDescent="0.25"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</row>
    <row r="286" spans="12:43" x14ac:dyDescent="0.25"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</row>
    <row r="287" spans="12:43" x14ac:dyDescent="0.25"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</row>
    <row r="288" spans="12:43" x14ac:dyDescent="0.25"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</row>
    <row r="289" spans="12:43" x14ac:dyDescent="0.25"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</row>
    <row r="290" spans="12:43" x14ac:dyDescent="0.25"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</row>
    <row r="291" spans="12:43" x14ac:dyDescent="0.25"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</row>
    <row r="292" spans="12:43" x14ac:dyDescent="0.25"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</row>
    <row r="293" spans="12:43" x14ac:dyDescent="0.25"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</row>
    <row r="294" spans="12:43" x14ac:dyDescent="0.25"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</row>
    <row r="295" spans="12:43" x14ac:dyDescent="0.25"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</row>
    <row r="296" spans="12:43" x14ac:dyDescent="0.25"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</row>
    <row r="297" spans="12:43" x14ac:dyDescent="0.25"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</row>
    <row r="298" spans="12:43" x14ac:dyDescent="0.25"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</row>
    <row r="299" spans="12:43" x14ac:dyDescent="0.25"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</row>
    <row r="300" spans="12:43" x14ac:dyDescent="0.25"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</row>
    <row r="301" spans="12:43" x14ac:dyDescent="0.25"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</row>
    <row r="302" spans="12:43" x14ac:dyDescent="0.25"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</row>
    <row r="303" spans="12:43" x14ac:dyDescent="0.25"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</row>
    <row r="304" spans="12:43" x14ac:dyDescent="0.25"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</row>
    <row r="305" spans="12:43" x14ac:dyDescent="0.25"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</row>
    <row r="306" spans="12:43" x14ac:dyDescent="0.25"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</row>
    <row r="307" spans="12:43" x14ac:dyDescent="0.25"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</row>
    <row r="308" spans="12:43" x14ac:dyDescent="0.25"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</row>
    <row r="309" spans="12:43" x14ac:dyDescent="0.25"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</row>
    <row r="310" spans="12:43" x14ac:dyDescent="0.25"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</row>
    <row r="311" spans="12:43" x14ac:dyDescent="0.25"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</row>
    <row r="312" spans="12:43" x14ac:dyDescent="0.25"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</row>
    <row r="313" spans="12:43" x14ac:dyDescent="0.25"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</row>
    <row r="314" spans="12:43" x14ac:dyDescent="0.25"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</row>
    <row r="315" spans="12:43" x14ac:dyDescent="0.25"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</row>
    <row r="316" spans="12:43" x14ac:dyDescent="0.25"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</row>
    <row r="317" spans="12:43" x14ac:dyDescent="0.25"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</row>
    <row r="318" spans="12:43" x14ac:dyDescent="0.25"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</row>
    <row r="319" spans="12:43" x14ac:dyDescent="0.25"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15E81-FCB7-4BC2-87BD-1C7B2FBBBA7F}">
  <dimension ref="A2:AM232"/>
  <sheetViews>
    <sheetView workbookViewId="0">
      <selection activeCell="G45" sqref="G45"/>
    </sheetView>
  </sheetViews>
  <sheetFormatPr defaultRowHeight="15" x14ac:dyDescent="0.25"/>
  <cols>
    <col min="1" max="1" width="11.85546875" customWidth="1"/>
    <col min="8" max="9" width="11.85546875" bestFit="1" customWidth="1"/>
    <col min="10" max="10" width="10" bestFit="1" customWidth="1"/>
    <col min="11" max="13" width="12.140625" bestFit="1" customWidth="1"/>
  </cols>
  <sheetData>
    <row r="2" spans="1:39" x14ac:dyDescent="0.25">
      <c r="H2" s="132" t="s">
        <v>230</v>
      </c>
      <c r="K2" s="149" t="s">
        <v>227</v>
      </c>
      <c r="L2" s="149" t="s">
        <v>232</v>
      </c>
      <c r="M2" s="1"/>
    </row>
    <row r="3" spans="1:39" ht="16.5" thickBot="1" x14ac:dyDescent="0.3">
      <c r="A3" s="10"/>
      <c r="B3" s="11" t="s">
        <v>38</v>
      </c>
      <c r="C3" s="10"/>
      <c r="D3" s="10"/>
      <c r="E3" s="11" t="s">
        <v>39</v>
      </c>
      <c r="F3" s="10"/>
      <c r="G3" s="10"/>
      <c r="H3" s="96" t="s">
        <v>216</v>
      </c>
      <c r="I3" s="96" t="s">
        <v>216</v>
      </c>
      <c r="J3" s="10"/>
      <c r="K3" s="30"/>
      <c r="L3" s="148" t="s">
        <v>216</v>
      </c>
      <c r="M3" s="148" t="s">
        <v>216</v>
      </c>
      <c r="N3" s="10"/>
      <c r="O3" s="10"/>
      <c r="P3" s="10"/>
      <c r="Q3" s="10"/>
      <c r="R3" s="10"/>
    </row>
    <row r="4" spans="1:39" ht="16.5" thickBot="1" x14ac:dyDescent="0.3">
      <c r="A4" s="11" t="s">
        <v>11</v>
      </c>
      <c r="B4" s="10"/>
      <c r="C4" s="10"/>
      <c r="D4" s="10"/>
      <c r="E4" s="10"/>
      <c r="F4" s="35">
        <v>2015</v>
      </c>
      <c r="G4" s="35">
        <v>2016</v>
      </c>
      <c r="H4" s="35">
        <v>2017</v>
      </c>
      <c r="I4" s="35">
        <v>2018</v>
      </c>
      <c r="J4" s="10"/>
      <c r="K4" s="225">
        <v>2016</v>
      </c>
      <c r="L4" s="225">
        <v>2017</v>
      </c>
      <c r="M4" s="225">
        <v>2018</v>
      </c>
      <c r="N4" s="10"/>
      <c r="O4" s="10"/>
      <c r="P4" s="10"/>
    </row>
    <row r="5" spans="1:39" ht="15.75" x14ac:dyDescent="0.25">
      <c r="A5" s="10"/>
      <c r="B5" s="11" t="s">
        <v>25</v>
      </c>
      <c r="C5" s="10"/>
      <c r="D5" s="10"/>
      <c r="E5" s="10"/>
      <c r="F5" s="57"/>
      <c r="G5" s="57"/>
      <c r="H5" s="57"/>
      <c r="I5" s="57"/>
      <c r="J5" s="10"/>
      <c r="K5" s="226"/>
      <c r="L5" s="226"/>
      <c r="M5" s="227"/>
      <c r="N5" s="10"/>
      <c r="O5" s="13"/>
      <c r="P5" s="13"/>
      <c r="Q5" s="2"/>
      <c r="R5" s="2"/>
      <c r="S5" s="2"/>
      <c r="T5" s="2"/>
      <c r="U5" s="2"/>
      <c r="V5" s="2"/>
      <c r="W5" s="135"/>
      <c r="X5" s="135"/>
      <c r="Y5" s="135"/>
      <c r="Z5" s="135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</row>
    <row r="6" spans="1:39" ht="15.75" x14ac:dyDescent="0.25">
      <c r="A6" s="10"/>
      <c r="B6" s="10" t="s">
        <v>148</v>
      </c>
      <c r="C6" s="10"/>
      <c r="D6" s="10"/>
      <c r="E6" s="10"/>
      <c r="F6" s="61">
        <v>7075</v>
      </c>
      <c r="G6" s="61">
        <v>7157</v>
      </c>
      <c r="H6" s="78">
        <f>G6+(G6*0.03)</f>
        <v>7371.71</v>
      </c>
      <c r="I6" s="78">
        <f t="shared" ref="I6" si="0">H6+(H6*0.03)</f>
        <v>7592.8613000000005</v>
      </c>
      <c r="J6" s="124" t="s">
        <v>224</v>
      </c>
      <c r="K6" s="99">
        <f>G6+15000</f>
        <v>22157</v>
      </c>
      <c r="L6" s="99">
        <f>K6+(K6*0.03)</f>
        <v>22821.71</v>
      </c>
      <c r="M6" s="99">
        <f>L6+(L6*0.03)</f>
        <v>23506.3613</v>
      </c>
      <c r="N6" s="10"/>
      <c r="O6" s="13"/>
      <c r="P6" s="13"/>
      <c r="Q6" s="2"/>
      <c r="R6" s="2"/>
      <c r="S6" s="2"/>
      <c r="T6" s="2"/>
      <c r="U6" s="2"/>
      <c r="V6" s="2"/>
      <c r="W6" s="135"/>
      <c r="X6" s="135"/>
      <c r="Y6" s="135"/>
      <c r="Z6" s="135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</row>
    <row r="7" spans="1:39" ht="15.75" x14ac:dyDescent="0.25">
      <c r="A7" s="10"/>
      <c r="B7" s="10" t="s">
        <v>149</v>
      </c>
      <c r="C7" s="10"/>
      <c r="D7" s="10"/>
      <c r="E7" s="10"/>
      <c r="F7" s="55">
        <v>10653</v>
      </c>
      <c r="G7" s="55">
        <v>11481</v>
      </c>
      <c r="H7" s="78">
        <f t="shared" ref="H7:I7" si="1">G7+(G7*0.03)</f>
        <v>11825.43</v>
      </c>
      <c r="I7" s="78">
        <f t="shared" si="1"/>
        <v>12180.1929</v>
      </c>
      <c r="J7" s="10"/>
      <c r="K7" s="121">
        <v>11481</v>
      </c>
      <c r="L7" s="99">
        <f t="shared" ref="L7:M7" si="2">K7+(K7*0.03)</f>
        <v>11825.43</v>
      </c>
      <c r="M7" s="99">
        <f t="shared" si="2"/>
        <v>12180.1929</v>
      </c>
      <c r="N7" s="10"/>
      <c r="O7" s="13"/>
      <c r="P7" s="134"/>
      <c r="Q7" s="2"/>
      <c r="R7" s="2"/>
      <c r="S7" s="2"/>
      <c r="T7" s="2"/>
      <c r="U7" s="2"/>
      <c r="V7" s="2"/>
      <c r="W7" s="135"/>
      <c r="X7" s="135"/>
      <c r="Y7" s="135"/>
      <c r="Z7" s="135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</row>
    <row r="8" spans="1:39" s="49" customFormat="1" ht="15.75" x14ac:dyDescent="0.25">
      <c r="A8" s="30"/>
      <c r="B8" s="48" t="s">
        <v>150</v>
      </c>
      <c r="C8" s="48"/>
      <c r="D8" s="48"/>
      <c r="E8" s="48"/>
      <c r="F8" s="121">
        <v>8135</v>
      </c>
      <c r="G8" s="121">
        <v>8704</v>
      </c>
      <c r="H8" s="99">
        <f t="shared" ref="H8:I8" si="3">G8+(G8*0.03)</f>
        <v>8965.1200000000008</v>
      </c>
      <c r="I8" s="99">
        <f t="shared" si="3"/>
        <v>9234.0736000000015</v>
      </c>
      <c r="J8" s="30"/>
      <c r="K8" s="121">
        <v>8704</v>
      </c>
      <c r="L8" s="99">
        <f t="shared" ref="L8:M8" si="4">K8+(K8*0.03)</f>
        <v>8965.1200000000008</v>
      </c>
      <c r="M8" s="99">
        <f t="shared" si="4"/>
        <v>9234.0736000000015</v>
      </c>
      <c r="N8" s="30"/>
      <c r="O8" s="134"/>
      <c r="P8" s="134"/>
      <c r="Q8" s="135"/>
      <c r="R8" s="135"/>
      <c r="S8" s="135"/>
      <c r="T8" s="135"/>
      <c r="U8" s="135"/>
      <c r="V8" s="135"/>
      <c r="W8" s="135"/>
      <c r="X8" s="135"/>
      <c r="Y8" s="135"/>
      <c r="Z8" s="135"/>
      <c r="AA8" s="136"/>
      <c r="AB8" s="136"/>
      <c r="AC8" s="136"/>
      <c r="AD8" s="136"/>
      <c r="AE8" s="136"/>
      <c r="AF8" s="136"/>
      <c r="AG8" s="136"/>
      <c r="AH8" s="136"/>
      <c r="AI8" s="136"/>
      <c r="AJ8" s="136"/>
      <c r="AK8" s="136"/>
      <c r="AL8" s="136"/>
      <c r="AM8" s="136"/>
    </row>
    <row r="9" spans="1:39" ht="15.75" x14ac:dyDescent="0.25">
      <c r="A9" s="13"/>
      <c r="B9" s="10" t="s">
        <v>151</v>
      </c>
      <c r="C9" s="10"/>
      <c r="D9" s="10"/>
      <c r="E9" s="10"/>
      <c r="F9" s="57">
        <v>843</v>
      </c>
      <c r="G9" s="55">
        <v>1208</v>
      </c>
      <c r="H9" s="78">
        <f t="shared" ref="H9:I9" si="5">G9+(G9*0.03)</f>
        <v>1244.24</v>
      </c>
      <c r="I9" s="78">
        <f t="shared" si="5"/>
        <v>1281.5672</v>
      </c>
      <c r="J9" s="57"/>
      <c r="K9" s="121">
        <v>1208</v>
      </c>
      <c r="L9" s="99">
        <f t="shared" ref="L9:M9" si="6">K9+(K9*0.03)</f>
        <v>1244.24</v>
      </c>
      <c r="M9" s="99">
        <f t="shared" si="6"/>
        <v>1281.5672</v>
      </c>
      <c r="N9" s="137"/>
      <c r="O9" s="140"/>
      <c r="P9" s="134"/>
      <c r="Q9" s="135"/>
      <c r="R9" s="135"/>
      <c r="S9" s="135"/>
      <c r="T9" s="135"/>
      <c r="U9" s="135"/>
      <c r="V9" s="135"/>
      <c r="W9" s="135"/>
      <c r="X9" s="135"/>
      <c r="Y9" s="135"/>
      <c r="Z9" s="135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</row>
    <row r="10" spans="1:39" s="47" customFormat="1" ht="15.75" x14ac:dyDescent="0.25">
      <c r="A10" s="134"/>
      <c r="B10" s="46" t="s">
        <v>152</v>
      </c>
      <c r="C10" s="46"/>
      <c r="D10" s="46"/>
      <c r="E10" s="46"/>
      <c r="F10" s="120">
        <v>26706</v>
      </c>
      <c r="G10" s="120">
        <v>28550</v>
      </c>
      <c r="H10" s="228">
        <f t="shared" ref="H10:I10" si="7">G10+(G10*0.03)</f>
        <v>29406.5</v>
      </c>
      <c r="I10" s="228">
        <f t="shared" si="7"/>
        <v>30288.695</v>
      </c>
      <c r="J10" s="137"/>
      <c r="K10" s="228">
        <f>SUM(K6:K9)</f>
        <v>43550</v>
      </c>
      <c r="L10" s="228">
        <f t="shared" ref="L10:M10" si="8">K10+(K10*0.03)</f>
        <v>44856.5</v>
      </c>
      <c r="M10" s="228">
        <f t="shared" si="8"/>
        <v>46202.195</v>
      </c>
      <c r="N10" s="137"/>
      <c r="O10" s="134"/>
      <c r="P10" s="134"/>
      <c r="Q10" s="135"/>
      <c r="R10" s="135"/>
      <c r="S10" s="135"/>
      <c r="T10" s="135"/>
      <c r="U10" s="135"/>
      <c r="V10" s="135"/>
      <c r="W10" s="135"/>
      <c r="X10" s="135"/>
      <c r="Y10" s="135"/>
      <c r="Z10" s="135"/>
      <c r="AA10" s="136"/>
      <c r="AB10" s="136"/>
      <c r="AC10" s="136"/>
      <c r="AD10" s="136"/>
      <c r="AE10" s="136"/>
      <c r="AF10" s="136"/>
      <c r="AG10" s="136"/>
      <c r="AH10" s="136"/>
      <c r="AI10" s="136"/>
      <c r="AJ10" s="136"/>
      <c r="AK10" s="136"/>
      <c r="AL10" s="136"/>
      <c r="AM10" s="136"/>
    </row>
    <row r="11" spans="1:39" ht="15.75" x14ac:dyDescent="0.25">
      <c r="A11" s="13"/>
      <c r="B11" s="10" t="s">
        <v>153</v>
      </c>
      <c r="C11" s="10"/>
      <c r="D11" s="10"/>
      <c r="E11" s="10"/>
      <c r="F11" s="55">
        <v>1018</v>
      </c>
      <c r="G11" s="55">
        <v>1398</v>
      </c>
      <c r="H11" s="78">
        <f t="shared" ref="H11:I11" si="9">G11+(G11*0.03)</f>
        <v>1439.94</v>
      </c>
      <c r="I11" s="78">
        <f t="shared" si="9"/>
        <v>1483.1382000000001</v>
      </c>
      <c r="J11" s="30"/>
      <c r="K11" s="121">
        <v>1398</v>
      </c>
      <c r="L11" s="99">
        <f t="shared" ref="L11:M11" si="10">K11+(K11*0.03)</f>
        <v>1439.94</v>
      </c>
      <c r="M11" s="99">
        <f t="shared" si="10"/>
        <v>1483.1382000000001</v>
      </c>
      <c r="N11" s="10"/>
      <c r="O11" s="13"/>
      <c r="P11" s="13"/>
      <c r="Q11" s="2"/>
      <c r="R11" s="2"/>
      <c r="S11" s="2"/>
      <c r="T11" s="2"/>
      <c r="U11" s="2"/>
      <c r="V11" s="2"/>
      <c r="W11" s="135"/>
      <c r="X11" s="135"/>
      <c r="Y11" s="135"/>
      <c r="Z11" s="135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</row>
    <row r="12" spans="1:39" ht="15.75" x14ac:dyDescent="0.25">
      <c r="A12" s="13"/>
      <c r="B12" s="10" t="s">
        <v>154</v>
      </c>
      <c r="C12" s="10"/>
      <c r="D12" s="10"/>
      <c r="E12" s="10"/>
      <c r="F12" s="55">
        <v>1961</v>
      </c>
      <c r="G12" s="55">
        <v>1809</v>
      </c>
      <c r="H12" s="78">
        <f t="shared" ref="H12:I12" si="11">G12+(G12*0.03)</f>
        <v>1863.27</v>
      </c>
      <c r="I12" s="78">
        <f t="shared" si="11"/>
        <v>1919.1680999999999</v>
      </c>
      <c r="J12" s="30"/>
      <c r="K12" s="121">
        <v>1809</v>
      </c>
      <c r="L12" s="99">
        <f t="shared" ref="L12:M12" si="12">K12+(K12*0.03)</f>
        <v>1863.27</v>
      </c>
      <c r="M12" s="99">
        <f t="shared" si="12"/>
        <v>1919.1680999999999</v>
      </c>
      <c r="N12" s="10"/>
      <c r="O12" s="13"/>
      <c r="P12" s="13"/>
      <c r="Q12" s="2"/>
      <c r="R12" s="2"/>
      <c r="S12" s="2"/>
      <c r="T12" s="2"/>
      <c r="U12" s="2"/>
      <c r="V12" s="2"/>
      <c r="W12" s="135"/>
      <c r="X12" s="135"/>
      <c r="Y12" s="135"/>
      <c r="Z12" s="135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</row>
    <row r="13" spans="1:39" ht="15.75" x14ac:dyDescent="0.25">
      <c r="A13" s="13"/>
      <c r="B13" s="10" t="s">
        <v>155</v>
      </c>
      <c r="C13" s="10"/>
      <c r="D13" s="10"/>
      <c r="E13" s="10"/>
      <c r="F13" s="55">
        <v>8732</v>
      </c>
      <c r="G13" s="55">
        <v>9158</v>
      </c>
      <c r="H13" s="78">
        <f t="shared" ref="H13:I13" si="13">G13+(G13*0.03)</f>
        <v>9432.74</v>
      </c>
      <c r="I13" s="78">
        <f t="shared" si="13"/>
        <v>9715.7222000000002</v>
      </c>
      <c r="J13" s="30"/>
      <c r="K13" s="121">
        <v>9158</v>
      </c>
      <c r="L13" s="99">
        <f t="shared" ref="L13:M13" si="14">K13+(K13*0.03)</f>
        <v>9432.74</v>
      </c>
      <c r="M13" s="99">
        <f t="shared" si="14"/>
        <v>9715.7222000000002</v>
      </c>
      <c r="N13" s="10"/>
      <c r="O13" s="13"/>
      <c r="P13" s="13"/>
      <c r="Q13" s="2"/>
      <c r="R13" s="2"/>
      <c r="S13" s="2"/>
      <c r="T13" s="2"/>
      <c r="U13" s="2"/>
      <c r="V13" s="2"/>
      <c r="W13" s="135"/>
      <c r="X13" s="135"/>
      <c r="Y13" s="135"/>
      <c r="Z13" s="135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</row>
    <row r="14" spans="1:39" ht="15.75" x14ac:dyDescent="0.25">
      <c r="A14" s="13"/>
      <c r="B14" s="10" t="s">
        <v>156</v>
      </c>
      <c r="C14" s="10"/>
      <c r="D14" s="10"/>
      <c r="E14" s="10"/>
      <c r="F14" s="55">
        <v>27301</v>
      </c>
      <c r="G14" s="55">
        <v>27059</v>
      </c>
      <c r="H14" s="78">
        <f t="shared" ref="H14:I14" si="15">G14+(G14*0.03)</f>
        <v>27870.77</v>
      </c>
      <c r="I14" s="78">
        <f t="shared" si="15"/>
        <v>28706.893100000001</v>
      </c>
      <c r="J14" s="30"/>
      <c r="K14" s="121">
        <v>27059</v>
      </c>
      <c r="L14" s="99">
        <f t="shared" ref="L14:M14" si="16">K14+(K14*0.03)</f>
        <v>27870.77</v>
      </c>
      <c r="M14" s="99">
        <f t="shared" si="16"/>
        <v>28706.893100000001</v>
      </c>
      <c r="N14" s="30"/>
      <c r="O14" s="134"/>
      <c r="P14" s="134"/>
      <c r="Q14" s="135"/>
      <c r="R14" s="135"/>
      <c r="S14" s="135"/>
      <c r="T14" s="135"/>
      <c r="U14" s="135"/>
      <c r="V14" s="135"/>
      <c r="W14" s="135"/>
      <c r="X14" s="135"/>
      <c r="Y14" s="135"/>
      <c r="Z14" s="135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</row>
    <row r="15" spans="1:39" ht="15.75" x14ac:dyDescent="0.25">
      <c r="A15" s="13"/>
      <c r="B15" s="10" t="s">
        <v>157</v>
      </c>
      <c r="C15" s="10"/>
      <c r="D15" s="10"/>
      <c r="E15" s="10"/>
      <c r="F15" s="55">
        <v>15603</v>
      </c>
      <c r="G15" s="55">
        <v>15684</v>
      </c>
      <c r="H15" s="78">
        <f t="shared" ref="H15:I15" si="17">G15+(G15*0.03)</f>
        <v>16154.52</v>
      </c>
      <c r="I15" s="78">
        <f t="shared" si="17"/>
        <v>16639.155600000002</v>
      </c>
      <c r="J15" s="30"/>
      <c r="K15" s="121">
        <v>15684</v>
      </c>
      <c r="L15" s="99">
        <f t="shared" ref="L15:M15" si="18">K15+(K15*0.03)</f>
        <v>16154.52</v>
      </c>
      <c r="M15" s="99">
        <f t="shared" si="18"/>
        <v>16639.155600000002</v>
      </c>
      <c r="N15" s="30"/>
      <c r="O15" s="134"/>
      <c r="P15" s="134"/>
      <c r="Q15" s="135"/>
      <c r="R15" s="135"/>
      <c r="S15" s="135"/>
      <c r="T15" s="135"/>
      <c r="U15" s="135"/>
      <c r="V15" s="135"/>
      <c r="W15" s="135"/>
      <c r="X15" s="135"/>
      <c r="Y15" s="135"/>
      <c r="Z15" s="135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</row>
    <row r="16" spans="1:39" ht="15.75" x14ac:dyDescent="0.25">
      <c r="A16" s="13"/>
      <c r="B16" s="10" t="s">
        <v>158</v>
      </c>
      <c r="C16" s="10"/>
      <c r="D16" s="10"/>
      <c r="E16" s="10"/>
      <c r="F16" s="55">
        <v>6163</v>
      </c>
      <c r="G16" s="55">
        <v>6048</v>
      </c>
      <c r="H16" s="78">
        <f t="shared" ref="H16:I16" si="19">G16+(G16*0.03)</f>
        <v>6229.44</v>
      </c>
      <c r="I16" s="78">
        <f t="shared" si="19"/>
        <v>6416.3231999999998</v>
      </c>
      <c r="J16" s="139"/>
      <c r="K16" s="121">
        <v>6046</v>
      </c>
      <c r="L16" s="99">
        <f t="shared" ref="L16:M16" si="20">K16+(K16*0.03)</f>
        <v>6227.38</v>
      </c>
      <c r="M16" s="99">
        <f t="shared" si="20"/>
        <v>6414.2013999999999</v>
      </c>
      <c r="N16" s="137"/>
      <c r="O16" s="140"/>
      <c r="P16" s="134"/>
      <c r="Q16" s="135"/>
      <c r="R16" s="135"/>
      <c r="S16" s="135"/>
      <c r="T16" s="135"/>
      <c r="U16" s="135"/>
      <c r="V16" s="135"/>
      <c r="W16" s="135"/>
      <c r="X16" s="135"/>
      <c r="Y16" s="135"/>
      <c r="Z16" s="135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</row>
    <row r="17" spans="1:39" s="45" customFormat="1" ht="16.5" thickBot="1" x14ac:dyDescent="0.3">
      <c r="A17" s="134"/>
      <c r="B17" s="44" t="s">
        <v>159</v>
      </c>
      <c r="C17" s="44"/>
      <c r="D17" s="44"/>
      <c r="E17" s="44"/>
      <c r="F17" s="143">
        <v>87484</v>
      </c>
      <c r="G17" s="143">
        <v>89706</v>
      </c>
      <c r="H17" s="144">
        <f t="shared" ref="H17:I17" si="21">G17+(G17*0.03)</f>
        <v>92397.18</v>
      </c>
      <c r="I17" s="144">
        <f t="shared" si="21"/>
        <v>95169.095399999991</v>
      </c>
      <c r="J17" s="137"/>
      <c r="K17" s="228">
        <f>SUM(K10:K16)</f>
        <v>104704</v>
      </c>
      <c r="L17" s="228">
        <f t="shared" ref="L17:M17" si="22">K17+(K17*0.03)</f>
        <v>107845.12</v>
      </c>
      <c r="M17" s="228">
        <f t="shared" si="22"/>
        <v>111080.4736</v>
      </c>
      <c r="N17" s="137"/>
      <c r="O17" s="134"/>
      <c r="P17" s="134"/>
      <c r="Q17" s="135"/>
      <c r="R17" s="135"/>
      <c r="S17" s="135"/>
      <c r="T17" s="135"/>
      <c r="U17" s="135"/>
      <c r="V17" s="135"/>
      <c r="W17" s="135"/>
      <c r="X17" s="135"/>
      <c r="Y17" s="135"/>
      <c r="Z17" s="135"/>
      <c r="AA17" s="136"/>
      <c r="AB17" s="136"/>
      <c r="AC17" s="136"/>
      <c r="AD17" s="136"/>
      <c r="AE17" s="136"/>
      <c r="AF17" s="136"/>
      <c r="AG17" s="136"/>
      <c r="AH17" s="136"/>
      <c r="AI17" s="136"/>
      <c r="AJ17" s="136"/>
      <c r="AK17" s="136"/>
      <c r="AL17" s="136"/>
      <c r="AM17" s="136"/>
    </row>
    <row r="18" spans="1:39" ht="15.75" x14ac:dyDescent="0.25">
      <c r="A18" s="13"/>
      <c r="B18" s="10"/>
      <c r="C18" s="10"/>
      <c r="D18" s="10"/>
      <c r="E18" s="10"/>
      <c r="F18" s="57"/>
      <c r="G18" s="57"/>
      <c r="H18" s="78">
        <f t="shared" ref="H18:I18" si="23">G18+(G18*0.03)</f>
        <v>0</v>
      </c>
      <c r="I18" s="78">
        <f t="shared" si="23"/>
        <v>0</v>
      </c>
      <c r="J18" s="30"/>
      <c r="K18" s="139"/>
      <c r="L18" s="99">
        <f t="shared" ref="L18:M18" si="24">K18+(K18*0.03)</f>
        <v>0</v>
      </c>
      <c r="M18" s="99">
        <f t="shared" si="24"/>
        <v>0</v>
      </c>
      <c r="N18" s="30"/>
      <c r="O18" s="134"/>
      <c r="P18" s="134"/>
      <c r="Q18" s="135"/>
      <c r="R18" s="135"/>
      <c r="S18" s="135"/>
      <c r="T18" s="135"/>
      <c r="U18" s="135"/>
      <c r="V18" s="135"/>
      <c r="W18" s="135"/>
      <c r="X18" s="135"/>
      <c r="Y18" s="135"/>
      <c r="Z18" s="135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.75" x14ac:dyDescent="0.25">
      <c r="A19" s="13"/>
      <c r="B19" s="11" t="s">
        <v>28</v>
      </c>
      <c r="C19" s="10"/>
      <c r="D19" s="10"/>
      <c r="E19" s="10"/>
      <c r="F19" s="57"/>
      <c r="G19" s="57"/>
      <c r="H19" s="78">
        <f t="shared" ref="H19:I19" si="25">G19+(G19*0.03)</f>
        <v>0</v>
      </c>
      <c r="I19" s="78">
        <f t="shared" si="25"/>
        <v>0</v>
      </c>
      <c r="J19" s="30"/>
      <c r="K19" s="139"/>
      <c r="L19" s="99">
        <f t="shared" ref="L19:M19" si="26">K19+(K19*0.03)</f>
        <v>0</v>
      </c>
      <c r="M19" s="99">
        <f t="shared" si="26"/>
        <v>0</v>
      </c>
      <c r="N19" s="30"/>
      <c r="O19" s="134"/>
      <c r="P19" s="134"/>
      <c r="Q19" s="135"/>
      <c r="R19" s="135"/>
      <c r="S19" s="135"/>
      <c r="T19" s="135"/>
      <c r="U19" s="135"/>
      <c r="V19" s="135"/>
      <c r="W19" s="135"/>
      <c r="X19" s="135"/>
      <c r="Y19" s="135"/>
      <c r="Z19" s="135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.75" x14ac:dyDescent="0.25">
      <c r="A20" s="13"/>
      <c r="B20" s="10" t="s">
        <v>160</v>
      </c>
      <c r="C20" s="10"/>
      <c r="D20" s="10"/>
      <c r="E20" s="10"/>
      <c r="F20" s="61">
        <v>926</v>
      </c>
      <c r="G20" s="61">
        <v>601</v>
      </c>
      <c r="H20" s="78">
        <f t="shared" ref="H20:I20" si="27">G20+(G20*0.03)</f>
        <v>619.03</v>
      </c>
      <c r="I20" s="78">
        <f t="shared" si="27"/>
        <v>637.60090000000002</v>
      </c>
      <c r="J20" s="30"/>
      <c r="K20" s="138">
        <v>601</v>
      </c>
      <c r="L20" s="99">
        <f t="shared" ref="L20:M20" si="28">K20+(K20*0.03)</f>
        <v>619.03</v>
      </c>
      <c r="M20" s="99">
        <f t="shared" si="28"/>
        <v>637.60090000000002</v>
      </c>
      <c r="N20" s="30"/>
      <c r="O20" s="134"/>
      <c r="P20" s="134"/>
      <c r="Q20" s="135"/>
      <c r="R20" s="135"/>
      <c r="S20" s="135"/>
      <c r="T20" s="135"/>
      <c r="U20" s="135"/>
      <c r="V20" s="135"/>
      <c r="W20" s="135"/>
      <c r="X20" s="135"/>
      <c r="Y20" s="135"/>
      <c r="Z20" s="135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.75" x14ac:dyDescent="0.25">
      <c r="A21" s="13"/>
      <c r="B21" s="10" t="s">
        <v>161</v>
      </c>
      <c r="C21" s="10"/>
      <c r="D21" s="10"/>
      <c r="E21" s="10"/>
      <c r="F21" s="55">
        <v>6875</v>
      </c>
      <c r="G21" s="55">
        <v>7483</v>
      </c>
      <c r="H21" s="78">
        <f t="shared" ref="H21:I21" si="29">G21+(G21*0.03)</f>
        <v>7707.49</v>
      </c>
      <c r="I21" s="78">
        <f t="shared" si="29"/>
        <v>7938.7146999999995</v>
      </c>
      <c r="J21" s="30"/>
      <c r="K21" s="121">
        <v>7483</v>
      </c>
      <c r="L21" s="99">
        <f t="shared" ref="L21:M21" si="30">K21+(K21*0.03)</f>
        <v>7707.49</v>
      </c>
      <c r="M21" s="99">
        <f t="shared" si="30"/>
        <v>7938.7146999999995</v>
      </c>
      <c r="N21" s="30"/>
      <c r="O21" s="134"/>
      <c r="P21" s="134"/>
      <c r="Q21" s="135"/>
      <c r="R21" s="135"/>
      <c r="S21" s="135"/>
      <c r="T21" s="135"/>
      <c r="U21" s="135"/>
      <c r="V21" s="135"/>
      <c r="W21" s="135"/>
      <c r="X21" s="135"/>
      <c r="Y21" s="135"/>
      <c r="Z21" s="135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.75" x14ac:dyDescent="0.25">
      <c r="A22" s="13"/>
      <c r="B22" s="10" t="s">
        <v>162</v>
      </c>
      <c r="C22" s="10"/>
      <c r="D22" s="10"/>
      <c r="E22" s="10"/>
      <c r="F22" s="55">
        <v>14638</v>
      </c>
      <c r="G22" s="55">
        <v>12219</v>
      </c>
      <c r="H22" s="78">
        <f t="shared" ref="H22:I22" si="31">G22+(G22*0.03)</f>
        <v>12585.57</v>
      </c>
      <c r="I22" s="78">
        <f t="shared" si="31"/>
        <v>12963.1371</v>
      </c>
      <c r="J22" s="30"/>
      <c r="K22" s="121">
        <v>12219</v>
      </c>
      <c r="L22" s="99">
        <f t="shared" ref="L22:M22" si="32">K22+(K22*0.03)</f>
        <v>12585.57</v>
      </c>
      <c r="M22" s="99">
        <f t="shared" si="32"/>
        <v>12963.1371</v>
      </c>
      <c r="N22" s="30"/>
      <c r="O22" s="134"/>
      <c r="P22" s="134"/>
      <c r="Q22" s="135"/>
      <c r="R22" s="135"/>
      <c r="S22" s="135"/>
      <c r="T22" s="135"/>
      <c r="U22" s="135"/>
      <c r="V22" s="135"/>
      <c r="W22" s="135"/>
      <c r="X22" s="135"/>
      <c r="Y22" s="135"/>
      <c r="Z22" s="135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.75" x14ac:dyDescent="0.25">
      <c r="A23" s="13"/>
      <c r="B23" s="10" t="s">
        <v>163</v>
      </c>
      <c r="C23" s="10"/>
      <c r="D23" s="10"/>
      <c r="E23" s="10"/>
      <c r="F23" s="57">
        <v>179</v>
      </c>
      <c r="G23" s="55">
        <v>1603</v>
      </c>
      <c r="H23" s="78">
        <f t="shared" ref="H23:I23" si="33">G23+(G23*0.03)</f>
        <v>1651.09</v>
      </c>
      <c r="I23" s="78">
        <f t="shared" si="33"/>
        <v>1700.6226999999999</v>
      </c>
      <c r="J23" s="139"/>
      <c r="K23" s="121">
        <v>1603</v>
      </c>
      <c r="L23" s="99">
        <f t="shared" ref="L23:M23" si="34">K23+(K23*0.03)</f>
        <v>1651.09</v>
      </c>
      <c r="M23" s="99">
        <f t="shared" si="34"/>
        <v>1700.6226999999999</v>
      </c>
      <c r="N23" s="137"/>
      <c r="O23" s="134"/>
      <c r="P23" s="134"/>
      <c r="Q23" s="135"/>
      <c r="R23" s="135"/>
      <c r="S23" s="135"/>
      <c r="T23" s="135"/>
      <c r="U23" s="135"/>
      <c r="V23" s="135"/>
      <c r="W23" s="135"/>
      <c r="X23" s="135"/>
      <c r="Y23" s="135"/>
      <c r="Z23" s="135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s="47" customFormat="1" ht="15.75" x14ac:dyDescent="0.25">
      <c r="A24" s="134"/>
      <c r="B24" s="46" t="s">
        <v>164</v>
      </c>
      <c r="C24" s="46"/>
      <c r="D24" s="46"/>
      <c r="E24" s="46"/>
      <c r="F24" s="120">
        <v>22618</v>
      </c>
      <c r="G24" s="120">
        <v>21906</v>
      </c>
      <c r="H24" s="228">
        <f t="shared" ref="H24:I24" si="35">G24+(G24*0.03)</f>
        <v>22563.18</v>
      </c>
      <c r="I24" s="228">
        <f t="shared" si="35"/>
        <v>23240.075400000002</v>
      </c>
      <c r="J24" s="223"/>
      <c r="K24" s="120">
        <v>21906</v>
      </c>
      <c r="L24" s="228">
        <f t="shared" ref="L24:M24" si="36">K24+(K24*0.03)</f>
        <v>22563.18</v>
      </c>
      <c r="M24" s="228">
        <f t="shared" si="36"/>
        <v>23240.075400000002</v>
      </c>
      <c r="N24" s="137"/>
      <c r="O24" s="134"/>
      <c r="P24" s="134"/>
      <c r="Q24" s="135"/>
      <c r="R24" s="135"/>
      <c r="S24" s="135"/>
      <c r="T24" s="135"/>
      <c r="U24" s="135"/>
      <c r="V24" s="135"/>
      <c r="W24" s="135"/>
      <c r="X24" s="135"/>
      <c r="Y24" s="135"/>
      <c r="Z24" s="135"/>
      <c r="AA24" s="136"/>
      <c r="AB24" s="136"/>
      <c r="AC24" s="136"/>
      <c r="AD24" s="136"/>
      <c r="AE24" s="136"/>
      <c r="AF24" s="136"/>
      <c r="AG24" s="136"/>
      <c r="AH24" s="136"/>
      <c r="AI24" s="136"/>
      <c r="AJ24" s="136"/>
      <c r="AK24" s="136"/>
      <c r="AL24" s="136"/>
      <c r="AM24" s="136"/>
    </row>
    <row r="25" spans="1:39" ht="15.75" x14ac:dyDescent="0.25">
      <c r="A25" s="13"/>
      <c r="B25" s="10" t="s">
        <v>165</v>
      </c>
      <c r="C25" s="10"/>
      <c r="D25" s="10"/>
      <c r="E25" s="10"/>
      <c r="F25" s="121">
        <v>19320</v>
      </c>
      <c r="G25" s="121">
        <v>21697</v>
      </c>
      <c r="H25" s="99">
        <f t="shared" ref="H25:I25" si="37">G25+(G25*0.03)</f>
        <v>22347.91</v>
      </c>
      <c r="I25" s="99">
        <f t="shared" si="37"/>
        <v>23018.347300000001</v>
      </c>
      <c r="J25" s="122" t="s">
        <v>226</v>
      </c>
      <c r="K25" s="121">
        <f>21697-5000</f>
        <v>16697</v>
      </c>
      <c r="L25" s="99">
        <f t="shared" ref="L25:M25" si="38">K25+(K25*0.03)</f>
        <v>17197.91</v>
      </c>
      <c r="M25" s="99">
        <f t="shared" si="38"/>
        <v>17713.847300000001</v>
      </c>
      <c r="N25" s="30"/>
      <c r="O25" s="134"/>
      <c r="P25" s="134"/>
      <c r="Q25" s="135"/>
      <c r="R25" s="135"/>
      <c r="S25" s="135"/>
      <c r="T25" s="135"/>
      <c r="U25" s="135"/>
      <c r="V25" s="135"/>
      <c r="W25" s="135"/>
      <c r="X25" s="135"/>
      <c r="Y25" s="135"/>
      <c r="Z25" s="135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.75" x14ac:dyDescent="0.25">
      <c r="A26" s="13"/>
      <c r="B26" s="10" t="s">
        <v>166</v>
      </c>
      <c r="C26" s="10"/>
      <c r="D26" s="10"/>
      <c r="E26" s="10"/>
      <c r="F26" s="121">
        <v>6022</v>
      </c>
      <c r="G26" s="121">
        <v>5612</v>
      </c>
      <c r="H26" s="99">
        <f t="shared" ref="H26:I26" si="39">G26+(G26*0.03)</f>
        <v>5780.36</v>
      </c>
      <c r="I26" s="99">
        <f t="shared" si="39"/>
        <v>5953.7707999999993</v>
      </c>
      <c r="J26" s="10"/>
      <c r="K26" s="121">
        <v>5612</v>
      </c>
      <c r="L26" s="99">
        <f t="shared" ref="L26:M26" si="40">K26+(K26*0.03)</f>
        <v>5780.36</v>
      </c>
      <c r="M26" s="99">
        <f t="shared" si="40"/>
        <v>5953.7707999999993</v>
      </c>
      <c r="N26" s="30"/>
      <c r="O26" s="134"/>
      <c r="P26" s="134"/>
      <c r="Q26" s="135"/>
      <c r="R26" s="135"/>
      <c r="S26" s="135"/>
      <c r="T26" s="135"/>
      <c r="U26" s="135"/>
      <c r="V26" s="135"/>
      <c r="W26" s="135"/>
      <c r="X26" s="135"/>
      <c r="Y26" s="135"/>
      <c r="Z26" s="135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.75" x14ac:dyDescent="0.25">
      <c r="A27" s="13"/>
      <c r="B27" s="10" t="s">
        <v>167</v>
      </c>
      <c r="C27" s="10"/>
      <c r="D27" s="10"/>
      <c r="E27" s="10"/>
      <c r="F27" s="121">
        <v>10558</v>
      </c>
      <c r="G27" s="121">
        <v>11026</v>
      </c>
      <c r="H27" s="99">
        <f t="shared" ref="H27:I27" si="41">G27+(G27*0.03)</f>
        <v>11356.78</v>
      </c>
      <c r="I27" s="99">
        <f t="shared" si="41"/>
        <v>11697.483400000001</v>
      </c>
      <c r="J27" s="224"/>
      <c r="K27" s="121">
        <v>11026</v>
      </c>
      <c r="L27" s="99">
        <f t="shared" ref="L27:M27" si="42">K27+(K27*0.03)</f>
        <v>11356.78</v>
      </c>
      <c r="M27" s="99">
        <f t="shared" si="42"/>
        <v>11697.483400000001</v>
      </c>
      <c r="N27" s="137"/>
      <c r="O27" s="140"/>
      <c r="P27" s="134"/>
      <c r="Q27" s="135"/>
      <c r="R27" s="135"/>
      <c r="S27" s="135"/>
      <c r="T27" s="135"/>
      <c r="U27" s="135"/>
      <c r="V27" s="135"/>
      <c r="W27" s="135"/>
      <c r="X27" s="135"/>
      <c r="Y27" s="135"/>
      <c r="Z27" s="135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s="47" customFormat="1" ht="15.75" x14ac:dyDescent="0.25">
      <c r="A28" s="134"/>
      <c r="B28" s="46" t="s">
        <v>168</v>
      </c>
      <c r="C28" s="46"/>
      <c r="D28" s="46"/>
      <c r="E28" s="46"/>
      <c r="F28" s="120">
        <v>58518</v>
      </c>
      <c r="G28" s="120">
        <v>27358</v>
      </c>
      <c r="H28" s="228">
        <f t="shared" ref="H28:I28" si="43">G28+(G28*0.03)</f>
        <v>28178.74</v>
      </c>
      <c r="I28" s="228">
        <f t="shared" si="43"/>
        <v>29024.102200000001</v>
      </c>
      <c r="J28" s="139"/>
      <c r="K28" s="120">
        <f>SUM(K24:K27)</f>
        <v>55241</v>
      </c>
      <c r="L28" s="228">
        <f t="shared" ref="L28:M28" si="44">K28+(K28*0.03)</f>
        <v>56898.23</v>
      </c>
      <c r="M28" s="228">
        <f t="shared" si="44"/>
        <v>58605.176900000006</v>
      </c>
      <c r="N28" s="137"/>
      <c r="O28" s="134"/>
      <c r="P28" s="134"/>
      <c r="Q28" s="135"/>
      <c r="R28" s="135"/>
      <c r="S28" s="135"/>
      <c r="T28" s="135"/>
      <c r="U28" s="135"/>
      <c r="V28" s="135"/>
      <c r="W28" s="135"/>
      <c r="X28" s="135"/>
      <c r="Y28" s="135"/>
      <c r="Z28" s="135"/>
      <c r="AA28" s="136"/>
      <c r="AB28" s="136"/>
      <c r="AC28" s="136"/>
      <c r="AD28" s="136"/>
      <c r="AE28" s="136"/>
      <c r="AF28" s="136"/>
      <c r="AG28" s="136"/>
      <c r="AH28" s="136"/>
      <c r="AI28" s="136"/>
      <c r="AJ28" s="136"/>
      <c r="AK28" s="136"/>
      <c r="AL28" s="136"/>
      <c r="AM28" s="136"/>
    </row>
    <row r="29" spans="1:39" ht="15.75" x14ac:dyDescent="0.25">
      <c r="A29" s="10" t="s">
        <v>200</v>
      </c>
      <c r="B29" s="10" t="s">
        <v>199</v>
      </c>
      <c r="C29" s="10"/>
      <c r="D29" s="10"/>
      <c r="E29" s="10"/>
      <c r="F29" s="139"/>
      <c r="G29" s="139"/>
      <c r="H29" s="99">
        <f t="shared" ref="H29:I29" si="45">G29+(G29*0.03)</f>
        <v>0</v>
      </c>
      <c r="I29" s="99">
        <f t="shared" si="45"/>
        <v>0</v>
      </c>
      <c r="J29" s="10"/>
      <c r="K29" s="139"/>
      <c r="L29" s="99">
        <f t="shared" ref="L29:M29" si="46">K29+(K29*0.03)</f>
        <v>0</v>
      </c>
      <c r="M29" s="99">
        <f t="shared" si="46"/>
        <v>0</v>
      </c>
      <c r="N29" s="30"/>
      <c r="O29" s="134"/>
      <c r="P29" s="134"/>
      <c r="Q29" s="135"/>
      <c r="R29" s="135"/>
      <c r="S29" s="135"/>
      <c r="T29" s="135"/>
      <c r="U29" s="135"/>
      <c r="V29" s="135"/>
      <c r="W29" s="135"/>
      <c r="X29" s="135"/>
      <c r="Y29" s="135"/>
      <c r="Z29" s="135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.75" x14ac:dyDescent="0.25">
      <c r="A30" s="10"/>
      <c r="B30" s="10" t="s">
        <v>169</v>
      </c>
      <c r="C30" s="10"/>
      <c r="D30" s="10"/>
      <c r="E30" s="10"/>
      <c r="F30" s="139">
        <v>122</v>
      </c>
      <c r="G30" s="139">
        <v>296</v>
      </c>
      <c r="H30" s="99">
        <f t="shared" ref="H30:I30" si="47">G30+(G30*0.03)</f>
        <v>304.88</v>
      </c>
      <c r="I30" s="99">
        <f t="shared" si="47"/>
        <v>314.02639999999997</v>
      </c>
      <c r="J30" s="10"/>
      <c r="K30" s="139">
        <v>296</v>
      </c>
      <c r="L30" s="99">
        <f t="shared" ref="L30:M30" si="48">K30+(K30*0.03)</f>
        <v>304.88</v>
      </c>
      <c r="M30" s="99">
        <f t="shared" si="48"/>
        <v>314.02639999999997</v>
      </c>
      <c r="N30" s="30"/>
      <c r="O30" s="134"/>
      <c r="P30" s="134"/>
      <c r="Q30" s="135"/>
      <c r="R30" s="135"/>
      <c r="S30" s="135"/>
      <c r="T30" s="135"/>
      <c r="U30" s="135"/>
      <c r="V30" s="135"/>
      <c r="W30" s="135"/>
      <c r="X30" s="135"/>
      <c r="Y30" s="135"/>
      <c r="Z30" s="135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.75" x14ac:dyDescent="0.25">
      <c r="A31" s="10"/>
      <c r="B31" s="10" t="s">
        <v>29</v>
      </c>
      <c r="C31" s="10"/>
      <c r="D31" s="10"/>
      <c r="E31" s="10"/>
      <c r="F31" s="139"/>
      <c r="G31" s="139"/>
      <c r="H31" s="99">
        <f t="shared" ref="H31:I31" si="49">G31+(G31*0.03)</f>
        <v>0</v>
      </c>
      <c r="I31" s="99">
        <f t="shared" si="49"/>
        <v>0</v>
      </c>
      <c r="J31" s="10"/>
      <c r="K31" s="139"/>
      <c r="L31" s="99">
        <f t="shared" ref="L31:M31" si="50">K31+(K31*0.03)</f>
        <v>0</v>
      </c>
      <c r="M31" s="99">
        <f t="shared" si="50"/>
        <v>0</v>
      </c>
      <c r="N31" s="30"/>
      <c r="O31" s="134"/>
      <c r="P31" s="134"/>
      <c r="Q31" s="135"/>
      <c r="R31" s="135"/>
      <c r="S31" s="135"/>
      <c r="T31" s="135"/>
      <c r="U31" s="135"/>
      <c r="V31" s="135"/>
      <c r="W31" s="135"/>
      <c r="X31" s="135"/>
      <c r="Y31" s="135"/>
      <c r="Z31" s="135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.75" x14ac:dyDescent="0.25">
      <c r="A32" s="10"/>
      <c r="B32" s="10" t="s">
        <v>98</v>
      </c>
      <c r="C32" s="10"/>
      <c r="D32" s="10"/>
      <c r="E32" s="10"/>
      <c r="F32" s="139"/>
      <c r="G32" s="139"/>
      <c r="H32" s="99">
        <f t="shared" ref="H32:I32" si="51">G32+(G32*0.03)</f>
        <v>0</v>
      </c>
      <c r="I32" s="99">
        <f t="shared" si="51"/>
        <v>0</v>
      </c>
      <c r="J32" s="10"/>
      <c r="K32" s="139"/>
      <c r="L32" s="99">
        <f t="shared" ref="L32:M32" si="52">K32+(K32*0.03)</f>
        <v>0</v>
      </c>
      <c r="M32" s="99">
        <f t="shared" si="52"/>
        <v>0</v>
      </c>
      <c r="N32" s="30"/>
      <c r="O32" s="134"/>
      <c r="P32" s="134"/>
      <c r="Q32" s="135"/>
      <c r="R32" s="135"/>
      <c r="S32" s="135"/>
      <c r="T32" s="135"/>
      <c r="U32" s="135"/>
      <c r="V32" s="135"/>
      <c r="W32" s="135"/>
      <c r="X32" s="135"/>
      <c r="Y32" s="135"/>
      <c r="Z32" s="135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.75" x14ac:dyDescent="0.25">
      <c r="A33" s="10"/>
      <c r="B33" s="10" t="s">
        <v>170</v>
      </c>
      <c r="C33" s="10"/>
      <c r="D33" s="10"/>
      <c r="E33" s="10"/>
      <c r="F33" s="139" t="s">
        <v>171</v>
      </c>
      <c r="G33" s="139" t="s">
        <v>49</v>
      </c>
      <c r="H33" s="99" t="e">
        <f t="shared" ref="H33:I33" si="53">G33+(G33*0.03)</f>
        <v>#VALUE!</v>
      </c>
      <c r="I33" s="99" t="e">
        <f t="shared" si="53"/>
        <v>#VALUE!</v>
      </c>
      <c r="J33" s="10"/>
      <c r="K33" s="139" t="s">
        <v>49</v>
      </c>
      <c r="L33" s="99" t="e">
        <f t="shared" ref="L33:M33" si="54">K33+(K33*0.03)</f>
        <v>#VALUE!</v>
      </c>
      <c r="M33" s="99" t="e">
        <f t="shared" si="54"/>
        <v>#VALUE!</v>
      </c>
      <c r="N33" s="30"/>
      <c r="O33" s="134"/>
      <c r="P33" s="134"/>
      <c r="Q33" s="135"/>
      <c r="R33" s="135"/>
      <c r="S33" s="135"/>
      <c r="T33" s="135"/>
      <c r="U33" s="135"/>
      <c r="V33" s="135"/>
      <c r="W33" s="135"/>
      <c r="X33" s="135"/>
      <c r="Y33" s="135"/>
      <c r="Z33" s="135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s="49" customFormat="1" ht="15.75" x14ac:dyDescent="0.25">
      <c r="A34" s="30"/>
      <c r="B34" s="48" t="s">
        <v>172</v>
      </c>
      <c r="C34" s="48"/>
      <c r="D34" s="48"/>
      <c r="E34" s="48"/>
      <c r="F34" s="121">
        <v>16033</v>
      </c>
      <c r="G34" s="121">
        <v>17285</v>
      </c>
      <c r="H34" s="99">
        <f t="shared" ref="H34:I34" si="55">G34+(G34*0.03)</f>
        <v>17803.55</v>
      </c>
      <c r="I34" s="99">
        <f t="shared" si="55"/>
        <v>18337.656500000001</v>
      </c>
      <c r="J34" s="122" t="s">
        <v>225</v>
      </c>
      <c r="K34" s="121">
        <v>37285</v>
      </c>
      <c r="L34" s="99">
        <f t="shared" ref="L34:M34" si="56">K34+(K34*0.03)</f>
        <v>38403.550000000003</v>
      </c>
      <c r="M34" s="99">
        <f t="shared" si="56"/>
        <v>39555.656500000005</v>
      </c>
      <c r="N34" s="30"/>
      <c r="O34" s="134"/>
      <c r="P34" s="134"/>
      <c r="Q34" s="135"/>
      <c r="R34" s="135"/>
      <c r="S34" s="135"/>
      <c r="T34" s="135"/>
      <c r="U34" s="135"/>
      <c r="V34" s="135"/>
      <c r="W34" s="135"/>
      <c r="X34" s="135"/>
      <c r="Y34" s="135"/>
      <c r="Z34" s="135"/>
      <c r="AA34" s="136"/>
      <c r="AB34" s="136"/>
      <c r="AC34" s="136"/>
      <c r="AD34" s="136"/>
      <c r="AE34" s="136"/>
      <c r="AF34" s="136"/>
      <c r="AG34" s="136"/>
      <c r="AH34" s="136"/>
      <c r="AI34" s="136"/>
      <c r="AJ34" s="136"/>
      <c r="AK34" s="136"/>
      <c r="AL34" s="136"/>
      <c r="AM34" s="136"/>
    </row>
    <row r="35" spans="1:39" ht="15.75" x14ac:dyDescent="0.25">
      <c r="A35" s="10"/>
      <c r="B35" s="10" t="s">
        <v>173</v>
      </c>
      <c r="C35" s="10"/>
      <c r="D35" s="10"/>
      <c r="E35" s="10"/>
      <c r="F35" s="121">
        <v>-30907</v>
      </c>
      <c r="G35" s="121">
        <v>-34150</v>
      </c>
      <c r="H35" s="99">
        <f t="shared" ref="H35:I35" si="57">G35+(G35*0.03)</f>
        <v>-35174.5</v>
      </c>
      <c r="I35" s="99">
        <f t="shared" si="57"/>
        <v>-36229.735000000001</v>
      </c>
      <c r="J35" s="10"/>
      <c r="K35" s="121">
        <v>-34150</v>
      </c>
      <c r="L35" s="99">
        <f t="shared" ref="L35:M35" si="58">K35+(K35*0.03)</f>
        <v>-35174.5</v>
      </c>
      <c r="M35" s="99">
        <f t="shared" si="58"/>
        <v>-36229.735000000001</v>
      </c>
      <c r="N35" s="30"/>
      <c r="O35" s="134"/>
      <c r="P35" s="134"/>
      <c r="Q35" s="135"/>
      <c r="R35" s="135"/>
      <c r="S35" s="135"/>
      <c r="T35" s="135"/>
      <c r="U35" s="135"/>
      <c r="V35" s="135"/>
      <c r="W35" s="135"/>
      <c r="X35" s="135"/>
      <c r="Y35" s="135"/>
      <c r="Z35" s="135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.75" x14ac:dyDescent="0.25">
      <c r="A36" s="10"/>
      <c r="B36" s="10" t="s">
        <v>174</v>
      </c>
      <c r="C36" s="10"/>
      <c r="D36" s="10"/>
      <c r="E36" s="10"/>
      <c r="F36" s="121">
        <v>49956</v>
      </c>
      <c r="G36" s="121">
        <v>52873</v>
      </c>
      <c r="H36" s="99">
        <f t="shared" ref="H36:I36" si="59">G36+(G36*0.03)</f>
        <v>54459.19</v>
      </c>
      <c r="I36" s="99">
        <f t="shared" si="59"/>
        <v>56092.965700000001</v>
      </c>
      <c r="J36" s="10"/>
      <c r="K36" s="121">
        <v>52873</v>
      </c>
      <c r="L36" s="99">
        <f t="shared" ref="L36:M36" si="60">K36+(K36*0.03)</f>
        <v>54459.19</v>
      </c>
      <c r="M36" s="99">
        <f t="shared" si="60"/>
        <v>56092.965700000001</v>
      </c>
      <c r="N36" s="30"/>
      <c r="O36" s="134"/>
      <c r="P36" s="134"/>
      <c r="Q36" s="135"/>
      <c r="R36" s="135"/>
      <c r="S36" s="135"/>
      <c r="T36" s="135"/>
      <c r="U36" s="135"/>
      <c r="V36" s="135"/>
      <c r="W36" s="135"/>
      <c r="X36" s="135"/>
      <c r="Y36" s="135"/>
      <c r="Z36" s="135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.75" x14ac:dyDescent="0.25">
      <c r="A37" s="10"/>
      <c r="B37" s="10" t="s">
        <v>175</v>
      </c>
      <c r="C37" s="10"/>
      <c r="D37" s="10"/>
      <c r="E37" s="10"/>
      <c r="F37" s="139">
        <v>-105</v>
      </c>
      <c r="G37" s="139">
        <v>-95</v>
      </c>
      <c r="H37" s="99">
        <f t="shared" ref="H37:I37" si="61">G37+(G37*0.03)</f>
        <v>-97.85</v>
      </c>
      <c r="I37" s="99">
        <f t="shared" si="61"/>
        <v>-100.7855</v>
      </c>
      <c r="J37" s="10"/>
      <c r="K37" s="139">
        <v>-95</v>
      </c>
      <c r="L37" s="99">
        <f t="shared" ref="L37:M37" si="62">K37+(K37*0.03)</f>
        <v>-97.85</v>
      </c>
      <c r="M37" s="99">
        <f t="shared" si="62"/>
        <v>-100.7855</v>
      </c>
      <c r="N37" s="30"/>
      <c r="O37" s="134"/>
      <c r="P37" s="134"/>
      <c r="Q37" s="135"/>
      <c r="R37" s="135"/>
      <c r="S37" s="135"/>
      <c r="T37" s="135"/>
      <c r="U37" s="135"/>
      <c r="V37" s="135"/>
      <c r="W37" s="135"/>
      <c r="X37" s="135"/>
      <c r="Y37" s="135"/>
      <c r="Z37" s="135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s="7" customFormat="1" ht="15.75" x14ac:dyDescent="0.25">
      <c r="A38" s="13"/>
      <c r="B38" s="37" t="s">
        <v>176</v>
      </c>
      <c r="C38" s="37"/>
      <c r="D38" s="37"/>
      <c r="E38" s="37"/>
      <c r="F38" s="141">
        <v>-7619</v>
      </c>
      <c r="G38" s="141">
        <v>-8334</v>
      </c>
      <c r="H38" s="99">
        <f t="shared" ref="H38:I38" si="63">G38+(G38*0.03)</f>
        <v>-8584.02</v>
      </c>
      <c r="I38" s="99">
        <f t="shared" si="63"/>
        <v>-8841.5406000000003</v>
      </c>
      <c r="J38" s="57"/>
      <c r="K38" s="121">
        <v>-8334</v>
      </c>
      <c r="L38" s="99">
        <f t="shared" ref="L38:M38" si="64">K38+(K38*0.03)</f>
        <v>-8584.02</v>
      </c>
      <c r="M38" s="99">
        <f t="shared" si="64"/>
        <v>-8841.5406000000003</v>
      </c>
      <c r="N38" s="137"/>
      <c r="O38" s="134"/>
      <c r="P38" s="134"/>
      <c r="Q38" s="135"/>
      <c r="R38" s="135"/>
      <c r="S38" s="135"/>
      <c r="T38" s="135"/>
      <c r="U38" s="135"/>
      <c r="V38" s="135"/>
      <c r="W38" s="135"/>
      <c r="X38" s="135"/>
      <c r="Y38" s="135"/>
      <c r="Z38" s="135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s="49" customFormat="1" ht="15.75" x14ac:dyDescent="0.25">
      <c r="A39" s="134"/>
      <c r="B39" s="48" t="s">
        <v>177</v>
      </c>
      <c r="C39" s="48"/>
      <c r="D39" s="48"/>
      <c r="E39" s="48"/>
      <c r="F39" s="121">
        <v>27358</v>
      </c>
      <c r="G39" s="121">
        <v>27579</v>
      </c>
      <c r="H39" s="229">
        <f t="shared" ref="H39:I39" si="65">G39+(G39*0.03)</f>
        <v>28406.37</v>
      </c>
      <c r="I39" s="229">
        <f t="shared" si="65"/>
        <v>29258.561099999999</v>
      </c>
      <c r="J39" s="30"/>
      <c r="K39" s="142">
        <f>SUM(K30:K38)</f>
        <v>47875</v>
      </c>
      <c r="L39" s="229">
        <f t="shared" ref="L39:M39" si="66">K39+(K39*0.03)</f>
        <v>49311.25</v>
      </c>
      <c r="M39" s="229">
        <f t="shared" si="66"/>
        <v>50790.587500000001</v>
      </c>
      <c r="N39" s="30"/>
      <c r="O39" s="134"/>
      <c r="P39" s="134"/>
      <c r="Q39" s="135"/>
      <c r="R39" s="135"/>
      <c r="S39" s="135"/>
      <c r="T39" s="135"/>
      <c r="U39" s="135"/>
      <c r="V39" s="135"/>
      <c r="W39" s="135"/>
      <c r="X39" s="135"/>
      <c r="Y39" s="135"/>
      <c r="Z39" s="135"/>
      <c r="AA39" s="136"/>
      <c r="AB39" s="136"/>
      <c r="AC39" s="136"/>
      <c r="AD39" s="136"/>
      <c r="AE39" s="136"/>
      <c r="AF39" s="136"/>
      <c r="AG39" s="136"/>
      <c r="AH39" s="136"/>
      <c r="AI39" s="136"/>
      <c r="AJ39" s="136"/>
      <c r="AK39" s="136"/>
      <c r="AL39" s="136"/>
      <c r="AM39" s="136"/>
    </row>
    <row r="40" spans="1:39" ht="15.75" x14ac:dyDescent="0.25">
      <c r="A40" s="13"/>
      <c r="B40" s="10" t="s">
        <v>178</v>
      </c>
      <c r="C40" s="10"/>
      <c r="D40" s="10"/>
      <c r="E40" s="10"/>
      <c r="F40" s="121">
        <v>1486</v>
      </c>
      <c r="G40" s="121">
        <v>1590</v>
      </c>
      <c r="H40" s="99">
        <f t="shared" ref="H40:I40" si="67">G40+(G40*0.03)</f>
        <v>1637.7</v>
      </c>
      <c r="I40" s="99">
        <f t="shared" si="67"/>
        <v>1686.8310000000001</v>
      </c>
      <c r="J40" s="139"/>
      <c r="K40" s="121">
        <v>1590</v>
      </c>
      <c r="L40" s="99">
        <f t="shared" ref="L40:M40" si="68">K40+(K40*0.03)</f>
        <v>1637.7</v>
      </c>
      <c r="M40" s="99">
        <f t="shared" si="68"/>
        <v>1686.8310000000001</v>
      </c>
      <c r="N40" s="137"/>
      <c r="O40" s="134"/>
      <c r="P40" s="134"/>
      <c r="Q40" s="135"/>
      <c r="R40" s="135"/>
      <c r="S40" s="135"/>
      <c r="T40" s="135"/>
      <c r="U40" s="135"/>
      <c r="V40" s="135"/>
      <c r="W40" s="135"/>
      <c r="X40" s="135"/>
      <c r="Y40" s="135"/>
      <c r="Z40" s="135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s="81" customFormat="1" ht="15.75" x14ac:dyDescent="0.25">
      <c r="A41" s="134"/>
      <c r="B41" s="80" t="s">
        <v>179</v>
      </c>
      <c r="C41" s="80"/>
      <c r="D41" s="80"/>
      <c r="E41" s="80"/>
      <c r="F41" s="142">
        <v>28844</v>
      </c>
      <c r="G41" s="120">
        <v>29169</v>
      </c>
      <c r="H41" s="228">
        <f t="shared" ref="H41:I41" si="69">G41+(G41*0.03)</f>
        <v>30044.07</v>
      </c>
      <c r="I41" s="228">
        <f t="shared" si="69"/>
        <v>30945.392100000001</v>
      </c>
      <c r="J41" s="139"/>
      <c r="K41" s="120">
        <f>SUM(K39:K40)</f>
        <v>49465</v>
      </c>
      <c r="L41" s="228">
        <f t="shared" ref="L41:M41" si="70">K41+(K41*0.03)</f>
        <v>50948.95</v>
      </c>
      <c r="M41" s="228">
        <f t="shared" si="70"/>
        <v>52477.4185</v>
      </c>
      <c r="N41" s="137"/>
      <c r="O41" s="134"/>
      <c r="P41" s="134"/>
      <c r="Q41" s="135"/>
      <c r="R41" s="135"/>
      <c r="S41" s="135"/>
      <c r="T41" s="135"/>
      <c r="U41" s="135"/>
      <c r="V41" s="135"/>
      <c r="W41" s="135"/>
      <c r="X41" s="135"/>
      <c r="Y41" s="135"/>
      <c r="Z41" s="135"/>
      <c r="AA41" s="136"/>
      <c r="AB41" s="136"/>
      <c r="AC41" s="136"/>
      <c r="AD41" s="136"/>
      <c r="AE41" s="136"/>
      <c r="AF41" s="136"/>
      <c r="AG41" s="136"/>
      <c r="AH41" s="136"/>
      <c r="AI41" s="136"/>
      <c r="AJ41" s="136"/>
      <c r="AK41" s="136"/>
      <c r="AL41" s="136"/>
      <c r="AM41" s="136"/>
    </row>
    <row r="42" spans="1:39" s="4" customFormat="1" ht="16.5" thickBot="1" x14ac:dyDescent="0.3">
      <c r="A42" s="13"/>
      <c r="B42" s="38" t="s">
        <v>180</v>
      </c>
      <c r="C42" s="38"/>
      <c r="D42" s="38"/>
      <c r="E42" s="38"/>
      <c r="F42" s="58">
        <v>87484</v>
      </c>
      <c r="G42" s="58">
        <v>89706</v>
      </c>
      <c r="H42" s="82">
        <f t="shared" ref="H42:I42" si="71">G42+(G42*0.03)</f>
        <v>92397.18</v>
      </c>
      <c r="I42" s="82">
        <f t="shared" si="71"/>
        <v>95169.095399999991</v>
      </c>
      <c r="J42" s="57"/>
      <c r="K42" s="143">
        <f>K28+K41</f>
        <v>104706</v>
      </c>
      <c r="L42" s="230">
        <f t="shared" ref="L42:M42" si="72">K42+(K42*0.03)</f>
        <v>107847.18</v>
      </c>
      <c r="M42" s="230">
        <f t="shared" si="72"/>
        <v>111082.59539999999</v>
      </c>
      <c r="N42" s="137"/>
      <c r="O42" s="134"/>
      <c r="P42" s="134"/>
      <c r="Q42" s="135"/>
      <c r="R42" s="135"/>
      <c r="S42" s="135"/>
      <c r="T42" s="135"/>
      <c r="U42" s="135"/>
      <c r="V42" s="135"/>
      <c r="W42" s="135"/>
      <c r="X42" s="135"/>
      <c r="Y42" s="135"/>
      <c r="Z42" s="135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.75" x14ac:dyDescent="0.25">
      <c r="A43" s="13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30"/>
      <c r="O43" s="134"/>
      <c r="P43" s="134"/>
      <c r="Q43" s="134"/>
      <c r="R43" s="134"/>
      <c r="S43" s="135"/>
      <c r="T43" s="135"/>
      <c r="U43" s="135"/>
      <c r="V43" s="135"/>
      <c r="W43" s="135"/>
      <c r="X43" s="135"/>
      <c r="Y43" s="135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.75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3"/>
      <c r="P44" s="13"/>
      <c r="Q44" s="13"/>
      <c r="R44" s="13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5:39" x14ac:dyDescent="0.25"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5:39" x14ac:dyDescent="0.25"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5:39" x14ac:dyDescent="0.25"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5:39" x14ac:dyDescent="0.25"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5:39" x14ac:dyDescent="0.25"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5:39" x14ac:dyDescent="0.25"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5:39" x14ac:dyDescent="0.25"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5:39" x14ac:dyDescent="0.25"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5:39" x14ac:dyDescent="0.25"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5:39" x14ac:dyDescent="0.25"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5:39" x14ac:dyDescent="0.25"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5:39" x14ac:dyDescent="0.25"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5:39" x14ac:dyDescent="0.25"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5:39" x14ac:dyDescent="0.25"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5:39" x14ac:dyDescent="0.25"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5:39" x14ac:dyDescent="0.25"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5:39" x14ac:dyDescent="0.25"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5:39" x14ac:dyDescent="0.25"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5:39" x14ac:dyDescent="0.25"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5:39" x14ac:dyDescent="0.25"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5:39" x14ac:dyDescent="0.25"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5:39" x14ac:dyDescent="0.25"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5:39" x14ac:dyDescent="0.25"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  <row r="72" spans="15:39" x14ac:dyDescent="0.25"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</row>
    <row r="73" spans="15:39" x14ac:dyDescent="0.25"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</row>
    <row r="74" spans="15:39" x14ac:dyDescent="0.25"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</row>
    <row r="75" spans="15:39" x14ac:dyDescent="0.25"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</row>
    <row r="76" spans="15:39" x14ac:dyDescent="0.25"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</row>
    <row r="77" spans="15:39" x14ac:dyDescent="0.25"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</row>
    <row r="78" spans="15:39" x14ac:dyDescent="0.25"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</row>
    <row r="79" spans="15:39" x14ac:dyDescent="0.25"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</row>
    <row r="80" spans="15:39" x14ac:dyDescent="0.25"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</row>
    <row r="81" spans="15:39" x14ac:dyDescent="0.25"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</row>
    <row r="82" spans="15:39" x14ac:dyDescent="0.25"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</row>
    <row r="83" spans="15:39" x14ac:dyDescent="0.25"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</row>
    <row r="84" spans="15:39" x14ac:dyDescent="0.25"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</row>
    <row r="85" spans="15:39" x14ac:dyDescent="0.25"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</row>
    <row r="86" spans="15:39" x14ac:dyDescent="0.25"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</row>
    <row r="87" spans="15:39" x14ac:dyDescent="0.25"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</row>
    <row r="88" spans="15:39" x14ac:dyDescent="0.25"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</row>
    <row r="89" spans="15:39" x14ac:dyDescent="0.25"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</row>
    <row r="90" spans="15:39" x14ac:dyDescent="0.25"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</row>
    <row r="91" spans="15:39" x14ac:dyDescent="0.25"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</row>
    <row r="92" spans="15:39" x14ac:dyDescent="0.25"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</row>
    <row r="93" spans="15:39" x14ac:dyDescent="0.25"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</row>
    <row r="94" spans="15:39" x14ac:dyDescent="0.25"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</row>
    <row r="95" spans="15:39" x14ac:dyDescent="0.25"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</row>
    <row r="96" spans="15:39" x14ac:dyDescent="0.25"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</row>
    <row r="97" spans="15:39" x14ac:dyDescent="0.25"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</row>
    <row r="98" spans="15:39" x14ac:dyDescent="0.25"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</row>
    <row r="99" spans="15:39" x14ac:dyDescent="0.25"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</row>
    <row r="100" spans="15:39" x14ac:dyDescent="0.25"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</row>
    <row r="101" spans="15:39" x14ac:dyDescent="0.25"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</row>
    <row r="102" spans="15:39" x14ac:dyDescent="0.25"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</row>
    <row r="103" spans="15:39" x14ac:dyDescent="0.25"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</row>
    <row r="104" spans="15:39" x14ac:dyDescent="0.25"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</row>
    <row r="105" spans="15:39" x14ac:dyDescent="0.25"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</row>
    <row r="106" spans="15:39" x14ac:dyDescent="0.25"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</row>
    <row r="107" spans="15:39" x14ac:dyDescent="0.25"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</row>
    <row r="108" spans="15:39" x14ac:dyDescent="0.25"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</row>
    <row r="109" spans="15:39" x14ac:dyDescent="0.25"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</row>
    <row r="110" spans="15:39" x14ac:dyDescent="0.25"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</row>
    <row r="111" spans="15:39" x14ac:dyDescent="0.25"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</row>
    <row r="112" spans="15:39" x14ac:dyDescent="0.25"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</row>
    <row r="113" spans="15:39" x14ac:dyDescent="0.25"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</row>
    <row r="114" spans="15:39" x14ac:dyDescent="0.25"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</row>
    <row r="115" spans="15:39" x14ac:dyDescent="0.25"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</row>
    <row r="116" spans="15:39" x14ac:dyDescent="0.25"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</row>
    <row r="117" spans="15:39" x14ac:dyDescent="0.25"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</row>
    <row r="118" spans="15:39" x14ac:dyDescent="0.25"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</row>
    <row r="119" spans="15:39" x14ac:dyDescent="0.25"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</row>
    <row r="120" spans="15:39" x14ac:dyDescent="0.25"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</row>
    <row r="121" spans="15:39" x14ac:dyDescent="0.25"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</row>
    <row r="122" spans="15:39" x14ac:dyDescent="0.25"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</row>
    <row r="123" spans="15:39" x14ac:dyDescent="0.25"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</row>
    <row r="124" spans="15:39" x14ac:dyDescent="0.25"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</row>
    <row r="125" spans="15:39" x14ac:dyDescent="0.25"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</row>
    <row r="126" spans="15:39" x14ac:dyDescent="0.25"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</row>
    <row r="127" spans="15:39" x14ac:dyDescent="0.25"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</row>
    <row r="128" spans="15:39" x14ac:dyDescent="0.25"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</row>
    <row r="129" spans="15:39" x14ac:dyDescent="0.25"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</row>
    <row r="130" spans="15:39" x14ac:dyDescent="0.25"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</row>
    <row r="131" spans="15:39" x14ac:dyDescent="0.25"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</row>
    <row r="132" spans="15:39" x14ac:dyDescent="0.25"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</row>
    <row r="133" spans="15:39" x14ac:dyDescent="0.25"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</row>
    <row r="134" spans="15:39" x14ac:dyDescent="0.25"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</row>
    <row r="135" spans="15:39" x14ac:dyDescent="0.25"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</row>
    <row r="136" spans="15:39" x14ac:dyDescent="0.25"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</row>
    <row r="137" spans="15:39" x14ac:dyDescent="0.25"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</row>
    <row r="138" spans="15:39" x14ac:dyDescent="0.25"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</row>
    <row r="139" spans="15:39" x14ac:dyDescent="0.25"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</row>
    <row r="140" spans="15:39" x14ac:dyDescent="0.25"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</row>
    <row r="141" spans="15:39" x14ac:dyDescent="0.25"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</row>
    <row r="142" spans="15:39" x14ac:dyDescent="0.25"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</row>
    <row r="143" spans="15:39" x14ac:dyDescent="0.25"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</row>
    <row r="144" spans="15:39" x14ac:dyDescent="0.25"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</row>
    <row r="145" spans="15:39" x14ac:dyDescent="0.25"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</row>
    <row r="146" spans="15:39" x14ac:dyDescent="0.25"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</row>
    <row r="147" spans="15:39" x14ac:dyDescent="0.25"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</row>
    <row r="148" spans="15:39" x14ac:dyDescent="0.25"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</row>
    <row r="149" spans="15:39" x14ac:dyDescent="0.25"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</row>
    <row r="150" spans="15:39" x14ac:dyDescent="0.25"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</row>
    <row r="151" spans="15:39" x14ac:dyDescent="0.25"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</row>
    <row r="152" spans="15:39" x14ac:dyDescent="0.25"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</row>
    <row r="153" spans="15:39" x14ac:dyDescent="0.25"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</row>
    <row r="154" spans="15:39" x14ac:dyDescent="0.25"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</row>
    <row r="155" spans="15:39" x14ac:dyDescent="0.25"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</row>
    <row r="156" spans="15:39" x14ac:dyDescent="0.25"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</row>
    <row r="157" spans="15:39" x14ac:dyDescent="0.25"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</row>
    <row r="158" spans="15:39" x14ac:dyDescent="0.25"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</row>
    <row r="159" spans="15:39" x14ac:dyDescent="0.25"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</row>
    <row r="160" spans="15:39" x14ac:dyDescent="0.25"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</row>
    <row r="161" spans="15:39" x14ac:dyDescent="0.25"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</row>
    <row r="162" spans="15:39" x14ac:dyDescent="0.25"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</row>
    <row r="163" spans="15:39" x14ac:dyDescent="0.25"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</row>
    <row r="164" spans="15:39" x14ac:dyDescent="0.25"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</row>
    <row r="165" spans="15:39" x14ac:dyDescent="0.25"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</row>
    <row r="166" spans="15:39" x14ac:dyDescent="0.25"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</row>
    <row r="167" spans="15:39" x14ac:dyDescent="0.25"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</row>
    <row r="168" spans="15:39" x14ac:dyDescent="0.25"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</row>
    <row r="169" spans="15:39" x14ac:dyDescent="0.25"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</row>
    <row r="170" spans="15:39" x14ac:dyDescent="0.25"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</row>
    <row r="171" spans="15:39" x14ac:dyDescent="0.25"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</row>
    <row r="172" spans="15:39" x14ac:dyDescent="0.25"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</row>
    <row r="173" spans="15:39" x14ac:dyDescent="0.25"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</row>
    <row r="174" spans="15:39" x14ac:dyDescent="0.25"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</row>
    <row r="175" spans="15:39" x14ac:dyDescent="0.25"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</row>
    <row r="176" spans="15:39" x14ac:dyDescent="0.25"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</row>
    <row r="177" spans="15:39" x14ac:dyDescent="0.25"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</row>
    <row r="178" spans="15:39" x14ac:dyDescent="0.25"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</row>
    <row r="179" spans="15:39" x14ac:dyDescent="0.25"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</row>
    <row r="180" spans="15:39" x14ac:dyDescent="0.25"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</row>
    <row r="181" spans="15:39" x14ac:dyDescent="0.25"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</row>
    <row r="182" spans="15:39" x14ac:dyDescent="0.25"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</row>
    <row r="183" spans="15:39" x14ac:dyDescent="0.25"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</row>
    <row r="184" spans="15:39" x14ac:dyDescent="0.25"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</row>
    <row r="185" spans="15:39" x14ac:dyDescent="0.25"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</row>
    <row r="186" spans="15:39" x14ac:dyDescent="0.25"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</row>
    <row r="187" spans="15:39" x14ac:dyDescent="0.25"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</row>
    <row r="188" spans="15:39" x14ac:dyDescent="0.25"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</row>
    <row r="189" spans="15:39" x14ac:dyDescent="0.25"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</row>
    <row r="190" spans="15:39" x14ac:dyDescent="0.25"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</row>
    <row r="191" spans="15:39" x14ac:dyDescent="0.25"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</row>
    <row r="192" spans="15:39" x14ac:dyDescent="0.25"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</row>
    <row r="193" spans="15:39" x14ac:dyDescent="0.25"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</row>
    <row r="194" spans="15:39" x14ac:dyDescent="0.25"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</row>
    <row r="195" spans="15:39" x14ac:dyDescent="0.25"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</row>
    <row r="196" spans="15:39" x14ac:dyDescent="0.25"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</row>
    <row r="197" spans="15:39" x14ac:dyDescent="0.25"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</row>
    <row r="198" spans="15:39" x14ac:dyDescent="0.25"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</row>
    <row r="199" spans="15:39" x14ac:dyDescent="0.25"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</row>
    <row r="200" spans="15:39" x14ac:dyDescent="0.25"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</row>
    <row r="201" spans="15:39" x14ac:dyDescent="0.25"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</row>
    <row r="202" spans="15:39" x14ac:dyDescent="0.25"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</row>
    <row r="203" spans="15:39" x14ac:dyDescent="0.25"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</row>
    <row r="204" spans="15:39" x14ac:dyDescent="0.25"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</row>
    <row r="205" spans="15:39" x14ac:dyDescent="0.25"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</row>
    <row r="206" spans="15:39" x14ac:dyDescent="0.25"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</row>
    <row r="207" spans="15:39" x14ac:dyDescent="0.25"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</row>
    <row r="208" spans="15:39" x14ac:dyDescent="0.25"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</row>
    <row r="209" spans="15:39" x14ac:dyDescent="0.25"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</row>
    <row r="210" spans="15:39" x14ac:dyDescent="0.25"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</row>
    <row r="211" spans="15:39" x14ac:dyDescent="0.25"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</row>
    <row r="212" spans="15:39" x14ac:dyDescent="0.25"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</row>
    <row r="213" spans="15:39" x14ac:dyDescent="0.25"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</row>
    <row r="214" spans="15:39" x14ac:dyDescent="0.25"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</row>
    <row r="215" spans="15:39" x14ac:dyDescent="0.25"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</row>
    <row r="216" spans="15:39" x14ac:dyDescent="0.25"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</row>
    <row r="217" spans="15:39" x14ac:dyDescent="0.25"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</row>
    <row r="218" spans="15:39" x14ac:dyDescent="0.25"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</row>
    <row r="219" spans="15:39" x14ac:dyDescent="0.25"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</row>
    <row r="220" spans="15:39" x14ac:dyDescent="0.25"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</row>
    <row r="221" spans="15:39" x14ac:dyDescent="0.25"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</row>
    <row r="222" spans="15:39" x14ac:dyDescent="0.25"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</row>
    <row r="223" spans="15:39" x14ac:dyDescent="0.25"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</row>
    <row r="224" spans="15:39" x14ac:dyDescent="0.25"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</row>
    <row r="225" spans="15:39" x14ac:dyDescent="0.25"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</row>
    <row r="226" spans="15:39" x14ac:dyDescent="0.25"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</row>
    <row r="227" spans="15:39" x14ac:dyDescent="0.25"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</row>
    <row r="228" spans="15:39" x14ac:dyDescent="0.25"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</row>
    <row r="229" spans="15:39" x14ac:dyDescent="0.25"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</row>
    <row r="230" spans="15:39" x14ac:dyDescent="0.25"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</row>
    <row r="231" spans="15:39" x14ac:dyDescent="0.25"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</row>
    <row r="232" spans="15:39" x14ac:dyDescent="0.25"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789B0-CDC8-4C35-8BE2-3C43C4A58824}">
  <dimension ref="A1:BA348"/>
  <sheetViews>
    <sheetView workbookViewId="0">
      <selection activeCell="M47" sqref="M47"/>
    </sheetView>
  </sheetViews>
  <sheetFormatPr defaultRowHeight="15" x14ac:dyDescent="0.25"/>
  <cols>
    <col min="1" max="1" width="11.140625" bestFit="1" customWidth="1"/>
    <col min="10" max="11" width="11.5703125" bestFit="1" customWidth="1"/>
  </cols>
  <sheetData>
    <row r="1" spans="1:53" ht="15.75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</row>
    <row r="2" spans="1:53" ht="16.5" thickBot="1" x14ac:dyDescent="0.3">
      <c r="A2" s="10"/>
      <c r="B2" s="11" t="s">
        <v>47</v>
      </c>
      <c r="C2" s="10"/>
      <c r="F2" s="132" t="s">
        <v>48</v>
      </c>
      <c r="G2" s="10"/>
      <c r="H2" s="10"/>
      <c r="I2" s="10"/>
      <c r="J2" s="96" t="s">
        <v>216</v>
      </c>
      <c r="K2" s="96" t="s">
        <v>216</v>
      </c>
      <c r="L2" s="10"/>
      <c r="M2" s="10"/>
    </row>
    <row r="3" spans="1:53" ht="16.5" thickBot="1" x14ac:dyDescent="0.3">
      <c r="A3" s="11" t="s">
        <v>11</v>
      </c>
      <c r="B3" s="10"/>
      <c r="C3" s="10"/>
      <c r="D3" s="10"/>
      <c r="E3" s="10"/>
      <c r="F3" s="10"/>
      <c r="G3" s="35">
        <v>2014</v>
      </c>
      <c r="H3" s="35">
        <v>2015</v>
      </c>
      <c r="I3" s="16">
        <v>2016</v>
      </c>
      <c r="J3" s="35">
        <v>2017</v>
      </c>
      <c r="K3" s="35">
        <v>2018</v>
      </c>
      <c r="L3" s="10"/>
      <c r="M3" s="10"/>
      <c r="N3" s="10"/>
      <c r="O3" s="10"/>
    </row>
    <row r="4" spans="1:53" ht="15.75" x14ac:dyDescent="0.25">
      <c r="A4" s="10"/>
      <c r="B4" s="10" t="s">
        <v>40</v>
      </c>
      <c r="C4" s="10"/>
      <c r="D4" s="10"/>
      <c r="E4" s="10"/>
      <c r="F4" s="10"/>
      <c r="G4" s="57"/>
      <c r="H4" s="57"/>
      <c r="I4" s="89"/>
      <c r="J4" s="57"/>
      <c r="K4" s="57"/>
      <c r="L4" s="10"/>
      <c r="M4" s="10"/>
      <c r="N4" s="13"/>
      <c r="O4" s="13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</row>
    <row r="5" spans="1:53" ht="15.75" x14ac:dyDescent="0.25">
      <c r="A5" s="10"/>
      <c r="B5" s="10" t="s">
        <v>99</v>
      </c>
      <c r="C5" s="10"/>
      <c r="D5" s="10"/>
      <c r="E5" s="10"/>
      <c r="F5" s="10"/>
      <c r="G5" s="61">
        <v>6468</v>
      </c>
      <c r="H5" s="61">
        <v>4356</v>
      </c>
      <c r="I5" s="90">
        <v>5436</v>
      </c>
      <c r="J5" s="78">
        <f>I5+(I5*0.03)</f>
        <v>5599.08</v>
      </c>
      <c r="K5" s="78">
        <f>J5+(J5*0.03)</f>
        <v>5767.0523999999996</v>
      </c>
      <c r="L5" s="10"/>
      <c r="M5" s="10"/>
      <c r="N5" s="13"/>
      <c r="O5" s="13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</row>
    <row r="6" spans="1:53" ht="15.75" x14ac:dyDescent="0.25">
      <c r="A6" s="10"/>
      <c r="B6" s="10" t="s">
        <v>100</v>
      </c>
      <c r="C6" s="10"/>
      <c r="D6" s="10"/>
      <c r="E6" s="10"/>
      <c r="F6" s="10"/>
      <c r="G6" s="57" t="s">
        <v>198</v>
      </c>
      <c r="H6" s="57"/>
      <c r="I6" s="89"/>
      <c r="J6" s="78">
        <f t="shared" ref="J6:K6" si="0">I6+(I6*0.03)</f>
        <v>0</v>
      </c>
      <c r="K6" s="78">
        <f t="shared" si="0"/>
        <v>0</v>
      </c>
      <c r="L6" s="10"/>
      <c r="M6" s="10"/>
      <c r="N6" s="13"/>
      <c r="O6" s="13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</row>
    <row r="7" spans="1:53" ht="15.75" x14ac:dyDescent="0.25">
      <c r="A7" s="10"/>
      <c r="B7" s="10" t="s">
        <v>41</v>
      </c>
      <c r="C7" s="10"/>
      <c r="D7" s="10"/>
      <c r="E7" s="10"/>
      <c r="F7" s="10"/>
      <c r="G7" s="57"/>
      <c r="H7" s="57"/>
      <c r="I7" s="89"/>
      <c r="J7" s="78">
        <f t="shared" ref="J7:K7" si="1">I7+(I7*0.03)</f>
        <v>0</v>
      </c>
      <c r="K7" s="78">
        <f t="shared" si="1"/>
        <v>0</v>
      </c>
      <c r="L7" s="10"/>
      <c r="M7" s="10"/>
      <c r="N7" s="13"/>
      <c r="O7" s="13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</row>
    <row r="8" spans="1:53" ht="15.75" x14ac:dyDescent="0.25">
      <c r="A8" s="10"/>
      <c r="B8" s="10" t="s">
        <v>101</v>
      </c>
      <c r="C8" s="10"/>
      <c r="D8" s="10"/>
      <c r="E8" s="10"/>
      <c r="F8" s="10"/>
      <c r="G8" s="55">
        <v>1820</v>
      </c>
      <c r="H8" s="55">
        <v>1863</v>
      </c>
      <c r="I8" s="91">
        <v>1962</v>
      </c>
      <c r="J8" s="78">
        <f t="shared" ref="J8:K8" si="2">I8+(I8*0.03)</f>
        <v>2020.86</v>
      </c>
      <c r="K8" s="78">
        <f t="shared" si="2"/>
        <v>2081.4857999999999</v>
      </c>
      <c r="L8" s="10"/>
      <c r="M8" s="10"/>
      <c r="N8" s="13"/>
      <c r="O8" s="13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</row>
    <row r="9" spans="1:53" ht="15.75" x14ac:dyDescent="0.25">
      <c r="A9" s="10"/>
      <c r="B9" s="10" t="s">
        <v>102</v>
      </c>
      <c r="C9" s="10"/>
      <c r="D9" s="10"/>
      <c r="E9" s="10"/>
      <c r="F9" s="10"/>
      <c r="G9" s="57">
        <v>403</v>
      </c>
      <c r="H9" s="57">
        <v>662</v>
      </c>
      <c r="I9" s="89">
        <v>398</v>
      </c>
      <c r="J9" s="78">
        <f t="shared" ref="J9:K9" si="3">I9+(I9*0.03)</f>
        <v>409.94</v>
      </c>
      <c r="K9" s="78">
        <f t="shared" si="3"/>
        <v>422.23820000000001</v>
      </c>
      <c r="L9" s="10"/>
      <c r="M9" s="10"/>
      <c r="N9" s="13"/>
      <c r="O9" s="13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</row>
    <row r="10" spans="1:53" ht="15.75" x14ac:dyDescent="0.25">
      <c r="A10" s="10"/>
      <c r="B10" s="10" t="s">
        <v>103</v>
      </c>
      <c r="C10" s="10"/>
      <c r="D10" s="10"/>
      <c r="E10" s="10"/>
      <c r="F10" s="10"/>
      <c r="G10" s="57">
        <v>219</v>
      </c>
      <c r="H10" s="57">
        <v>158</v>
      </c>
      <c r="I10" s="89">
        <v>152</v>
      </c>
      <c r="J10" s="78">
        <f t="shared" ref="J10:K10" si="4">I10+(I10*0.03)</f>
        <v>156.56</v>
      </c>
      <c r="K10" s="78">
        <f t="shared" si="4"/>
        <v>161.2568</v>
      </c>
      <c r="L10" s="10"/>
      <c r="M10" s="10"/>
      <c r="N10" s="13"/>
      <c r="O10" s="13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</row>
    <row r="11" spans="1:53" ht="15.75" x14ac:dyDescent="0.25">
      <c r="A11" s="10"/>
      <c r="B11" s="10" t="s">
        <v>104</v>
      </c>
      <c r="C11" s="10"/>
      <c r="D11" s="10"/>
      <c r="E11" s="10"/>
      <c r="F11" s="10"/>
      <c r="G11" s="57" t="s">
        <v>49</v>
      </c>
      <c r="H11" s="57">
        <v>867</v>
      </c>
      <c r="I11" s="89">
        <v>-237</v>
      </c>
      <c r="J11" s="78">
        <f t="shared" ref="J11:K11" si="5">I11+(I11*0.03)</f>
        <v>-244.11</v>
      </c>
      <c r="K11" s="78">
        <f t="shared" si="5"/>
        <v>-251.4333</v>
      </c>
      <c r="L11" s="10"/>
      <c r="M11" s="10"/>
      <c r="N11" s="13"/>
      <c r="O11" s="13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</row>
    <row r="12" spans="1:53" ht="15.75" x14ac:dyDescent="0.25">
      <c r="A12" s="10"/>
      <c r="B12" s="10" t="s">
        <v>105</v>
      </c>
      <c r="C12" s="10"/>
      <c r="D12" s="10"/>
      <c r="E12" s="10"/>
      <c r="F12" s="10"/>
      <c r="G12" s="57"/>
      <c r="H12" s="57"/>
      <c r="I12" s="89"/>
      <c r="J12" s="78">
        <f t="shared" ref="J12:K12" si="6">I12+(I12*0.03)</f>
        <v>0</v>
      </c>
      <c r="K12" s="78">
        <f t="shared" si="6"/>
        <v>0</v>
      </c>
      <c r="L12" s="10"/>
      <c r="M12" s="10"/>
      <c r="N12" s="13"/>
      <c r="O12" s="13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</row>
    <row r="13" spans="1:53" ht="15.75" x14ac:dyDescent="0.25">
      <c r="A13" s="10"/>
      <c r="B13" s="10" t="s">
        <v>106</v>
      </c>
      <c r="C13" s="10"/>
      <c r="D13" s="10"/>
      <c r="E13" s="10"/>
      <c r="F13" s="10"/>
      <c r="G13" s="57">
        <v>111</v>
      </c>
      <c r="H13" s="57">
        <v>-438</v>
      </c>
      <c r="I13" s="89">
        <v>-941</v>
      </c>
      <c r="J13" s="78">
        <f t="shared" ref="J13:K13" si="7">I13+(I13*0.03)</f>
        <v>-969.23</v>
      </c>
      <c r="K13" s="78">
        <f t="shared" si="7"/>
        <v>-998.30690000000004</v>
      </c>
      <c r="L13" s="10"/>
      <c r="M13" s="10"/>
      <c r="N13" s="13"/>
      <c r="O13" s="13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</row>
    <row r="14" spans="1:53" ht="15.75" x14ac:dyDescent="0.25">
      <c r="A14" s="10"/>
      <c r="B14" s="10" t="s">
        <v>107</v>
      </c>
      <c r="C14" s="10"/>
      <c r="D14" s="10"/>
      <c r="E14" s="10"/>
      <c r="F14" s="10"/>
      <c r="G14" s="57">
        <v>-636</v>
      </c>
      <c r="H14" s="57">
        <v>-766</v>
      </c>
      <c r="I14" s="89">
        <v>-719</v>
      </c>
      <c r="J14" s="78">
        <f t="shared" ref="J14:K14" si="8">I14+(I14*0.03)</f>
        <v>-740.57</v>
      </c>
      <c r="K14" s="78">
        <f t="shared" si="8"/>
        <v>-762.78710000000001</v>
      </c>
      <c r="L14" s="10"/>
      <c r="M14" s="10"/>
      <c r="N14" s="13"/>
      <c r="O14" s="13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</row>
    <row r="15" spans="1:53" ht="15.75" x14ac:dyDescent="0.25">
      <c r="A15" s="10"/>
      <c r="B15" s="10" t="s">
        <v>108</v>
      </c>
      <c r="C15" s="10"/>
      <c r="D15" s="10"/>
      <c r="E15" s="10"/>
      <c r="F15" s="10"/>
      <c r="G15" s="57">
        <v>-115</v>
      </c>
      <c r="H15" s="57">
        <v>-55</v>
      </c>
      <c r="I15" s="89">
        <v>49</v>
      </c>
      <c r="J15" s="78">
        <f t="shared" ref="J15:K15" si="9">I15+(I15*0.03)</f>
        <v>50.47</v>
      </c>
      <c r="K15" s="78">
        <f t="shared" si="9"/>
        <v>51.984099999999998</v>
      </c>
      <c r="L15" s="10"/>
      <c r="M15" s="10"/>
      <c r="N15" s="13"/>
      <c r="O15" s="13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</row>
    <row r="16" spans="1:53" ht="15.75" x14ac:dyDescent="0.25">
      <c r="A16" s="13"/>
      <c r="B16" s="10" t="s">
        <v>109</v>
      </c>
      <c r="C16" s="10"/>
      <c r="D16" s="10"/>
      <c r="E16" s="10"/>
      <c r="F16" s="10"/>
      <c r="G16" s="57">
        <v>-89</v>
      </c>
      <c r="H16" s="57">
        <v>490</v>
      </c>
      <c r="I16" s="89">
        <v>450</v>
      </c>
      <c r="J16" s="78">
        <f t="shared" ref="J16:K16" si="10">I16+(I16*0.03)</f>
        <v>463.5</v>
      </c>
      <c r="K16" s="78">
        <f t="shared" si="10"/>
        <v>477.40499999999997</v>
      </c>
      <c r="L16" s="10"/>
      <c r="M16" s="10"/>
      <c r="N16" s="13"/>
      <c r="O16" s="13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</row>
    <row r="17" spans="1:53" ht="15.75" x14ac:dyDescent="0.25">
      <c r="A17" s="13"/>
      <c r="B17" s="10" t="s">
        <v>110</v>
      </c>
      <c r="C17" s="10"/>
      <c r="D17" s="10"/>
      <c r="E17" s="10"/>
      <c r="F17" s="10"/>
      <c r="G17" s="57">
        <v>-517</v>
      </c>
      <c r="H17" s="57">
        <v>-147</v>
      </c>
      <c r="I17" s="89">
        <v>-303</v>
      </c>
      <c r="J17" s="78">
        <f t="shared" ref="J17:K17" si="11">I17+(I17*0.03)</f>
        <v>-312.08999999999997</v>
      </c>
      <c r="K17" s="78">
        <f t="shared" si="11"/>
        <v>-321.45269999999999</v>
      </c>
      <c r="L17" s="10"/>
      <c r="M17" s="10"/>
      <c r="N17" s="13"/>
      <c r="O17" s="13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</row>
    <row r="18" spans="1:53" ht="16.5" thickBot="1" x14ac:dyDescent="0.3">
      <c r="A18" s="13"/>
      <c r="B18" s="10" t="s">
        <v>111</v>
      </c>
      <c r="C18" s="10"/>
      <c r="D18" s="10"/>
      <c r="E18" s="10"/>
      <c r="F18" s="10"/>
      <c r="G18" s="57">
        <v>-685</v>
      </c>
      <c r="H18" s="57">
        <v>-235</v>
      </c>
      <c r="I18" s="89">
        <v>165</v>
      </c>
      <c r="J18" s="78">
        <f t="shared" ref="J18:K18" si="12">I18+(I18*0.03)</f>
        <v>169.95</v>
      </c>
      <c r="K18" s="78">
        <f t="shared" si="12"/>
        <v>175.04849999999999</v>
      </c>
      <c r="L18" s="89"/>
      <c r="M18" s="13"/>
      <c r="N18" s="13"/>
      <c r="O18" s="13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</row>
    <row r="19" spans="1:53" s="3" customFormat="1" ht="16.5" thickBot="1" x14ac:dyDescent="0.3">
      <c r="A19" s="13"/>
      <c r="B19" s="41" t="s">
        <v>112</v>
      </c>
      <c r="C19" s="41"/>
      <c r="D19" s="41"/>
      <c r="E19" s="41"/>
      <c r="F19" s="41"/>
      <c r="G19" s="83">
        <v>6979</v>
      </c>
      <c r="H19" s="83">
        <v>6755</v>
      </c>
      <c r="I19" s="92">
        <v>6412</v>
      </c>
      <c r="J19" s="144">
        <f t="shared" ref="J19:K19" si="13">I19+(I19*0.03)</f>
        <v>6604.36</v>
      </c>
      <c r="K19" s="144">
        <f t="shared" si="13"/>
        <v>6802.4907999999996</v>
      </c>
      <c r="L19" s="89"/>
      <c r="M19" s="13"/>
      <c r="N19" s="13"/>
      <c r="O19" s="13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</row>
    <row r="20" spans="1:53" ht="15.75" x14ac:dyDescent="0.25">
      <c r="A20" s="13"/>
      <c r="B20" s="10" t="s">
        <v>42</v>
      </c>
      <c r="C20" s="10"/>
      <c r="D20" s="10"/>
      <c r="E20" s="10"/>
      <c r="F20" s="10"/>
      <c r="G20" s="57"/>
      <c r="H20" s="57"/>
      <c r="I20" s="89"/>
      <c r="J20" s="78">
        <f t="shared" ref="J20:K20" si="14">I20+(I20*0.03)</f>
        <v>0</v>
      </c>
      <c r="K20" s="78">
        <f t="shared" si="14"/>
        <v>0</v>
      </c>
      <c r="L20" s="10"/>
      <c r="M20" s="10"/>
      <c r="N20" s="13"/>
      <c r="O20" s="13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</row>
    <row r="21" spans="1:53" ht="15.75" x14ac:dyDescent="0.25">
      <c r="A21" s="13"/>
      <c r="B21" s="10" t="s">
        <v>114</v>
      </c>
      <c r="C21" s="10"/>
      <c r="D21" s="10"/>
      <c r="E21" s="10"/>
      <c r="F21" s="10"/>
      <c r="G21" s="55">
        <v>-1594</v>
      </c>
      <c r="H21" s="55">
        <v>-1652</v>
      </c>
      <c r="I21" s="91">
        <v>-1699</v>
      </c>
      <c r="J21" s="78">
        <f t="shared" ref="J21:K21" si="15">I21+(I21*0.03)</f>
        <v>-1749.97</v>
      </c>
      <c r="K21" s="78">
        <f t="shared" si="15"/>
        <v>-1802.4691</v>
      </c>
      <c r="L21" s="10"/>
      <c r="M21" s="10"/>
      <c r="N21" s="13"/>
      <c r="O21" s="13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</row>
    <row r="22" spans="1:53" ht="15.75" x14ac:dyDescent="0.25">
      <c r="A22" s="13"/>
      <c r="B22" s="10" t="s">
        <v>115</v>
      </c>
      <c r="C22" s="10"/>
      <c r="D22" s="10"/>
      <c r="E22" s="10"/>
      <c r="F22" s="10"/>
      <c r="G22" s="57">
        <v>-202</v>
      </c>
      <c r="H22" s="57">
        <v>-364</v>
      </c>
      <c r="I22" s="89">
        <v>-438</v>
      </c>
      <c r="J22" s="78">
        <f t="shared" ref="J22:K22" si="16">I22+(I22*0.03)</f>
        <v>-451.14</v>
      </c>
      <c r="K22" s="78">
        <f t="shared" si="16"/>
        <v>-464.67419999999998</v>
      </c>
      <c r="L22" s="10"/>
      <c r="M22" s="10"/>
      <c r="N22" s="13"/>
      <c r="O22" s="13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</row>
    <row r="23" spans="1:53" ht="15.75" x14ac:dyDescent="0.25">
      <c r="A23" s="13"/>
      <c r="B23" s="10" t="s">
        <v>116</v>
      </c>
      <c r="C23" s="10"/>
      <c r="D23" s="10"/>
      <c r="E23" s="10"/>
      <c r="F23" s="10"/>
      <c r="G23" s="57">
        <v>331</v>
      </c>
      <c r="H23" s="57">
        <v>117</v>
      </c>
      <c r="I23" s="89">
        <v>217</v>
      </c>
      <c r="J23" s="78">
        <f t="shared" ref="J23:K23" si="17">I23+(I23*0.03)</f>
        <v>223.51</v>
      </c>
      <c r="K23" s="78">
        <f t="shared" si="17"/>
        <v>230.21529999999998</v>
      </c>
      <c r="L23" s="10"/>
      <c r="M23" s="10"/>
      <c r="N23" s="13"/>
      <c r="O23" s="13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</row>
    <row r="24" spans="1:53" ht="15.75" x14ac:dyDescent="0.25">
      <c r="A24" s="13"/>
      <c r="B24" s="10" t="s">
        <v>117</v>
      </c>
      <c r="C24" s="10"/>
      <c r="D24" s="10"/>
      <c r="E24" s="10"/>
      <c r="F24" s="10"/>
      <c r="G24" s="57">
        <v>-402</v>
      </c>
      <c r="H24" s="57">
        <v>-538</v>
      </c>
      <c r="I24" s="89">
        <v>-710</v>
      </c>
      <c r="J24" s="78">
        <f t="shared" ref="J24:K24" si="18">I24+(I24*0.03)</f>
        <v>-731.3</v>
      </c>
      <c r="K24" s="78">
        <f t="shared" si="18"/>
        <v>-753.23899999999992</v>
      </c>
      <c r="L24" s="10"/>
      <c r="M24" s="10"/>
      <c r="N24" s="13"/>
      <c r="O24" s="13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</row>
    <row r="25" spans="1:53" ht="15.75" x14ac:dyDescent="0.25">
      <c r="A25" s="13"/>
      <c r="B25" s="10" t="s">
        <v>118</v>
      </c>
      <c r="C25" s="10"/>
      <c r="D25" s="10"/>
      <c r="E25" s="10"/>
      <c r="F25" s="10"/>
      <c r="G25" s="57">
        <v>344</v>
      </c>
      <c r="H25" s="57">
        <v>200</v>
      </c>
      <c r="I25" s="89">
        <v>211</v>
      </c>
      <c r="J25" s="78">
        <f t="shared" ref="J25:K25" si="19">I25+(I25*0.03)</f>
        <v>217.33</v>
      </c>
      <c r="K25" s="78">
        <f t="shared" si="19"/>
        <v>223.84990000000002</v>
      </c>
      <c r="L25" s="10"/>
      <c r="M25" s="10"/>
      <c r="N25" s="13"/>
      <c r="O25" s="13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</row>
    <row r="26" spans="1:53" ht="15.75" x14ac:dyDescent="0.25">
      <c r="A26" s="13"/>
      <c r="B26" s="10" t="s">
        <v>119</v>
      </c>
      <c r="C26" s="10"/>
      <c r="D26" s="10"/>
      <c r="E26" s="10"/>
      <c r="F26" s="10"/>
      <c r="G26" s="57">
        <v>-593</v>
      </c>
      <c r="H26" s="57">
        <v>-437</v>
      </c>
      <c r="I26" s="89">
        <v>-388</v>
      </c>
      <c r="J26" s="78">
        <f t="shared" ref="J26:K26" si="20">I26+(I26*0.03)</f>
        <v>-399.64</v>
      </c>
      <c r="K26" s="78">
        <f t="shared" si="20"/>
        <v>-411.62919999999997</v>
      </c>
      <c r="L26" s="10"/>
      <c r="M26" s="10"/>
      <c r="N26" s="13"/>
      <c r="O26" s="13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</row>
    <row r="27" spans="1:53" ht="15.75" x14ac:dyDescent="0.25">
      <c r="A27" s="13"/>
      <c r="B27" s="10" t="s">
        <v>120</v>
      </c>
      <c r="C27" s="10"/>
      <c r="D27" s="10"/>
      <c r="E27" s="10"/>
      <c r="F27" s="10"/>
      <c r="G27" s="57">
        <v>93</v>
      </c>
      <c r="H27" s="57">
        <v>160</v>
      </c>
      <c r="I27" s="89">
        <v>249</v>
      </c>
      <c r="J27" s="78">
        <f t="shared" ref="J27:K27" si="21">I27+(I27*0.03)</f>
        <v>256.47000000000003</v>
      </c>
      <c r="K27" s="78">
        <f t="shared" si="21"/>
        <v>264.16410000000002</v>
      </c>
      <c r="L27" s="10"/>
      <c r="M27" s="10"/>
      <c r="N27" s="13"/>
      <c r="O27" s="13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</row>
    <row r="28" spans="1:53" ht="16.5" thickBot="1" x14ac:dyDescent="0.3">
      <c r="A28" s="13"/>
      <c r="B28" s="10" t="s">
        <v>121</v>
      </c>
      <c r="C28" s="10"/>
      <c r="D28" s="10"/>
      <c r="E28" s="10"/>
      <c r="F28" s="10"/>
      <c r="G28" s="57">
        <v>56</v>
      </c>
      <c r="H28" s="57">
        <v>-280</v>
      </c>
      <c r="I28" s="89">
        <v>49</v>
      </c>
      <c r="J28" s="78">
        <f t="shared" ref="J28:K28" si="22">I28+(I28*0.03)</f>
        <v>50.47</v>
      </c>
      <c r="K28" s="78">
        <f t="shared" si="22"/>
        <v>51.984099999999998</v>
      </c>
      <c r="L28" s="89"/>
      <c r="M28" s="13"/>
      <c r="N28" s="13"/>
      <c r="O28" s="13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</row>
    <row r="29" spans="1:53" s="3" customFormat="1" ht="16.5" thickBot="1" x14ac:dyDescent="0.3">
      <c r="A29" s="13"/>
      <c r="B29" s="41" t="s">
        <v>113</v>
      </c>
      <c r="C29" s="41"/>
      <c r="D29" s="41"/>
      <c r="E29" s="41"/>
      <c r="F29" s="41"/>
      <c r="G29" s="83">
        <v>-1967</v>
      </c>
      <c r="H29" s="83">
        <v>-2794</v>
      </c>
      <c r="I29" s="231">
        <v>-2509</v>
      </c>
      <c r="J29" s="144">
        <f t="shared" ref="J29:K29" si="23">I29+(I29*0.03)</f>
        <v>-2584.27</v>
      </c>
      <c r="K29" s="144">
        <f t="shared" si="23"/>
        <v>-2661.7981</v>
      </c>
      <c r="L29" s="89"/>
      <c r="M29" s="13"/>
      <c r="N29" s="13"/>
      <c r="O29" s="13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</row>
    <row r="30" spans="1:53" ht="15.75" x14ac:dyDescent="0.25">
      <c r="A30" s="13"/>
      <c r="B30" s="10" t="s">
        <v>43</v>
      </c>
      <c r="C30" s="10"/>
      <c r="D30" s="10"/>
      <c r="E30" s="10"/>
      <c r="F30" s="10"/>
      <c r="G30" s="57"/>
      <c r="H30" s="57"/>
      <c r="I30" s="89"/>
      <c r="J30" s="78">
        <f t="shared" ref="J30:K30" si="24">I30+(I30*0.03)</f>
        <v>0</v>
      </c>
      <c r="K30" s="78">
        <f t="shared" si="24"/>
        <v>0</v>
      </c>
      <c r="L30" s="10"/>
      <c r="M30" s="10"/>
      <c r="N30" s="13"/>
      <c r="O30" s="13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</row>
    <row r="31" spans="1:53" ht="15.75" x14ac:dyDescent="0.25">
      <c r="A31" s="13"/>
      <c r="B31" s="10" t="s">
        <v>122</v>
      </c>
      <c r="C31" s="10"/>
      <c r="D31" s="10"/>
      <c r="E31" s="10"/>
      <c r="F31" s="10"/>
      <c r="G31" s="57">
        <v>98</v>
      </c>
      <c r="H31" s="55">
        <v>1744</v>
      </c>
      <c r="I31" s="91">
        <v>6469</v>
      </c>
      <c r="J31" s="78">
        <f t="shared" ref="J31:K31" si="25">I31+(I31*0.03)</f>
        <v>6663.07</v>
      </c>
      <c r="K31" s="78">
        <f t="shared" si="25"/>
        <v>6862.9620999999997</v>
      </c>
      <c r="L31" s="10"/>
      <c r="M31" s="10"/>
      <c r="N31" s="13"/>
      <c r="O31" s="13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</row>
    <row r="32" spans="1:53" ht="15.75" x14ac:dyDescent="0.25">
      <c r="A32" s="13"/>
      <c r="B32" s="10" t="s">
        <v>123</v>
      </c>
      <c r="C32" s="10"/>
      <c r="D32" s="10"/>
      <c r="E32" s="10"/>
      <c r="F32" s="10"/>
      <c r="G32" s="57">
        <v>-304</v>
      </c>
      <c r="H32" s="55">
        <v>-1764</v>
      </c>
      <c r="I32" s="91">
        <v>-2452</v>
      </c>
      <c r="J32" s="78">
        <f t="shared" ref="J32:K32" si="26">I32+(I32*0.03)</f>
        <v>-2525.56</v>
      </c>
      <c r="K32" s="78">
        <f t="shared" si="26"/>
        <v>-2601.3267999999998</v>
      </c>
      <c r="L32" s="10"/>
      <c r="M32" s="10"/>
      <c r="N32" s="13"/>
      <c r="O32" s="13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</row>
    <row r="33" spans="1:53" ht="15.75" x14ac:dyDescent="0.25">
      <c r="A33" s="13"/>
      <c r="B33" s="10" t="s">
        <v>124</v>
      </c>
      <c r="C33" s="10"/>
      <c r="D33" s="10"/>
      <c r="E33" s="10"/>
      <c r="F33" s="10"/>
      <c r="G33" s="57">
        <v>-346</v>
      </c>
      <c r="H33" s="57">
        <v>795</v>
      </c>
      <c r="I33" s="89">
        <v>-331</v>
      </c>
      <c r="J33" s="78">
        <f t="shared" ref="J33:K33" si="27">I33+(I33*0.03)</f>
        <v>-340.93</v>
      </c>
      <c r="K33" s="78">
        <f t="shared" si="27"/>
        <v>-351.15789999999998</v>
      </c>
      <c r="L33" s="10"/>
      <c r="M33" s="10"/>
      <c r="N33" s="13"/>
      <c r="O33" s="13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</row>
    <row r="34" spans="1:53" ht="15.75" x14ac:dyDescent="0.25">
      <c r="A34" s="13"/>
      <c r="B34" s="10" t="s">
        <v>125</v>
      </c>
      <c r="C34" s="10"/>
      <c r="D34" s="10"/>
      <c r="E34" s="10"/>
      <c r="F34" s="10"/>
      <c r="G34" s="57" t="s">
        <v>49</v>
      </c>
      <c r="H34" s="55">
        <v>1100</v>
      </c>
      <c r="I34" s="89" t="s">
        <v>49</v>
      </c>
      <c r="J34" s="78" t="e">
        <f t="shared" ref="J34:K34" si="28">I34+(I34*0.03)</f>
        <v>#VALUE!</v>
      </c>
      <c r="K34" s="78" t="e">
        <f t="shared" si="28"/>
        <v>#VALUE!</v>
      </c>
      <c r="L34" s="10"/>
      <c r="M34" s="10"/>
      <c r="N34" s="13"/>
      <c r="O34" s="13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</row>
    <row r="35" spans="1:53" ht="15.75" x14ac:dyDescent="0.25">
      <c r="A35" s="13"/>
      <c r="B35" s="10" t="s">
        <v>126</v>
      </c>
      <c r="C35" s="10"/>
      <c r="D35" s="10"/>
      <c r="E35" s="10"/>
      <c r="F35" s="10"/>
      <c r="G35" s="57">
        <v>187</v>
      </c>
      <c r="H35" s="57">
        <v>41</v>
      </c>
      <c r="I35" s="89">
        <v>13</v>
      </c>
      <c r="J35" s="78">
        <f t="shared" ref="J35:K35" si="29">I35+(I35*0.03)</f>
        <v>13.39</v>
      </c>
      <c r="K35" s="78">
        <f t="shared" si="29"/>
        <v>13.791700000000001</v>
      </c>
      <c r="L35" s="10"/>
      <c r="M35" s="10"/>
      <c r="N35" s="13"/>
      <c r="O35" s="13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</row>
    <row r="36" spans="1:53" ht="15.75" x14ac:dyDescent="0.25">
      <c r="A36" s="13"/>
      <c r="B36" s="10" t="s">
        <v>127</v>
      </c>
      <c r="C36" s="10"/>
      <c r="D36" s="10"/>
      <c r="E36" s="10"/>
      <c r="F36" s="10"/>
      <c r="G36" s="55">
        <v>-2048</v>
      </c>
      <c r="H36" s="55">
        <v>-2184</v>
      </c>
      <c r="I36" s="91">
        <v>-2069</v>
      </c>
      <c r="J36" s="78">
        <f t="shared" ref="J36:K36" si="30">I36+(I36*0.03)</f>
        <v>-2131.0700000000002</v>
      </c>
      <c r="K36" s="78">
        <f t="shared" si="30"/>
        <v>-2195.0021000000002</v>
      </c>
      <c r="L36" s="10"/>
      <c r="M36" s="10"/>
      <c r="N36" s="13"/>
      <c r="O36" s="13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</row>
    <row r="37" spans="1:53" ht="15.75" x14ac:dyDescent="0.25">
      <c r="A37" s="13"/>
      <c r="B37" s="10" t="s">
        <v>128</v>
      </c>
      <c r="C37" s="10"/>
      <c r="D37" s="10"/>
      <c r="E37" s="10"/>
      <c r="F37" s="10"/>
      <c r="G37" s="55">
        <v>-1500</v>
      </c>
      <c r="H37" s="55">
        <v>-10000</v>
      </c>
      <c r="I37" s="91">
        <v>-2254</v>
      </c>
      <c r="J37" s="78">
        <f t="shared" ref="J37:K37" si="31">I37+(I37*0.03)</f>
        <v>-2321.62</v>
      </c>
      <c r="K37" s="78">
        <f t="shared" si="31"/>
        <v>-2391.2685999999999</v>
      </c>
      <c r="L37" s="10"/>
      <c r="M37" s="10"/>
      <c r="N37" s="13"/>
      <c r="O37" s="13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</row>
    <row r="38" spans="1:53" ht="16.5" thickBot="1" x14ac:dyDescent="0.3">
      <c r="A38" s="13"/>
      <c r="B38" s="10" t="s">
        <v>129</v>
      </c>
      <c r="C38" s="10"/>
      <c r="D38" s="10"/>
      <c r="E38" s="10"/>
      <c r="F38" s="10"/>
      <c r="G38" s="57"/>
      <c r="H38" s="57"/>
      <c r="I38" s="89"/>
      <c r="J38" s="78">
        <f t="shared" ref="J38:K38" si="32">I38+(I38*0.03)</f>
        <v>0</v>
      </c>
      <c r="K38" s="78">
        <f t="shared" si="32"/>
        <v>0</v>
      </c>
      <c r="L38" s="89"/>
      <c r="M38" s="13"/>
      <c r="N38" s="13"/>
      <c r="O38" s="13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</row>
    <row r="39" spans="1:53" s="3" customFormat="1" ht="16.5" thickBot="1" x14ac:dyDescent="0.3">
      <c r="A39" s="13"/>
      <c r="B39" s="41" t="s">
        <v>130</v>
      </c>
      <c r="C39" s="41"/>
      <c r="D39" s="41"/>
      <c r="E39" s="41"/>
      <c r="F39" s="41"/>
      <c r="G39" s="83">
        <v>-4249</v>
      </c>
      <c r="H39" s="83">
        <v>-10776</v>
      </c>
      <c r="I39" s="92">
        <v>-1188</v>
      </c>
      <c r="J39" s="144">
        <f t="shared" ref="J39:K39" si="33">I39+(I39*0.03)</f>
        <v>-1223.6400000000001</v>
      </c>
      <c r="K39" s="144">
        <f t="shared" si="33"/>
        <v>-1260.3492000000001</v>
      </c>
      <c r="L39" s="89"/>
      <c r="M39" s="13"/>
      <c r="N39" s="13"/>
      <c r="O39" s="13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</row>
    <row r="40" spans="1:53" ht="15.75" x14ac:dyDescent="0.25">
      <c r="A40" s="13"/>
      <c r="B40" s="10" t="s">
        <v>44</v>
      </c>
      <c r="C40" s="10"/>
      <c r="D40" s="10"/>
      <c r="E40" s="10"/>
      <c r="F40" s="10"/>
      <c r="G40" s="57"/>
      <c r="H40" s="57"/>
      <c r="I40" s="89"/>
      <c r="J40" s="78">
        <f t="shared" ref="J40:K40" si="34">I40+(I40*0.03)</f>
        <v>0</v>
      </c>
      <c r="K40" s="78">
        <f t="shared" si="34"/>
        <v>0</v>
      </c>
      <c r="L40" s="10"/>
      <c r="M40" s="10"/>
      <c r="N40" s="13"/>
      <c r="O40" s="13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</row>
    <row r="41" spans="1:53" ht="15.75" x14ac:dyDescent="0.25">
      <c r="A41" s="13"/>
      <c r="B41" s="10" t="s">
        <v>131</v>
      </c>
      <c r="C41" s="10"/>
      <c r="D41" s="10"/>
      <c r="E41" s="10"/>
      <c r="F41" s="10"/>
      <c r="G41" s="57">
        <v>342</v>
      </c>
      <c r="H41" s="57">
        <v>-372</v>
      </c>
      <c r="I41" s="91">
        <v>-2532</v>
      </c>
      <c r="J41" s="78">
        <f t="shared" ref="J41:K41" si="35">I41+(I41*0.03)</f>
        <v>-2607.96</v>
      </c>
      <c r="K41" s="78">
        <f t="shared" si="35"/>
        <v>-2686.1988000000001</v>
      </c>
      <c r="L41" s="10"/>
      <c r="M41" s="10"/>
      <c r="N41" s="13"/>
      <c r="O41" s="13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</row>
    <row r="42" spans="1:53" ht="15.75" x14ac:dyDescent="0.25">
      <c r="A42" s="13"/>
      <c r="B42" s="10" t="s">
        <v>132</v>
      </c>
      <c r="C42" s="10"/>
      <c r="D42" s="10"/>
      <c r="E42" s="10"/>
      <c r="F42" s="10"/>
      <c r="G42" s="57">
        <v>-113</v>
      </c>
      <c r="H42" s="55">
        <v>9000</v>
      </c>
      <c r="I42" s="89">
        <v>6</v>
      </c>
      <c r="J42" s="78">
        <f t="shared" ref="J42:K42" si="36">I42+(I42*0.03)</f>
        <v>6.18</v>
      </c>
      <c r="K42" s="78">
        <f t="shared" si="36"/>
        <v>6.3653999999999993</v>
      </c>
      <c r="L42" s="10"/>
      <c r="M42" s="10"/>
      <c r="N42" s="13"/>
      <c r="O42" s="13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</row>
    <row r="43" spans="1:53" ht="16.5" thickBot="1" x14ac:dyDescent="0.3">
      <c r="A43" s="13"/>
      <c r="B43" s="10" t="s">
        <v>133</v>
      </c>
      <c r="C43" s="10"/>
      <c r="D43" s="10"/>
      <c r="E43" s="10"/>
      <c r="F43" s="10"/>
      <c r="G43" s="57">
        <v>-12</v>
      </c>
      <c r="H43" s="57">
        <v>-9</v>
      </c>
      <c r="I43" s="89" t="s">
        <v>72</v>
      </c>
      <c r="J43" s="78" t="e">
        <f t="shared" ref="J43:K43" si="37">I43+(I43*0.03)</f>
        <v>#VALUE!</v>
      </c>
      <c r="K43" s="78" t="e">
        <f t="shared" si="37"/>
        <v>#VALUE!</v>
      </c>
      <c r="L43" s="89"/>
      <c r="M43" s="13"/>
      <c r="N43" s="13"/>
      <c r="O43" s="13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</row>
    <row r="44" spans="1:53" s="3" customFormat="1" ht="16.5" thickBot="1" x14ac:dyDescent="0.3">
      <c r="A44" s="13"/>
      <c r="B44" s="41" t="s">
        <v>134</v>
      </c>
      <c r="C44" s="41"/>
      <c r="D44" s="41"/>
      <c r="E44" s="41"/>
      <c r="F44" s="41"/>
      <c r="G44" s="84">
        <v>217</v>
      </c>
      <c r="H44" s="83">
        <v>8619</v>
      </c>
      <c r="I44" s="92">
        <v>-2526</v>
      </c>
      <c r="J44" s="232">
        <f t="shared" ref="J44:K44" si="38">I44+(I44*0.03)</f>
        <v>-2601.7800000000002</v>
      </c>
      <c r="K44" s="233">
        <f t="shared" si="38"/>
        <v>-2679.8334</v>
      </c>
      <c r="L44" s="13"/>
      <c r="M44" s="13"/>
      <c r="N44" s="13"/>
      <c r="O44" s="13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</row>
    <row r="45" spans="1:53" s="3" customFormat="1" ht="16.5" thickBot="1" x14ac:dyDescent="0.3">
      <c r="A45" s="13"/>
      <c r="B45" s="41" t="s">
        <v>135</v>
      </c>
      <c r="C45" s="41"/>
      <c r="D45" s="41"/>
      <c r="E45" s="41"/>
      <c r="F45" s="41"/>
      <c r="G45" s="84">
        <v>-156</v>
      </c>
      <c r="H45" s="84">
        <v>-174</v>
      </c>
      <c r="I45" s="93">
        <v>-120</v>
      </c>
      <c r="J45" s="232">
        <f t="shared" ref="J45:K45" si="39">I45+(I45*0.03)</f>
        <v>-123.6</v>
      </c>
      <c r="K45" s="233">
        <f t="shared" si="39"/>
        <v>-127.30799999999999</v>
      </c>
      <c r="L45" s="13"/>
      <c r="M45" s="13"/>
      <c r="N45" s="13"/>
      <c r="O45" s="13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</row>
    <row r="46" spans="1:53" ht="15.75" x14ac:dyDescent="0.25">
      <c r="A46" s="13"/>
      <c r="B46" s="10" t="s">
        <v>136</v>
      </c>
      <c r="C46" s="10"/>
      <c r="D46" s="10"/>
      <c r="E46" s="10"/>
      <c r="F46" s="10"/>
      <c r="G46" s="57">
        <v>824</v>
      </c>
      <c r="H46" s="55">
        <v>1630</v>
      </c>
      <c r="I46" s="89">
        <v>69</v>
      </c>
      <c r="J46" s="78">
        <f t="shared" ref="J46:K46" si="40">I46+(I46*0.03)</f>
        <v>71.069999999999993</v>
      </c>
      <c r="K46" s="78">
        <f t="shared" si="40"/>
        <v>73.202099999999987</v>
      </c>
      <c r="L46" s="10"/>
      <c r="M46" s="10"/>
      <c r="N46" s="13"/>
      <c r="O46" s="13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</row>
    <row r="47" spans="1:53" s="7" customFormat="1" ht="15.75" x14ac:dyDescent="0.25">
      <c r="A47" s="13"/>
      <c r="B47" s="37" t="s">
        <v>137</v>
      </c>
      <c r="C47" s="37"/>
      <c r="D47" s="37"/>
      <c r="E47" s="37"/>
      <c r="F47" s="37"/>
      <c r="G47" s="56">
        <v>4666</v>
      </c>
      <c r="H47" s="56">
        <v>5490</v>
      </c>
      <c r="I47" s="94">
        <v>7120</v>
      </c>
      <c r="J47" s="78">
        <f t="shared" ref="J47:K47" si="41">I47+(I47*0.03)</f>
        <v>7333.6</v>
      </c>
      <c r="K47" s="78">
        <f t="shared" si="41"/>
        <v>7553.6080000000002</v>
      </c>
      <c r="L47" s="89"/>
      <c r="M47" s="13"/>
      <c r="N47" s="13"/>
      <c r="O47" s="13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</row>
    <row r="48" spans="1:53" ht="15.75" x14ac:dyDescent="0.25">
      <c r="A48" s="13"/>
      <c r="B48" s="10" t="s">
        <v>138</v>
      </c>
      <c r="C48" s="10"/>
      <c r="D48" s="10"/>
      <c r="E48" s="10"/>
      <c r="F48" s="10"/>
      <c r="G48" s="55">
        <v>5490</v>
      </c>
      <c r="H48" s="55">
        <v>7120</v>
      </c>
      <c r="I48" s="91">
        <v>7189</v>
      </c>
      <c r="J48" s="78">
        <f t="shared" ref="J48:K48" si="42">I48+(I48*0.03)</f>
        <v>7404.67</v>
      </c>
      <c r="K48" s="78">
        <f t="shared" si="42"/>
        <v>7626.8100999999997</v>
      </c>
      <c r="L48" s="10"/>
      <c r="M48" s="10"/>
      <c r="N48" s="13"/>
      <c r="O48" s="13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</row>
    <row r="49" spans="1:53" ht="15.75" x14ac:dyDescent="0.25">
      <c r="A49" s="13"/>
      <c r="B49" s="10" t="s">
        <v>139</v>
      </c>
      <c r="C49" s="10"/>
      <c r="D49" s="10"/>
      <c r="E49" s="10"/>
      <c r="F49" s="10"/>
      <c r="G49" s="57">
        <v>6</v>
      </c>
      <c r="H49" s="57" t="s">
        <v>72</v>
      </c>
      <c r="I49" s="89" t="s">
        <v>140</v>
      </c>
      <c r="J49" s="78" t="e">
        <f t="shared" ref="J49:K49" si="43">I49+(I49*0.03)</f>
        <v>#VALUE!</v>
      </c>
      <c r="K49" s="78" t="e">
        <f t="shared" si="43"/>
        <v>#VALUE!</v>
      </c>
      <c r="L49" s="10"/>
      <c r="M49" s="10"/>
      <c r="N49" s="13"/>
      <c r="O49" s="13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</row>
    <row r="50" spans="1:53" ht="15.75" x14ac:dyDescent="0.25">
      <c r="A50" s="13"/>
      <c r="B50" s="10" t="s">
        <v>141</v>
      </c>
      <c r="C50" s="10"/>
      <c r="D50" s="10"/>
      <c r="E50" s="10"/>
      <c r="F50" s="10"/>
      <c r="G50" s="57">
        <v>255</v>
      </c>
      <c r="H50" s="57">
        <v>45</v>
      </c>
      <c r="I50" s="89">
        <v>32</v>
      </c>
      <c r="J50" s="78">
        <f t="shared" ref="J50:K50" si="44">I50+(I50*0.03)</f>
        <v>32.96</v>
      </c>
      <c r="K50" s="78">
        <f t="shared" si="44"/>
        <v>33.948799999999999</v>
      </c>
      <c r="L50" s="89"/>
      <c r="M50" s="13"/>
      <c r="N50" s="13"/>
      <c r="O50" s="13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</row>
    <row r="51" spans="1:53" s="4" customFormat="1" ht="16.5" thickBot="1" x14ac:dyDescent="0.3">
      <c r="A51" s="13"/>
      <c r="B51" s="38" t="s">
        <v>142</v>
      </c>
      <c r="C51" s="38"/>
      <c r="D51" s="38"/>
      <c r="E51" s="38"/>
      <c r="F51" s="38"/>
      <c r="G51" s="58">
        <v>5229</v>
      </c>
      <c r="H51" s="58">
        <v>7075</v>
      </c>
      <c r="I51" s="95">
        <v>7157</v>
      </c>
      <c r="J51" s="234">
        <f t="shared" ref="J51:K51" si="45">I51+(I51*0.03)</f>
        <v>7371.71</v>
      </c>
      <c r="K51" s="234">
        <f t="shared" si="45"/>
        <v>7592.8613000000005</v>
      </c>
      <c r="L51" s="89"/>
      <c r="M51" s="13"/>
      <c r="N51" s="13"/>
      <c r="O51" s="13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</row>
    <row r="52" spans="1:53" ht="15.75" x14ac:dyDescent="0.25">
      <c r="A52" s="13"/>
      <c r="B52" s="10" t="s">
        <v>45</v>
      </c>
      <c r="C52" s="10"/>
      <c r="D52" s="10"/>
      <c r="E52" s="10"/>
      <c r="F52" s="10"/>
      <c r="G52" s="57"/>
      <c r="H52" s="57"/>
      <c r="I52" s="89"/>
      <c r="J52" s="78">
        <f t="shared" ref="J52:K52" si="46">I52+(I52*0.03)</f>
        <v>0</v>
      </c>
      <c r="K52" s="78">
        <f t="shared" si="46"/>
        <v>0</v>
      </c>
      <c r="L52" s="10"/>
      <c r="M52" s="10"/>
      <c r="N52" s="13"/>
      <c r="O52" s="13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</row>
    <row r="53" spans="1:53" ht="15.75" x14ac:dyDescent="0.25">
      <c r="A53" s="13"/>
      <c r="B53" s="10" t="s">
        <v>143</v>
      </c>
      <c r="C53" s="10"/>
      <c r="D53" s="10"/>
      <c r="E53" s="10"/>
      <c r="F53" s="10"/>
      <c r="G53" s="61">
        <v>1076</v>
      </c>
      <c r="H53" s="61">
        <v>1057</v>
      </c>
      <c r="I53" s="90">
        <v>1157</v>
      </c>
      <c r="J53" s="78">
        <f t="shared" ref="J53:K53" si="47">I53+(I53*0.03)</f>
        <v>1191.71</v>
      </c>
      <c r="K53" s="78">
        <f t="shared" si="47"/>
        <v>1227.4612999999999</v>
      </c>
      <c r="L53" s="10"/>
      <c r="M53" s="10"/>
      <c r="N53" s="13"/>
      <c r="O53" s="13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</row>
    <row r="54" spans="1:53" ht="15.75" x14ac:dyDescent="0.25">
      <c r="A54" s="13"/>
      <c r="B54" s="10" t="s">
        <v>144</v>
      </c>
      <c r="C54" s="10"/>
      <c r="D54" s="10"/>
      <c r="E54" s="10"/>
      <c r="F54" s="10"/>
      <c r="G54" s="61">
        <v>2024</v>
      </c>
      <c r="H54" s="61">
        <v>2060</v>
      </c>
      <c r="I54" s="90">
        <v>4096</v>
      </c>
      <c r="J54" s="78">
        <f t="shared" ref="J54:K54" si="48">I54+(I54*0.03)</f>
        <v>4218.88</v>
      </c>
      <c r="K54" s="78">
        <f t="shared" si="48"/>
        <v>4345.4463999999998</v>
      </c>
      <c r="L54" s="10"/>
      <c r="M54" s="10"/>
      <c r="N54" s="13"/>
      <c r="O54" s="13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</row>
    <row r="55" spans="1:53" ht="15.75" x14ac:dyDescent="0.25">
      <c r="A55" s="13"/>
      <c r="B55" s="10" t="s">
        <v>46</v>
      </c>
      <c r="C55" s="10"/>
      <c r="D55" s="10"/>
      <c r="E55" s="10"/>
      <c r="F55" s="10"/>
      <c r="G55" s="57"/>
      <c r="H55" s="57"/>
      <c r="I55" s="89"/>
      <c r="J55" s="78">
        <f t="shared" ref="J55:K55" si="49">I55+(I55*0.03)</f>
        <v>0</v>
      </c>
      <c r="K55" s="78">
        <f t="shared" si="49"/>
        <v>0</v>
      </c>
      <c r="L55" s="10"/>
      <c r="M55" s="10"/>
      <c r="N55" s="13"/>
      <c r="O55" s="13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</row>
    <row r="56" spans="1:53" s="5" customFormat="1" ht="16.5" thickBot="1" x14ac:dyDescent="0.3">
      <c r="A56" s="13"/>
      <c r="B56" s="39" t="s">
        <v>145</v>
      </c>
      <c r="C56" s="39"/>
      <c r="D56" s="39"/>
      <c r="E56" s="39"/>
      <c r="F56" s="39"/>
      <c r="G56" s="87" t="s">
        <v>147</v>
      </c>
      <c r="H56" s="235">
        <v>250</v>
      </c>
      <c r="I56" s="236" t="s">
        <v>146</v>
      </c>
      <c r="J56" s="82" t="e">
        <f t="shared" ref="J56:K56" si="50">I56+(I56*0.03)</f>
        <v>#VALUE!</v>
      </c>
      <c r="K56" s="82" t="e">
        <f t="shared" si="50"/>
        <v>#VALUE!</v>
      </c>
      <c r="L56" s="89"/>
      <c r="M56" s="13"/>
      <c r="N56" s="13"/>
      <c r="O56" s="13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</row>
    <row r="57" spans="1:53" ht="15.75" x14ac:dyDescent="0.25">
      <c r="A57" s="13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3"/>
      <c r="O57" s="13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</row>
    <row r="58" spans="1:53" ht="15.75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3"/>
      <c r="O58" s="13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</row>
    <row r="59" spans="1:53" ht="15.75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3"/>
      <c r="O59" s="13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</row>
    <row r="60" spans="1:53" ht="15.75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3"/>
      <c r="O60" s="13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</row>
    <row r="61" spans="1:53" ht="15.75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3"/>
      <c r="O61" s="13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</row>
    <row r="62" spans="1:53" ht="15.75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3"/>
      <c r="O62" s="13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</row>
    <row r="63" spans="1:53" ht="15.75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3"/>
      <c r="O63" s="13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</row>
    <row r="64" spans="1:53" x14ac:dyDescent="0.25"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</row>
    <row r="65" spans="14:53" x14ac:dyDescent="0.25"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</row>
    <row r="66" spans="14:53" x14ac:dyDescent="0.25"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</row>
    <row r="67" spans="14:53" x14ac:dyDescent="0.25"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</row>
    <row r="68" spans="14:53" x14ac:dyDescent="0.25"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</row>
    <row r="69" spans="14:53" x14ac:dyDescent="0.25"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</row>
    <row r="70" spans="14:53" x14ac:dyDescent="0.25"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</row>
    <row r="71" spans="14:53" x14ac:dyDescent="0.25"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</row>
    <row r="72" spans="14:53" x14ac:dyDescent="0.25"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</row>
    <row r="73" spans="14:53" x14ac:dyDescent="0.25"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</row>
    <row r="74" spans="14:53" x14ac:dyDescent="0.25"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</row>
    <row r="75" spans="14:53" x14ac:dyDescent="0.25"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</row>
    <row r="76" spans="14:53" x14ac:dyDescent="0.25"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</row>
    <row r="77" spans="14:53" x14ac:dyDescent="0.25"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</row>
    <row r="78" spans="14:53" x14ac:dyDescent="0.25"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</row>
    <row r="79" spans="14:53" x14ac:dyDescent="0.25"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</row>
    <row r="80" spans="14:53" x14ac:dyDescent="0.25"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</row>
    <row r="81" spans="14:53" x14ac:dyDescent="0.25"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</row>
    <row r="82" spans="14:53" x14ac:dyDescent="0.25"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</row>
    <row r="83" spans="14:53" x14ac:dyDescent="0.25"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</row>
    <row r="84" spans="14:53" x14ac:dyDescent="0.25"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</row>
    <row r="85" spans="14:53" x14ac:dyDescent="0.25"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</row>
    <row r="86" spans="14:53" x14ac:dyDescent="0.25"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</row>
    <row r="87" spans="14:53" x14ac:dyDescent="0.25"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</row>
    <row r="88" spans="14:53" x14ac:dyDescent="0.25"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</row>
    <row r="89" spans="14:53" x14ac:dyDescent="0.25"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</row>
    <row r="90" spans="14:53" x14ac:dyDescent="0.25"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</row>
    <row r="91" spans="14:53" x14ac:dyDescent="0.25"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</row>
    <row r="92" spans="14:53" x14ac:dyDescent="0.25"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</row>
    <row r="93" spans="14:53" x14ac:dyDescent="0.25"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</row>
    <row r="94" spans="14:53" x14ac:dyDescent="0.25"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</row>
    <row r="95" spans="14:53" x14ac:dyDescent="0.25"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</row>
    <row r="96" spans="14:53" x14ac:dyDescent="0.25"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</row>
    <row r="97" spans="14:53" x14ac:dyDescent="0.25"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</row>
    <row r="98" spans="14:53" x14ac:dyDescent="0.25"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</row>
    <row r="99" spans="14:53" x14ac:dyDescent="0.25"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</row>
    <row r="100" spans="14:53" x14ac:dyDescent="0.25"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</row>
    <row r="101" spans="14:53" x14ac:dyDescent="0.25"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</row>
    <row r="102" spans="14:53" x14ac:dyDescent="0.25"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</row>
    <row r="103" spans="14:53" x14ac:dyDescent="0.25"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</row>
    <row r="104" spans="14:53" x14ac:dyDescent="0.25"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</row>
    <row r="105" spans="14:53" x14ac:dyDescent="0.25"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</row>
    <row r="106" spans="14:53" x14ac:dyDescent="0.25"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</row>
    <row r="107" spans="14:53" x14ac:dyDescent="0.25"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</row>
    <row r="108" spans="14:53" x14ac:dyDescent="0.25"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</row>
    <row r="109" spans="14:53" x14ac:dyDescent="0.25"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</row>
    <row r="110" spans="14:53" x14ac:dyDescent="0.25"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</row>
    <row r="111" spans="14:53" x14ac:dyDescent="0.25"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</row>
    <row r="112" spans="14:53" x14ac:dyDescent="0.25"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</row>
    <row r="113" spans="14:53" x14ac:dyDescent="0.25"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</row>
    <row r="114" spans="14:53" x14ac:dyDescent="0.25"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</row>
    <row r="115" spans="14:53" x14ac:dyDescent="0.25"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</row>
    <row r="116" spans="14:53" x14ac:dyDescent="0.25"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</row>
    <row r="117" spans="14:53" x14ac:dyDescent="0.25"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</row>
    <row r="118" spans="14:53" x14ac:dyDescent="0.25"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</row>
    <row r="119" spans="14:53" x14ac:dyDescent="0.25"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</row>
    <row r="120" spans="14:53" x14ac:dyDescent="0.25"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</row>
    <row r="121" spans="14:53" x14ac:dyDescent="0.25"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</row>
    <row r="122" spans="14:53" x14ac:dyDescent="0.25"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</row>
    <row r="123" spans="14:53" x14ac:dyDescent="0.25"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</row>
    <row r="124" spans="14:53" x14ac:dyDescent="0.25"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</row>
    <row r="125" spans="14:53" x14ac:dyDescent="0.25"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</row>
    <row r="126" spans="14:53" x14ac:dyDescent="0.25"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</row>
    <row r="127" spans="14:53" x14ac:dyDescent="0.25"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</row>
    <row r="128" spans="14:53" x14ac:dyDescent="0.25"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</row>
    <row r="129" spans="14:53" x14ac:dyDescent="0.25"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</row>
    <row r="130" spans="14:53" x14ac:dyDescent="0.25"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</row>
    <row r="131" spans="14:53" x14ac:dyDescent="0.25"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</row>
    <row r="132" spans="14:53" x14ac:dyDescent="0.25"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</row>
    <row r="133" spans="14:53" x14ac:dyDescent="0.25"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</row>
    <row r="134" spans="14:53" x14ac:dyDescent="0.25"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</row>
    <row r="135" spans="14:53" x14ac:dyDescent="0.25"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</row>
    <row r="136" spans="14:53" x14ac:dyDescent="0.25"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</row>
    <row r="137" spans="14:53" x14ac:dyDescent="0.25"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</row>
    <row r="138" spans="14:53" x14ac:dyDescent="0.25"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</row>
    <row r="139" spans="14:53" x14ac:dyDescent="0.25"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</row>
    <row r="140" spans="14:53" x14ac:dyDescent="0.25"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</row>
    <row r="141" spans="14:53" x14ac:dyDescent="0.25"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</row>
    <row r="142" spans="14:53" x14ac:dyDescent="0.25"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</row>
    <row r="143" spans="14:53" x14ac:dyDescent="0.25"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</row>
    <row r="144" spans="14:53" x14ac:dyDescent="0.25"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</row>
    <row r="145" spans="14:53" x14ac:dyDescent="0.25"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</row>
    <row r="146" spans="14:53" x14ac:dyDescent="0.25"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</row>
    <row r="147" spans="14:53" x14ac:dyDescent="0.25"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</row>
    <row r="148" spans="14:53" x14ac:dyDescent="0.25"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</row>
    <row r="149" spans="14:53" x14ac:dyDescent="0.25"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</row>
    <row r="150" spans="14:53" x14ac:dyDescent="0.25"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</row>
    <row r="151" spans="14:53" x14ac:dyDescent="0.25"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</row>
    <row r="152" spans="14:53" x14ac:dyDescent="0.25"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</row>
    <row r="153" spans="14:53" x14ac:dyDescent="0.25"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</row>
    <row r="154" spans="14:53" x14ac:dyDescent="0.25"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</row>
    <row r="155" spans="14:53" x14ac:dyDescent="0.25"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</row>
    <row r="156" spans="14:53" x14ac:dyDescent="0.25"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</row>
    <row r="157" spans="14:53" x14ac:dyDescent="0.25"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</row>
    <row r="158" spans="14:53" x14ac:dyDescent="0.25"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</row>
    <row r="159" spans="14:53" x14ac:dyDescent="0.25"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</row>
    <row r="160" spans="14:53" x14ac:dyDescent="0.25"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</row>
    <row r="161" spans="14:53" x14ac:dyDescent="0.25"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</row>
    <row r="162" spans="14:53" x14ac:dyDescent="0.25"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</row>
    <row r="163" spans="14:53" x14ac:dyDescent="0.25"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</row>
    <row r="164" spans="14:53" x14ac:dyDescent="0.25"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</row>
    <row r="165" spans="14:53" x14ac:dyDescent="0.25"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</row>
    <row r="166" spans="14:53" x14ac:dyDescent="0.25"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</row>
    <row r="167" spans="14:53" x14ac:dyDescent="0.25"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</row>
    <row r="168" spans="14:53" x14ac:dyDescent="0.25"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</row>
    <row r="169" spans="14:53" x14ac:dyDescent="0.25"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</row>
    <row r="170" spans="14:53" x14ac:dyDescent="0.25"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</row>
    <row r="171" spans="14:53" x14ac:dyDescent="0.25"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</row>
    <row r="172" spans="14:53" x14ac:dyDescent="0.25"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</row>
    <row r="173" spans="14:53" x14ac:dyDescent="0.25"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</row>
    <row r="174" spans="14:53" x14ac:dyDescent="0.25"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</row>
    <row r="175" spans="14:53" x14ac:dyDescent="0.25"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</row>
    <row r="176" spans="14:53" x14ac:dyDescent="0.25"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</row>
    <row r="177" spans="14:53" x14ac:dyDescent="0.25"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</row>
    <row r="178" spans="14:53" x14ac:dyDescent="0.25"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</row>
    <row r="179" spans="14:53" x14ac:dyDescent="0.25"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</row>
    <row r="180" spans="14:53" x14ac:dyDescent="0.25"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</row>
    <row r="181" spans="14:53" x14ac:dyDescent="0.25"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</row>
    <row r="182" spans="14:53" x14ac:dyDescent="0.25"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</row>
    <row r="183" spans="14:53" x14ac:dyDescent="0.25"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</row>
    <row r="184" spans="14:53" x14ac:dyDescent="0.25"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</row>
    <row r="185" spans="14:53" x14ac:dyDescent="0.25"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</row>
    <row r="186" spans="14:53" x14ac:dyDescent="0.25"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</row>
    <row r="187" spans="14:53" x14ac:dyDescent="0.25"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</row>
    <row r="188" spans="14:53" x14ac:dyDescent="0.25"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</row>
    <row r="189" spans="14:53" x14ac:dyDescent="0.25"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</row>
    <row r="190" spans="14:53" x14ac:dyDescent="0.25"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</row>
    <row r="191" spans="14:53" x14ac:dyDescent="0.25"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</row>
    <row r="192" spans="14:53" x14ac:dyDescent="0.25"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</row>
    <row r="193" spans="14:53" x14ac:dyDescent="0.25"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</row>
    <row r="194" spans="14:53" x14ac:dyDescent="0.25"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</row>
    <row r="195" spans="14:53" x14ac:dyDescent="0.25"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</row>
    <row r="196" spans="14:53" x14ac:dyDescent="0.25"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</row>
    <row r="197" spans="14:53" x14ac:dyDescent="0.25"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</row>
    <row r="198" spans="14:53" x14ac:dyDescent="0.25"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</row>
    <row r="199" spans="14:53" x14ac:dyDescent="0.25"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</row>
    <row r="200" spans="14:53" x14ac:dyDescent="0.25"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</row>
    <row r="201" spans="14:53" x14ac:dyDescent="0.25"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</row>
    <row r="202" spans="14:53" x14ac:dyDescent="0.25"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</row>
    <row r="203" spans="14:53" x14ac:dyDescent="0.25"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</row>
    <row r="204" spans="14:53" x14ac:dyDescent="0.25"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</row>
    <row r="205" spans="14:53" x14ac:dyDescent="0.25"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</row>
    <row r="206" spans="14:53" x14ac:dyDescent="0.25"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</row>
    <row r="207" spans="14:53" x14ac:dyDescent="0.25"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</row>
    <row r="208" spans="14:53" x14ac:dyDescent="0.25"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</row>
    <row r="209" spans="14:53" x14ac:dyDescent="0.25"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</row>
    <row r="210" spans="14:53" x14ac:dyDescent="0.25"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</row>
    <row r="211" spans="14:53" x14ac:dyDescent="0.25"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</row>
    <row r="212" spans="14:53" x14ac:dyDescent="0.25"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</row>
    <row r="213" spans="14:53" x14ac:dyDescent="0.25"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</row>
    <row r="214" spans="14:53" x14ac:dyDescent="0.25"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</row>
    <row r="215" spans="14:53" x14ac:dyDescent="0.25"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</row>
    <row r="216" spans="14:53" x14ac:dyDescent="0.25"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</row>
    <row r="217" spans="14:53" x14ac:dyDescent="0.25"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</row>
    <row r="218" spans="14:53" x14ac:dyDescent="0.25"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</row>
    <row r="219" spans="14:53" x14ac:dyDescent="0.25"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</row>
    <row r="220" spans="14:53" x14ac:dyDescent="0.25"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</row>
    <row r="221" spans="14:53" x14ac:dyDescent="0.25"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</row>
    <row r="222" spans="14:53" x14ac:dyDescent="0.25"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</row>
    <row r="223" spans="14:53" x14ac:dyDescent="0.25"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</row>
    <row r="224" spans="14:53" x14ac:dyDescent="0.25"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</row>
    <row r="225" spans="14:53" x14ac:dyDescent="0.25"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</row>
    <row r="226" spans="14:53" x14ac:dyDescent="0.25"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</row>
    <row r="227" spans="14:53" x14ac:dyDescent="0.25"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</row>
    <row r="228" spans="14:53" x14ac:dyDescent="0.25"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</row>
    <row r="229" spans="14:53" x14ac:dyDescent="0.25"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</row>
    <row r="230" spans="14:53" x14ac:dyDescent="0.25"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</row>
    <row r="231" spans="14:53" x14ac:dyDescent="0.25"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</row>
    <row r="232" spans="14:53" x14ac:dyDescent="0.25"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</row>
    <row r="233" spans="14:53" x14ac:dyDescent="0.25"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</row>
    <row r="234" spans="14:53" x14ac:dyDescent="0.25"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</row>
    <row r="235" spans="14:53" x14ac:dyDescent="0.25"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</row>
    <row r="236" spans="14:53" x14ac:dyDescent="0.25"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</row>
    <row r="237" spans="14:53" x14ac:dyDescent="0.25"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</row>
    <row r="238" spans="14:53" x14ac:dyDescent="0.25"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</row>
    <row r="239" spans="14:53" x14ac:dyDescent="0.25"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</row>
    <row r="240" spans="14:53" x14ac:dyDescent="0.25"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</row>
    <row r="241" spans="14:53" x14ac:dyDescent="0.25"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</row>
    <row r="242" spans="14:53" x14ac:dyDescent="0.25"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</row>
    <row r="243" spans="14:53" x14ac:dyDescent="0.25"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</row>
    <row r="244" spans="14:53" x14ac:dyDescent="0.25"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</row>
    <row r="245" spans="14:53" x14ac:dyDescent="0.25"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</row>
    <row r="246" spans="14:53" x14ac:dyDescent="0.25"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</row>
    <row r="247" spans="14:53" x14ac:dyDescent="0.25"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</row>
    <row r="248" spans="14:53" x14ac:dyDescent="0.25"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</row>
    <row r="249" spans="14:53" x14ac:dyDescent="0.25"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</row>
    <row r="250" spans="14:53" x14ac:dyDescent="0.25"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</row>
    <row r="251" spans="14:53" x14ac:dyDescent="0.25"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</row>
    <row r="252" spans="14:53" x14ac:dyDescent="0.25"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</row>
    <row r="253" spans="14:53" x14ac:dyDescent="0.25"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</row>
    <row r="254" spans="14:53" x14ac:dyDescent="0.25"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</row>
    <row r="255" spans="14:53" x14ac:dyDescent="0.25"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</row>
    <row r="256" spans="14:53" x14ac:dyDescent="0.25"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</row>
    <row r="257" spans="14:53" x14ac:dyDescent="0.25"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</row>
    <row r="258" spans="14:53" x14ac:dyDescent="0.25"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</row>
    <row r="259" spans="14:53" x14ac:dyDescent="0.25"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</row>
    <row r="260" spans="14:53" x14ac:dyDescent="0.25"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</row>
    <row r="261" spans="14:53" x14ac:dyDescent="0.25"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</row>
    <row r="262" spans="14:53" x14ac:dyDescent="0.25"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</row>
    <row r="263" spans="14:53" x14ac:dyDescent="0.25"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</row>
    <row r="264" spans="14:53" x14ac:dyDescent="0.25"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</row>
    <row r="265" spans="14:53" x14ac:dyDescent="0.25"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</row>
    <row r="266" spans="14:53" x14ac:dyDescent="0.25"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</row>
    <row r="267" spans="14:53" x14ac:dyDescent="0.25"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</row>
    <row r="268" spans="14:53" x14ac:dyDescent="0.25"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</row>
    <row r="269" spans="14:53" x14ac:dyDescent="0.25"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</row>
    <row r="270" spans="14:53" x14ac:dyDescent="0.25"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</row>
    <row r="271" spans="14:53" x14ac:dyDescent="0.25"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</row>
    <row r="272" spans="14:53" x14ac:dyDescent="0.25"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</row>
    <row r="273" spans="14:53" x14ac:dyDescent="0.25"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</row>
    <row r="274" spans="14:53" x14ac:dyDescent="0.25"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</row>
    <row r="275" spans="14:53" x14ac:dyDescent="0.25"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</row>
    <row r="276" spans="14:53" x14ac:dyDescent="0.25"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</row>
    <row r="277" spans="14:53" x14ac:dyDescent="0.25"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</row>
    <row r="278" spans="14:53" x14ac:dyDescent="0.25"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</row>
    <row r="279" spans="14:53" x14ac:dyDescent="0.25"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</row>
    <row r="280" spans="14:53" x14ac:dyDescent="0.25"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</row>
    <row r="281" spans="14:53" x14ac:dyDescent="0.25"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</row>
    <row r="282" spans="14:53" x14ac:dyDescent="0.25"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</row>
    <row r="283" spans="14:53" x14ac:dyDescent="0.25"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</row>
    <row r="284" spans="14:53" x14ac:dyDescent="0.25"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</row>
    <row r="285" spans="14:53" x14ac:dyDescent="0.25"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</row>
    <row r="286" spans="14:53" x14ac:dyDescent="0.25"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</row>
    <row r="287" spans="14:53" x14ac:dyDescent="0.25"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</row>
    <row r="288" spans="14:53" x14ac:dyDescent="0.25"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</row>
    <row r="289" spans="14:53" x14ac:dyDescent="0.25"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</row>
    <row r="290" spans="14:53" x14ac:dyDescent="0.25"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</row>
    <row r="291" spans="14:53" x14ac:dyDescent="0.25"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</row>
    <row r="292" spans="14:53" x14ac:dyDescent="0.25"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</row>
    <row r="293" spans="14:53" x14ac:dyDescent="0.25"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</row>
    <row r="294" spans="14:53" x14ac:dyDescent="0.25"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</row>
    <row r="295" spans="14:53" x14ac:dyDescent="0.25"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</row>
    <row r="296" spans="14:53" x14ac:dyDescent="0.25"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</row>
    <row r="297" spans="14:53" x14ac:dyDescent="0.25"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</row>
    <row r="298" spans="14:53" x14ac:dyDescent="0.25"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</row>
    <row r="299" spans="14:53" x14ac:dyDescent="0.25"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</row>
    <row r="300" spans="14:53" x14ac:dyDescent="0.25"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</row>
    <row r="301" spans="14:53" x14ac:dyDescent="0.25"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</row>
    <row r="302" spans="14:53" x14ac:dyDescent="0.25"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</row>
    <row r="303" spans="14:53" x14ac:dyDescent="0.25"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</row>
    <row r="304" spans="14:53" x14ac:dyDescent="0.25"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</row>
    <row r="305" spans="14:53" x14ac:dyDescent="0.25"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</row>
    <row r="306" spans="14:53" x14ac:dyDescent="0.25"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</row>
    <row r="307" spans="14:53" x14ac:dyDescent="0.25"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</row>
    <row r="308" spans="14:53" x14ac:dyDescent="0.25"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</row>
    <row r="309" spans="14:53" x14ac:dyDescent="0.25"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</row>
    <row r="310" spans="14:53" x14ac:dyDescent="0.25"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</row>
    <row r="311" spans="14:53" x14ac:dyDescent="0.25"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</row>
    <row r="312" spans="14:53" x14ac:dyDescent="0.25"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</row>
    <row r="313" spans="14:53" x14ac:dyDescent="0.25"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</row>
    <row r="314" spans="14:53" x14ac:dyDescent="0.25"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</row>
    <row r="315" spans="14:53" x14ac:dyDescent="0.25"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</row>
    <row r="316" spans="14:53" x14ac:dyDescent="0.25"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</row>
    <row r="317" spans="14:53" x14ac:dyDescent="0.25"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</row>
    <row r="318" spans="14:53" x14ac:dyDescent="0.25"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</row>
    <row r="319" spans="14:53" x14ac:dyDescent="0.25"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</row>
    <row r="320" spans="14:53" x14ac:dyDescent="0.25"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</row>
    <row r="321" spans="14:53" x14ac:dyDescent="0.25"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</row>
    <row r="322" spans="14:53" x14ac:dyDescent="0.25"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</row>
    <row r="323" spans="14:53" x14ac:dyDescent="0.25"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</row>
    <row r="324" spans="14:53" x14ac:dyDescent="0.25"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</row>
    <row r="325" spans="14:53" x14ac:dyDescent="0.25"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</row>
    <row r="326" spans="14:53" x14ac:dyDescent="0.25"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</row>
    <row r="327" spans="14:53" x14ac:dyDescent="0.25"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</row>
    <row r="328" spans="14:53" x14ac:dyDescent="0.25"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</row>
    <row r="329" spans="14:53" x14ac:dyDescent="0.25"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</row>
    <row r="330" spans="14:53" x14ac:dyDescent="0.25"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</row>
    <row r="331" spans="14:53" x14ac:dyDescent="0.25"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</row>
    <row r="332" spans="14:53" x14ac:dyDescent="0.25"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</row>
    <row r="333" spans="14:53" x14ac:dyDescent="0.25"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</row>
    <row r="334" spans="14:53" x14ac:dyDescent="0.25"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</row>
    <row r="335" spans="14:53" x14ac:dyDescent="0.25"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</row>
    <row r="336" spans="14:53" x14ac:dyDescent="0.25"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</row>
    <row r="337" spans="14:53" x14ac:dyDescent="0.25"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</row>
    <row r="338" spans="14:53" x14ac:dyDescent="0.25"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</row>
    <row r="339" spans="14:53" x14ac:dyDescent="0.25"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</row>
    <row r="340" spans="14:53" x14ac:dyDescent="0.25"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</row>
    <row r="341" spans="14:53" x14ac:dyDescent="0.25"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</row>
    <row r="342" spans="14:53" x14ac:dyDescent="0.25"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</row>
    <row r="343" spans="14:53" x14ac:dyDescent="0.25"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</row>
    <row r="344" spans="14:53" x14ac:dyDescent="0.25"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</row>
    <row r="345" spans="14:53" x14ac:dyDescent="0.25"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</row>
    <row r="346" spans="14:53" x14ac:dyDescent="0.25"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</row>
    <row r="347" spans="14:53" x14ac:dyDescent="0.25"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</row>
    <row r="348" spans="14:53" x14ac:dyDescent="0.25"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8AD52-3727-4CB4-957E-98FBDE885C20}">
  <dimension ref="A1:AO25"/>
  <sheetViews>
    <sheetView workbookViewId="0">
      <selection activeCell="K19" sqref="K19"/>
    </sheetView>
  </sheetViews>
  <sheetFormatPr defaultRowHeight="15" x14ac:dyDescent="0.25"/>
  <cols>
    <col min="1" max="1" width="2.85546875" customWidth="1"/>
    <col min="5" max="5" width="11" customWidth="1"/>
    <col min="6" max="6" width="11" bestFit="1" customWidth="1"/>
    <col min="10" max="10" width="2.5703125" customWidth="1"/>
    <col min="12" max="12" width="12.42578125" customWidth="1"/>
    <col min="16" max="16" width="2.5703125" customWidth="1"/>
    <col min="18" max="18" width="12" customWidth="1"/>
  </cols>
  <sheetData>
    <row r="1" spans="1:41" ht="15.75" x14ac:dyDescent="0.25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</row>
    <row r="2" spans="1:41" ht="16.5" thickBot="1" x14ac:dyDescent="0.3">
      <c r="A2" s="10"/>
      <c r="B2" s="11" t="s">
        <v>184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</row>
    <row r="3" spans="1:41" ht="16.5" thickBot="1" x14ac:dyDescent="0.3">
      <c r="A3" s="10"/>
      <c r="B3" s="10" t="s">
        <v>188</v>
      </c>
      <c r="C3" s="10"/>
      <c r="D3" s="10"/>
      <c r="E3" s="165" t="s">
        <v>231</v>
      </c>
      <c r="F3" s="166"/>
      <c r="G3" s="36"/>
      <c r="H3" s="107" t="s">
        <v>186</v>
      </c>
      <c r="I3" s="62"/>
      <c r="J3" s="36"/>
      <c r="K3" s="165" t="s">
        <v>231</v>
      </c>
      <c r="L3" s="166"/>
      <c r="M3" s="36"/>
      <c r="N3" s="107" t="s">
        <v>187</v>
      </c>
      <c r="O3" s="62"/>
      <c r="P3" s="36"/>
      <c r="Q3" s="165" t="s">
        <v>231</v>
      </c>
      <c r="R3" s="166"/>
      <c r="S3" s="36"/>
      <c r="T3" s="108" t="s">
        <v>189</v>
      </c>
      <c r="U3" s="62"/>
      <c r="V3" s="10"/>
      <c r="W3" s="10"/>
      <c r="X3" s="10"/>
    </row>
    <row r="4" spans="1:41" ht="16.5" thickBot="1" x14ac:dyDescent="0.3">
      <c r="A4" s="10"/>
      <c r="B4" s="11" t="s">
        <v>197</v>
      </c>
      <c r="C4" s="10"/>
      <c r="D4" s="10"/>
      <c r="E4" s="162">
        <v>2018</v>
      </c>
      <c r="F4" s="162">
        <v>2017</v>
      </c>
      <c r="G4" s="150">
        <v>2016</v>
      </c>
      <c r="H4" s="63">
        <v>2015</v>
      </c>
      <c r="I4" s="63">
        <v>2014</v>
      </c>
      <c r="J4" s="42"/>
      <c r="K4" s="167">
        <v>2018</v>
      </c>
      <c r="L4" s="162">
        <v>2017</v>
      </c>
      <c r="M4" s="150">
        <v>2016</v>
      </c>
      <c r="N4" s="63">
        <v>2015</v>
      </c>
      <c r="O4" s="63">
        <v>2014</v>
      </c>
      <c r="P4" s="42"/>
      <c r="Q4" s="162">
        <v>2018</v>
      </c>
      <c r="R4" s="162">
        <v>2017</v>
      </c>
      <c r="S4" s="150">
        <v>2016</v>
      </c>
      <c r="T4" s="63">
        <v>2015</v>
      </c>
      <c r="U4" s="63">
        <v>2014</v>
      </c>
      <c r="V4" s="10"/>
      <c r="W4" s="10"/>
      <c r="X4" s="10"/>
    </row>
    <row r="5" spans="1:41" ht="16.5" thickBot="1" x14ac:dyDescent="0.3">
      <c r="A5" s="10"/>
      <c r="B5" s="109" t="s">
        <v>185</v>
      </c>
      <c r="C5" s="110"/>
      <c r="D5" s="110"/>
      <c r="E5" s="163">
        <f>F5+(F5*0.03)</f>
        <v>12617.2837</v>
      </c>
      <c r="F5" s="163">
        <f>G5+(G5*0.03)</f>
        <v>12249.79</v>
      </c>
      <c r="G5" s="151">
        <v>11893</v>
      </c>
      <c r="H5" s="86">
        <v>11980</v>
      </c>
      <c r="I5" s="86">
        <v>12982</v>
      </c>
      <c r="J5" s="86"/>
      <c r="K5" s="168">
        <f>L5+(L5*0.03)</f>
        <v>2277.7522999999997</v>
      </c>
      <c r="L5" s="168">
        <f>M5+(M5*0.03)</f>
        <v>2211.41</v>
      </c>
      <c r="M5" s="111">
        <v>2147</v>
      </c>
      <c r="N5" s="86">
        <v>2338</v>
      </c>
      <c r="O5" s="86">
        <v>2640</v>
      </c>
      <c r="P5" s="86"/>
      <c r="Q5" s="169">
        <f>R5+(R5*0.03)</f>
        <v>0.1920229</v>
      </c>
      <c r="R5" s="169">
        <f>S5+(S5*0.03)</f>
        <v>0.18642999999999998</v>
      </c>
      <c r="S5" s="68">
        <v>0.18099999999999999</v>
      </c>
      <c r="T5" s="59">
        <v>0.19500000000000001</v>
      </c>
      <c r="U5" s="53">
        <v>0.20300000000000001</v>
      </c>
      <c r="V5" s="10"/>
      <c r="W5" s="10"/>
      <c r="X5" s="10"/>
    </row>
    <row r="6" spans="1:41" ht="16.5" thickBot="1" x14ac:dyDescent="0.3">
      <c r="A6" s="10"/>
      <c r="B6" s="112" t="s">
        <v>190</v>
      </c>
      <c r="C6" s="36"/>
      <c r="D6" s="36"/>
      <c r="E6" s="163">
        <f t="shared" ref="E6:F6" si="0">F6+(F6*0.03)</f>
        <v>17877.225899999998</v>
      </c>
      <c r="F6" s="163">
        <f t="shared" si="0"/>
        <v>17356.53</v>
      </c>
      <c r="G6" s="152">
        <v>16851</v>
      </c>
      <c r="H6" s="75">
        <v>16707</v>
      </c>
      <c r="I6" s="75">
        <v>16823</v>
      </c>
      <c r="J6" s="75"/>
      <c r="K6" s="168">
        <f t="shared" ref="K6:L6" si="1">L6+(L6*0.03)</f>
        <v>3136.0203999999999</v>
      </c>
      <c r="L6" s="168">
        <f t="shared" si="1"/>
        <v>3044.68</v>
      </c>
      <c r="M6" s="113">
        <v>2956</v>
      </c>
      <c r="N6" s="63"/>
      <c r="O6" s="63"/>
      <c r="P6" s="63"/>
      <c r="Q6" s="169">
        <f t="shared" ref="Q6:R6" si="2">R6+(R6*0.03)</f>
        <v>0</v>
      </c>
      <c r="R6" s="169">
        <f t="shared" si="2"/>
        <v>0</v>
      </c>
      <c r="S6" s="64"/>
      <c r="T6" s="63"/>
      <c r="U6" s="62"/>
      <c r="V6" s="30"/>
      <c r="W6" s="30"/>
      <c r="X6" s="30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</row>
    <row r="7" spans="1:41" s="49" customFormat="1" ht="16.5" thickBot="1" x14ac:dyDescent="0.3">
      <c r="A7" s="30"/>
      <c r="B7" s="156" t="s">
        <v>191</v>
      </c>
      <c r="C7" s="46"/>
      <c r="D7" s="46"/>
      <c r="E7" s="163">
        <f t="shared" ref="E7:F7" si="3">F7+(F7*0.03)</f>
        <v>15801.044599999999</v>
      </c>
      <c r="F7" s="163">
        <f t="shared" si="3"/>
        <v>15340.82</v>
      </c>
      <c r="G7" s="157">
        <v>14894</v>
      </c>
      <c r="H7" s="76">
        <v>14082</v>
      </c>
      <c r="I7" s="76">
        <v>14508</v>
      </c>
      <c r="J7" s="120"/>
      <c r="K7" s="168">
        <f t="shared" ref="K7:L7" si="4">L7+(L7*0.03)</f>
        <v>1639.0904999999998</v>
      </c>
      <c r="L7" s="168">
        <f t="shared" si="4"/>
        <v>1591.35</v>
      </c>
      <c r="M7" s="158">
        <v>1545</v>
      </c>
      <c r="N7" s="159">
        <v>861</v>
      </c>
      <c r="O7" s="76">
        <v>2000</v>
      </c>
      <c r="P7" s="120"/>
      <c r="Q7" s="169">
        <f t="shared" ref="Q7:R7" si="5">R7+(R7*0.03)</f>
        <v>0.11033359999999999</v>
      </c>
      <c r="R7" s="169">
        <f t="shared" si="5"/>
        <v>0.10711999999999999</v>
      </c>
      <c r="S7" s="160">
        <v>0.104</v>
      </c>
      <c r="T7" s="159"/>
      <c r="U7" s="161"/>
      <c r="V7" s="30"/>
      <c r="W7" s="30"/>
      <c r="X7" s="30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</row>
    <row r="8" spans="1:41" ht="16.5" thickBot="1" x14ac:dyDescent="0.3">
      <c r="A8" s="10"/>
      <c r="B8" s="51" t="s">
        <v>192</v>
      </c>
      <c r="C8" s="37"/>
      <c r="D8" s="37"/>
      <c r="E8" s="163">
        <f t="shared" ref="E8:F8" si="6">F8+(F8*0.03)</f>
        <v>15345.918500000002</v>
      </c>
      <c r="F8" s="163">
        <f t="shared" si="6"/>
        <v>14898.95</v>
      </c>
      <c r="G8" s="153">
        <v>14465</v>
      </c>
      <c r="H8" s="56">
        <v>14094</v>
      </c>
      <c r="I8" s="56">
        <v>14215</v>
      </c>
      <c r="J8" s="56"/>
      <c r="K8" s="168">
        <f t="shared" ref="K8:L8" si="7">L8+(L8*0.03)</f>
        <v>2437.9482000000003</v>
      </c>
      <c r="L8" s="168">
        <f t="shared" si="7"/>
        <v>2366.94</v>
      </c>
      <c r="M8" s="65">
        <v>2298</v>
      </c>
      <c r="N8" s="56">
        <v>1888</v>
      </c>
      <c r="O8" s="56">
        <v>2355</v>
      </c>
      <c r="P8" s="56"/>
      <c r="Q8" s="169">
        <f t="shared" ref="Q8:R8" si="8">R8+(R8*0.03)</f>
        <v>0.1686831</v>
      </c>
      <c r="R8" s="169">
        <f t="shared" si="8"/>
        <v>0.16377</v>
      </c>
      <c r="S8" s="68">
        <v>0.159</v>
      </c>
      <c r="T8" s="59">
        <v>0.13400000000000001</v>
      </c>
      <c r="U8" s="53">
        <v>0.16600000000000001</v>
      </c>
      <c r="V8" s="10"/>
      <c r="W8" s="10"/>
      <c r="X8" s="10"/>
    </row>
    <row r="9" spans="1:41" ht="16.5" thickBot="1" x14ac:dyDescent="0.3">
      <c r="A9" s="10"/>
      <c r="B9" s="112" t="s">
        <v>193</v>
      </c>
      <c r="C9" s="36"/>
      <c r="D9" s="36"/>
      <c r="E9" s="163">
        <f t="shared" ref="E9:F9" si="9">F9+(F9*0.03)</f>
        <v>61641.472699999998</v>
      </c>
      <c r="F9" s="163">
        <f t="shared" si="9"/>
        <v>59846.09</v>
      </c>
      <c r="G9" s="152">
        <v>58103</v>
      </c>
      <c r="H9" s="75">
        <v>56863</v>
      </c>
      <c r="I9" s="75">
        <v>58528</v>
      </c>
      <c r="J9" s="75"/>
      <c r="K9" s="168">
        <f t="shared" ref="K9:L9" si="10">L9+(L9*0.03)</f>
        <v>9490.8113999999987</v>
      </c>
      <c r="L9" s="168">
        <f t="shared" si="10"/>
        <v>9214.3799999999992</v>
      </c>
      <c r="M9" s="113">
        <v>8946</v>
      </c>
      <c r="N9" s="75">
        <v>8023</v>
      </c>
      <c r="O9" s="75">
        <v>9777</v>
      </c>
      <c r="P9" s="75"/>
      <c r="Q9" s="169">
        <f t="shared" ref="Q9:R9" si="11">R9+(R9*0.03)</f>
        <v>0.16337860000000001</v>
      </c>
      <c r="R9" s="169">
        <f t="shared" si="11"/>
        <v>0.15862000000000001</v>
      </c>
      <c r="S9" s="114">
        <v>0.154</v>
      </c>
      <c r="T9" s="63"/>
      <c r="U9" s="62"/>
      <c r="V9" s="10"/>
      <c r="W9" s="10"/>
      <c r="X9" s="10"/>
    </row>
    <row r="10" spans="1:41" ht="16.5" thickBot="1" x14ac:dyDescent="0.3">
      <c r="A10" s="10"/>
      <c r="B10" s="112" t="s">
        <v>194</v>
      </c>
      <c r="C10" s="36"/>
      <c r="D10" s="36"/>
      <c r="E10" s="163">
        <f t="shared" ref="E10:F10" si="12">F10+(F10*0.03)</f>
        <v>-911.31309999999996</v>
      </c>
      <c r="F10" s="163">
        <f t="shared" si="12"/>
        <v>-884.77</v>
      </c>
      <c r="G10" s="150">
        <v>-859</v>
      </c>
      <c r="H10" s="63">
        <v>-765</v>
      </c>
      <c r="I10" s="63">
        <v>-628</v>
      </c>
      <c r="J10" s="63"/>
      <c r="K10" s="168">
        <f t="shared" ref="K10:L10" si="13">L10+(L10*0.03)</f>
        <v>-390.41120000000001</v>
      </c>
      <c r="L10" s="168">
        <f t="shared" si="13"/>
        <v>-379.04</v>
      </c>
      <c r="M10" s="64">
        <v>-368</v>
      </c>
      <c r="N10" s="63">
        <v>-268</v>
      </c>
      <c r="O10" s="63">
        <v>304</v>
      </c>
      <c r="P10" s="63"/>
      <c r="Q10" s="169">
        <f t="shared" ref="Q10:R10" si="14">R10+(R10*0.03)</f>
        <v>0</v>
      </c>
      <c r="R10" s="169">
        <f t="shared" si="14"/>
        <v>0</v>
      </c>
      <c r="S10" s="64"/>
      <c r="T10" s="63"/>
      <c r="U10" s="62"/>
      <c r="V10" s="10"/>
      <c r="W10" s="10"/>
      <c r="X10" s="10"/>
    </row>
    <row r="11" spans="1:41" ht="16.5" thickBot="1" x14ac:dyDescent="0.3">
      <c r="A11" s="10"/>
      <c r="B11" s="50" t="s">
        <v>195</v>
      </c>
      <c r="C11" s="13"/>
      <c r="D11" s="13"/>
      <c r="E11" s="163" t="e">
        <f t="shared" ref="E11:F11" si="15">F11+(F11*0.03)</f>
        <v>#VALUE!</v>
      </c>
      <c r="F11" s="163" t="e">
        <f t="shared" si="15"/>
        <v>#VALUE!</v>
      </c>
      <c r="G11" s="154" t="s">
        <v>72</v>
      </c>
      <c r="H11" s="57" t="s">
        <v>72</v>
      </c>
      <c r="I11" s="57" t="s">
        <v>72</v>
      </c>
      <c r="J11" s="57"/>
      <c r="K11" s="168">
        <f t="shared" ref="K11:L11" si="16">L11+(L11*0.03)</f>
        <v>-430.72539999999998</v>
      </c>
      <c r="L11" s="168">
        <f t="shared" si="16"/>
        <v>-418.18</v>
      </c>
      <c r="M11" s="66">
        <v>-406</v>
      </c>
      <c r="N11" s="57">
        <v>-464</v>
      </c>
      <c r="O11" s="57">
        <v>-488</v>
      </c>
      <c r="P11" s="57"/>
      <c r="Q11" s="169">
        <f t="shared" ref="Q11:R11" si="17">R11+(R11*0.03)</f>
        <v>0</v>
      </c>
      <c r="R11" s="169">
        <f t="shared" si="17"/>
        <v>0</v>
      </c>
      <c r="S11" s="66"/>
      <c r="T11" s="57"/>
      <c r="U11" s="52"/>
      <c r="V11" s="10"/>
      <c r="W11" s="10"/>
      <c r="X11" s="10"/>
    </row>
    <row r="12" spans="1:41" ht="16.5" thickBot="1" x14ac:dyDescent="0.3">
      <c r="A12" s="10"/>
      <c r="B12" s="43" t="s">
        <v>196</v>
      </c>
      <c r="C12" s="38"/>
      <c r="D12" s="38"/>
      <c r="E12" s="164">
        <f t="shared" ref="E12:F12" si="18">F12+(F12*0.03)</f>
        <v>60730.159599999999</v>
      </c>
      <c r="F12" s="164">
        <f t="shared" si="18"/>
        <v>58961.32</v>
      </c>
      <c r="G12" s="155">
        <v>57244</v>
      </c>
      <c r="H12" s="58">
        <v>56098</v>
      </c>
      <c r="I12" s="58">
        <v>57900</v>
      </c>
      <c r="J12" s="58"/>
      <c r="K12" s="168">
        <f t="shared" ref="K12:L12" si="19">L12+(L12*0.03)</f>
        <v>8669.6748000000007</v>
      </c>
      <c r="L12" s="168">
        <f t="shared" si="19"/>
        <v>8417.16</v>
      </c>
      <c r="M12" s="67">
        <v>8172</v>
      </c>
      <c r="N12" s="58">
        <v>7291</v>
      </c>
      <c r="O12" s="58">
        <v>9593</v>
      </c>
      <c r="P12" s="58"/>
      <c r="Q12" s="169">
        <f t="shared" ref="Q12:R12" si="20">R12+(R12*0.03)</f>
        <v>0.15170869999999997</v>
      </c>
      <c r="R12" s="169">
        <f t="shared" si="20"/>
        <v>0.14728999999999998</v>
      </c>
      <c r="S12" s="69">
        <v>0.14299999999999999</v>
      </c>
      <c r="T12" s="60">
        <v>0.13</v>
      </c>
      <c r="U12" s="54">
        <v>0.16600000000000001</v>
      </c>
      <c r="V12" s="10"/>
      <c r="W12" s="10"/>
      <c r="X12" s="10"/>
    </row>
    <row r="13" spans="1:41" ht="15.75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  <row r="14" spans="1:41" ht="15.75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</row>
    <row r="15" spans="1:41" ht="15.75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  <row r="16" spans="1:41" ht="15.75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</row>
    <row r="17" spans="1:24" ht="15.75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</row>
    <row r="18" spans="1:24" ht="15.75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</row>
    <row r="19" spans="1:24" ht="15.75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16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  <row r="20" spans="1:24" ht="15.75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</row>
    <row r="21" spans="1:24" ht="15.75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</row>
    <row r="22" spans="1:24" ht="15.75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</row>
    <row r="23" spans="1:24" ht="15.75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  <row r="24" spans="1:24" ht="15.75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</row>
    <row r="25" spans="1:24" ht="15.75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2889E-E23B-477B-B557-54D0F80143C5}">
  <dimension ref="B3"/>
  <sheetViews>
    <sheetView workbookViewId="0">
      <selection activeCell="G3" sqref="G3"/>
    </sheetView>
  </sheetViews>
  <sheetFormatPr defaultRowHeight="15" x14ac:dyDescent="0.25"/>
  <sheetData>
    <row r="3" spans="2:2" ht="15.75" x14ac:dyDescent="0.25">
      <c r="B3" s="116" t="s">
        <v>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Ratio</vt:lpstr>
      <vt:lpstr>Income Statement</vt:lpstr>
      <vt:lpstr>Balance Sheet</vt:lpstr>
      <vt:lpstr>Cash Flow Statement</vt:lpstr>
      <vt:lpstr>Segment Review </vt:lpstr>
      <vt:lpstr>White Paper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Jessie Chambers</dc:creator>
  <cp:lastModifiedBy>Gordon Elliott Williams</cp:lastModifiedBy>
  <dcterms:created xsi:type="dcterms:W3CDTF">2021-07-12T08:40:26Z</dcterms:created>
  <dcterms:modified xsi:type="dcterms:W3CDTF">2021-08-16T06:12:33Z</dcterms:modified>
</cp:coreProperties>
</file>