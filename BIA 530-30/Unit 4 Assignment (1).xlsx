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xr:revisionPtr revIDLastSave="0" documentId="8_{1DD5A99D-C51B-4DF8-BFEC-FAB4B098A3B1}" xr6:coauthVersionLast="47" xr6:coauthVersionMax="47" xr10:uidLastSave="{00000000-0000-0000-0000-000000000000}"/>
  <bookViews>
    <workbookView xWindow="16365" yWindow="0" windowWidth="19365" windowHeight="15585" xr2:uid="{9241DDD3-AEDF-4623-85EB-4FC3C6941C81}"/>
  </bookViews>
  <sheets>
    <sheet name="Black Footed Cat" sheetId="1" r:id="rId1"/>
    <sheet name="Happy Customers" sheetId="2" r:id="rId2"/>
    <sheet name="Super Scooping" sheetId="3" r:id="rId3"/>
    <sheet name="Probability Tree" sheetId="5" r:id="rId4"/>
    <sheet name="S &amp; P 500" sheetId="6" r:id="rId5"/>
  </sheets>
  <definedNames>
    <definedName name="_xlnm._FilterDatabase" localSheetId="4" hidden="1">'S &amp; P 500'!$A$6:$C$106</definedName>
    <definedName name="_xlcn.WorksheetConnection_BlackFootedCatA11B221" hidden="1">'Black Footed Cat'!$A$11:$C$22</definedName>
    <definedName name="_xlcn.WorksheetConnection_BlackFootedCatA11B2211" hidden="1">'Black Footed Cat'!$A$11:$B$22</definedName>
    <definedName name="_xlcn.WorksheetConnection_BlackFootedCatA11C221" hidden="1">'Black Footed Cat'!$A$11:$C$22</definedName>
  </definedNames>
  <calcPr calcId="191029"/>
  <extLst>
    <ext xmlns:x15="http://schemas.microsoft.com/office/spreadsheetml/2010/11/main" uri="{841E416B-1EF1-43b6-AB56-02D37102CBD5}">
      <x15:pivotCaches>
        <pivotCache cacheId="54" r:id="rId6"/>
        <pivotCache cacheId="61" r:id="rId7"/>
        <pivotCache cacheId="64" r:id="rId8"/>
      </x15:pivotCaches>
    </ext>
    <ext xmlns:x15="http://schemas.microsoft.com/office/spreadsheetml/2010/11/main" uri="{983426D0-5260-488c-9760-48F4B6AC55F4}">
      <x15:pivotTableReferences>
        <x15:pivotTableReference r:id="rId9"/>
        <x15:pivotTableReference r:id="rId10"/>
        <x15:pivotTableReference r:id="rId11"/>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Black Footed Cat!$A$11:$B$22"/>
          <x15:modelTable id="Range 1" name="Range 1" connection="WorksheetConnection_Black Footed Cat!$A$11:$C$22"/>
          <x15:modelTable id="Range 2" name="Range 2" connection="WorksheetConnection_Black Footed Cat!$A$11:$B$22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5" l="1"/>
  <c r="C17" i="5"/>
  <c r="C7" i="5"/>
  <c r="C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4F2A35-1386-4311-B233-A4B4D21414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F04B9D7-E978-4278-A9CA-C907E40FC798}" name="WorksheetConnection_Black Footed Cat!$A$11:$B$22" type="102" refreshedVersion="8" minRefreshableVersion="5">
    <extLst>
      <ext xmlns:x15="http://schemas.microsoft.com/office/spreadsheetml/2010/11/main" uri="{DE250136-89BD-433C-8126-D09CA5730AF9}">
        <x15:connection id="Range" autoDelete="1">
          <x15:rangePr sourceName="_xlcn.WorksheetConnection_BlackFootedCatA11B221"/>
        </x15:connection>
      </ext>
    </extLst>
  </connection>
  <connection id="3" xr16:uid="{218F7540-E8A1-4745-8539-D57AA97079B7}" name="WorksheetConnection_Black Footed Cat!$A$11:$B$221" type="102" refreshedVersion="8" minRefreshableVersion="5">
    <extLst>
      <ext xmlns:x15="http://schemas.microsoft.com/office/spreadsheetml/2010/11/main" uri="{DE250136-89BD-433C-8126-D09CA5730AF9}">
        <x15:connection id="Range 2" autoDelete="1">
          <x15:rangePr sourceName="_xlcn.WorksheetConnection_BlackFootedCatA11B2211"/>
        </x15:connection>
      </ext>
    </extLst>
  </connection>
  <connection id="4" xr16:uid="{BA389BE8-2145-4D59-905E-3F9ED5AD71E5}" name="WorksheetConnection_Black Footed Cat!$A$11:$C$22" type="102" refreshedVersion="8" minRefreshableVersion="5">
    <extLst>
      <ext xmlns:x15="http://schemas.microsoft.com/office/spreadsheetml/2010/11/main" uri="{DE250136-89BD-433C-8126-D09CA5730AF9}">
        <x15:connection id="Range 1" autoDelete="1">
          <x15:rangePr sourceName="_xlcn.WorksheetConnection_BlackFootedCatA11C221"/>
        </x15:connection>
      </ext>
    </extLst>
  </connection>
</connections>
</file>

<file path=xl/sharedStrings.xml><?xml version="1.0" encoding="utf-8"?>
<sst xmlns="http://schemas.openxmlformats.org/spreadsheetml/2006/main" count="73" uniqueCount="57">
  <si>
    <t>Probability of success</t>
  </si>
  <si>
    <t>p</t>
  </si>
  <si>
    <t>Number of Trials</t>
  </si>
  <si>
    <t>n</t>
  </si>
  <si>
    <t>Successful Trials</t>
  </si>
  <si>
    <t>Individual Probability</t>
  </si>
  <si>
    <t>Cumulative Probability</t>
  </si>
  <si>
    <t>Formula Reminders</t>
  </si>
  <si>
    <t>Number of successful trials</t>
  </si>
  <si>
    <t>Total trials</t>
  </si>
  <si>
    <t>Indiv OR Cumulative?</t>
  </si>
  <si>
    <t>Black-footed cats are nocturnal hunters that are very successful and active. They are known as the "world's deadliest cat" because they are successful at catching prey 60% of the time. With that information, fill out the table below, showing both the individual and cumulative probability of successful catches. Once filled in, please create two well-labeled charts for both the probabilities (individual and cumulative).</t>
  </si>
  <si>
    <t xml:space="preserve">Monday </t>
  </si>
  <si>
    <t xml:space="preserve">Friday </t>
  </si>
  <si>
    <t xml:space="preserve">Score </t>
  </si>
  <si>
    <t xml:space="preserve">% of Cust. </t>
  </si>
  <si>
    <t xml:space="preserve"> (1 low- 5 high)</t>
  </si>
  <si>
    <t>Customer Satisfaction Number</t>
  </si>
  <si>
    <t xml:space="preserve">Simone's ice cream has a customer service it gives out on Monday and Friday. The below are the results. </t>
  </si>
  <si>
    <t>What is the probability on Monday that a customer will have a probability of being satisfied (4, 5) on Monday?</t>
  </si>
  <si>
    <t>Answer:</t>
  </si>
  <si>
    <t>What is the probability on Monday that a customer will have a probability of being satisfied (4, 5) on Friday</t>
  </si>
  <si>
    <t>Mean</t>
  </si>
  <si>
    <t xml:space="preserve">Variance </t>
  </si>
  <si>
    <t xml:space="preserve">Std. Deviation </t>
  </si>
  <si>
    <t>Simone's ice cream has recorded the number of scoops per day that is scooped at their ice-cream shop in the table below. They have asked you to create fill out the below table, create a chart of the probability distribution and answer a question non variance.</t>
  </si>
  <si>
    <t>Scoops per day</t>
  </si>
  <si>
    <t>Probability</t>
  </si>
  <si>
    <t xml:space="preserve">Sqr Dev from Mean </t>
  </si>
  <si>
    <t xml:space="preserve">What does it mean to have this variance? </t>
  </si>
  <si>
    <t>First Customer</t>
  </si>
  <si>
    <t xml:space="preserve">Second Customer </t>
  </si>
  <si>
    <t xml:space="preserve">Third Customer </t>
  </si>
  <si>
    <t>Number of Purchasers</t>
  </si>
  <si>
    <t>% chance of happening</t>
  </si>
  <si>
    <t xml:space="preserve">Purchased </t>
  </si>
  <si>
    <t>No Purchas Made</t>
  </si>
  <si>
    <t xml:space="preserve">*Note: Based on scoop count of a New England ice-cream shop in the winter. Mean summer scoops are ~1000 scoops per day. </t>
  </si>
  <si>
    <t xml:space="preserve">Percent of years inside this range </t>
  </si>
  <si>
    <t xml:space="preserve">Percent of years outside this range </t>
  </si>
  <si>
    <t>Standard Deviation</t>
  </si>
  <si>
    <t>Mean Return S&amp;P (%)</t>
  </si>
  <si>
    <t>% of years &gt; then Return</t>
  </si>
  <si>
    <t>% of years &lt; then Return</t>
  </si>
  <si>
    <t>Z-Score</t>
  </si>
  <si>
    <t>Heights of Player (cm)</t>
  </si>
  <si>
    <t xml:space="preserve">The mean year over year returns for the S&amp;P 500 is 13.73% with a Standard Deviation of 18.51.  Assuming that the S&amp;P 500 return are on a normally distributed, fill out the below tables and move the red line in column D to display min and max z score.  Then answer the question in row 34.  </t>
  </si>
  <si>
    <t xml:space="preserve">Assuming the S&amp;P 500 is a good gauge of the overall market, if a hedge fund manager tells you that they get at least 25% return year over year and have done so 98% of the time - what you believe them off the bat? </t>
  </si>
  <si>
    <t>Cumulative</t>
  </si>
  <si>
    <t>225 SCOOPS</t>
  </si>
  <si>
    <t>106.18 SCOOPS</t>
  </si>
  <si>
    <t>A higher variance (and standard deviation) means the data is more spread out.  In Simone's ice cream shop example, a standard deviation of 106.18 scoops indicates a fair amount of variability in the number of scoops served each day. Some days they might have very low sales (closer to 0), while other days they might be very busy (closer to 400 or 500).
If the variance was much lower, it would mean the number of scoops served each day was more consistent and clustered closer to the average.</t>
  </si>
  <si>
    <t>REFERENCES</t>
  </si>
  <si>
    <t>Preqin. (n.d.). Preqin | Alternative Assets Data, Solutions and Insights. https://www.preqin.com/academy/lesson-3-hedge-funds/measuring-hedge-fund-returns#:~:text=Measuring%20Hedge%20Fund%20Performance,-Hedge%20fund%20managers&amp;text=Cumulative%20performance%20is%20calculated%20as,three%20years%2C%20or%20five%20years.</t>
  </si>
  <si>
    <t>Hayes, A. (2024, June 9). What is a bull market, and how can investors benefit from one? Investopedia. https://www.investopedia.com/terms/b/bullmarket.asp#:~:text=A%20bull%20market%20is%20a,to%20profit%20from%20bull%20markets.</t>
  </si>
  <si>
    <t>A 25% annual return is exceptionally high, especially consistently.  While some hedge fund managers might achieve such returns in a single year, sustaining that level of performance for a significant period (implied by "98% of the time") is statistically improbable and raises serious red flags (Preqin, n.d.).  Even in bull markets, consistently beating the S&amp;P 500 (which averages around 10-12% annually over the long term) by such a large margin is incredibly difficult.  Hedge funds often employ complex strategies (leverage, derivatives, short-selling, etc.), but these strategies also carry substantial risk (Hayes, 2024).  High returns usually come with high risk.  If a hedge fund manager claims such high returns with low risk, it's highly suspect.  There's no such thing as a free lunch in finance.  The claim of achieving these returns "98% of the time" is particularly dubious.  Market conditions change, strategies go in and out of favor, and unforeseen events (black swan events) can dramatically impact performance.  No strategy works flawlessly nearly all the time (Team, 2024).</t>
  </si>
  <si>
    <t>Team, I. (2024, September 30). Black swan in the stock market: What is it, With examples and history. Investopedia. https://www.investopedia.com/terms/b/blackswan.asp#:~:text=Black%20swan%20events%20are%20extremely,they%20were%20obvious%20in%20hindsight.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</si>
</sst>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_(* #,##0_);_(* \(#,##0\);_(* &quot;-&quot;??_);_(@_)"/>
    <numFmt numFmtId="166" formatCode="0.0%"/>
    <numFmt numFmtId="167" formatCode="0.000"/>
    <numFmt numFmtId="173" formatCode="0.0000%"/>
    <numFmt numFmtId="174" formatCode="0.00000%"/>
  </numFmts>
  <fonts count="19" x14ac:knownFonts="1">
    <font>
      <sz val="11"/>
      <color theme="1"/>
      <name val="Aptos Narrow"/>
      <family val="2"/>
      <scheme val="minor"/>
    </font>
    <font>
      <sz val="11"/>
      <color theme="1"/>
      <name val="Aptos Narrow"/>
      <family val="2"/>
      <scheme val="minor"/>
    </font>
    <font>
      <sz val="12"/>
      <color rgb="FF001D35"/>
      <name val="Arial"/>
      <family val="2"/>
    </font>
    <font>
      <sz val="18"/>
      <color theme="1"/>
      <name val="Aptos Narrow"/>
      <family val="2"/>
      <scheme val="minor"/>
    </font>
    <font>
      <b/>
      <sz val="18"/>
      <color theme="1"/>
      <name val="Aptos Narrow"/>
      <family val="2"/>
      <scheme val="minor"/>
    </font>
    <font>
      <b/>
      <sz val="12"/>
      <color theme="1"/>
      <name val="Aptos Narrow"/>
      <family val="2"/>
      <scheme val="minor"/>
    </font>
    <font>
      <sz val="12"/>
      <color theme="1"/>
      <name val="Aptos Narrow"/>
      <family val="2"/>
      <scheme val="minor"/>
    </font>
    <font>
      <b/>
      <sz val="12"/>
      <color rgb="FFC00000"/>
      <name val="Aptos Narrow"/>
      <family val="2"/>
      <scheme val="minor"/>
    </font>
    <font>
      <b/>
      <sz val="14"/>
      <color theme="1"/>
      <name val="Aptos Narrow"/>
      <family val="2"/>
      <scheme val="minor"/>
    </font>
    <font>
      <b/>
      <i/>
      <sz val="14"/>
      <name val="Aptos Narrow"/>
      <family val="2"/>
      <scheme val="minor"/>
    </font>
    <font>
      <b/>
      <sz val="14"/>
      <color theme="5"/>
      <name val="Aptos Narrow"/>
      <family val="2"/>
      <scheme val="minor"/>
    </font>
    <font>
      <sz val="14"/>
      <color theme="1"/>
      <name val="Aptos Narrow"/>
      <family val="2"/>
      <scheme val="minor"/>
    </font>
    <font>
      <b/>
      <sz val="14"/>
      <color rgb="FF7030A0"/>
      <name val="Aptos Narrow"/>
      <family val="2"/>
      <scheme val="minor"/>
    </font>
    <font>
      <b/>
      <sz val="14"/>
      <color rgb="FF0070C0"/>
      <name val="Aptos Narrow"/>
      <family val="2"/>
      <scheme val="minor"/>
    </font>
    <font>
      <i/>
      <sz val="11"/>
      <color theme="1"/>
      <name val="Aptos Narrow"/>
      <family val="2"/>
      <scheme val="minor"/>
    </font>
    <font>
      <b/>
      <sz val="18"/>
      <color rgb="FF7030A0"/>
      <name val="Aptos Narrow"/>
      <family val="2"/>
      <scheme val="minor"/>
    </font>
    <font>
      <b/>
      <sz val="18"/>
      <color rgb="FFFF0000"/>
      <name val="Aptos Narrow"/>
      <family val="2"/>
      <scheme val="minor"/>
    </font>
    <font>
      <b/>
      <sz val="11"/>
      <color theme="1"/>
      <name val="Aptos Narrow"/>
      <family val="2"/>
      <scheme val="minor"/>
    </font>
    <font>
      <b/>
      <sz val="18"/>
      <name val="Aptos Narrow"/>
      <family val="2"/>
      <scheme val="minor"/>
    </font>
  </fonts>
  <fills count="15">
    <fill>
      <patternFill patternType="none"/>
    </fill>
    <fill>
      <patternFill patternType="gray125"/>
    </fill>
    <fill>
      <patternFill patternType="solid">
        <fgColor theme="8"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rgb="FF92D050"/>
        <bgColor indexed="64"/>
      </patternFill>
    </fill>
  </fills>
  <borders count="3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s>
  <cellStyleXfs count="5">
    <xf numFmtId="0" fontId="0" fillId="0" borderId="0"/>
    <xf numFmtId="9" fontId="1"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cellStyleXfs>
  <cellXfs count="141">
    <xf numFmtId="0" fontId="0" fillId="0" borderId="0" xfId="0"/>
    <xf numFmtId="0" fontId="2" fillId="0" borderId="0" xfId="0" applyFont="1" applyAlignment="1">
      <alignment vertical="top" wrapText="1"/>
    </xf>
    <xf numFmtId="0" fontId="5" fillId="2" borderId="0" xfId="0" applyFont="1" applyFill="1" applyAlignment="1">
      <alignment horizontal="left"/>
    </xf>
    <xf numFmtId="0" fontId="5" fillId="2" borderId="0" xfId="0" applyFont="1" applyFill="1" applyAlignment="1">
      <alignment horizontal="center"/>
    </xf>
    <xf numFmtId="0" fontId="6" fillId="0" borderId="0" xfId="0" applyFont="1" applyAlignment="1">
      <alignment horizontal="center"/>
    </xf>
    <xf numFmtId="0" fontId="6" fillId="0" borderId="0" xfId="0" applyFont="1" applyAlignment="1">
      <alignment horizontal="center" vertical="center" wrapText="1"/>
    </xf>
    <xf numFmtId="0" fontId="6" fillId="0" borderId="0" xfId="0" applyFont="1"/>
    <xf numFmtId="0" fontId="5" fillId="4" borderId="1" xfId="0" applyFont="1" applyFill="1" applyBorder="1" applyAlignment="1">
      <alignment horizontal="center" vertical="center" wrapText="1"/>
    </xf>
    <xf numFmtId="0" fontId="6" fillId="5" borderId="3" xfId="0" applyFont="1" applyFill="1" applyBorder="1" applyAlignment="1">
      <alignment horizontal="center"/>
    </xf>
    <xf numFmtId="0" fontId="6" fillId="5" borderId="2" xfId="0" applyFont="1" applyFill="1" applyBorder="1"/>
    <xf numFmtId="0" fontId="6" fillId="5" borderId="7" xfId="0" applyFont="1" applyFill="1" applyBorder="1"/>
    <xf numFmtId="0" fontId="0" fillId="0" borderId="13" xfId="0" applyBorder="1" applyAlignment="1">
      <alignment horizontal="center"/>
    </xf>
    <xf numFmtId="0" fontId="0" fillId="0" borderId="14" xfId="0" applyBorder="1" applyAlignment="1">
      <alignment horizontal="center"/>
    </xf>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vertical="top" wrapText="1"/>
    </xf>
    <xf numFmtId="0" fontId="0" fillId="0" borderId="0" xfId="0" applyAlignment="1">
      <alignment horizontal="right"/>
    </xf>
    <xf numFmtId="165" fontId="9" fillId="2" borderId="0" xfId="3" applyNumberFormat="1" applyFont="1" applyFill="1" applyAlignment="1">
      <alignment horizontal="center" wrapText="1"/>
    </xf>
    <xf numFmtId="0" fontId="10" fillId="0" borderId="0" xfId="2" applyFont="1"/>
    <xf numFmtId="0" fontId="11" fillId="0" borderId="0" xfId="2" applyFont="1"/>
    <xf numFmtId="0" fontId="8" fillId="8" borderId="0" xfId="2" applyFont="1" applyFill="1" applyAlignment="1">
      <alignment horizontal="right"/>
    </xf>
    <xf numFmtId="9" fontId="12" fillId="8" borderId="0" xfId="2" applyNumberFormat="1" applyFont="1" applyFill="1" applyAlignment="1">
      <alignment horizontal="center"/>
    </xf>
    <xf numFmtId="165" fontId="13" fillId="8" borderId="0" xfId="3" applyNumberFormat="1" applyFont="1" applyFill="1" applyAlignment="1">
      <alignment horizontal="center"/>
    </xf>
    <xf numFmtId="0" fontId="8" fillId="9" borderId="0" xfId="2" applyFont="1" applyFill="1" applyAlignment="1">
      <alignment horizontal="right"/>
    </xf>
    <xf numFmtId="9" fontId="12" fillId="9" borderId="0" xfId="4" applyFont="1" applyFill="1" applyAlignment="1">
      <alignment horizontal="center"/>
    </xf>
    <xf numFmtId="165" fontId="13" fillId="9" borderId="0" xfId="3" applyNumberFormat="1" applyFont="1" applyFill="1" applyAlignment="1">
      <alignment horizontal="center"/>
    </xf>
    <xf numFmtId="0" fontId="8" fillId="8" borderId="0" xfId="2" applyFont="1" applyFill="1" applyAlignment="1">
      <alignment horizontal="left"/>
    </xf>
    <xf numFmtId="165" fontId="11" fillId="0" borderId="0" xfId="3" applyNumberFormat="1" applyFont="1"/>
    <xf numFmtId="0" fontId="8" fillId="8" borderId="0" xfId="2" applyFont="1" applyFill="1" applyAlignment="1">
      <alignment horizontal="center"/>
    </xf>
    <xf numFmtId="0" fontId="8" fillId="9" borderId="0" xfId="2" applyFont="1" applyFill="1" applyAlignment="1">
      <alignment horizontal="left"/>
    </xf>
    <xf numFmtId="0" fontId="11" fillId="0" borderId="0" xfId="2" applyFont="1" applyAlignment="1">
      <alignment horizontal="left"/>
    </xf>
    <xf numFmtId="0" fontId="8" fillId="9" borderId="0" xfId="2" applyFont="1" applyFill="1" applyAlignment="1">
      <alignment horizontal="center"/>
    </xf>
    <xf numFmtId="0" fontId="14" fillId="0" borderId="0" xfId="0" applyFont="1"/>
    <xf numFmtId="0" fontId="3" fillId="0" borderId="0" xfId="2" applyFont="1"/>
    <xf numFmtId="0" fontId="3" fillId="0" borderId="0" xfId="2" applyFont="1" applyAlignment="1">
      <alignment horizontal="center"/>
    </xf>
    <xf numFmtId="0" fontId="4" fillId="0" borderId="0" xfId="2" applyFont="1"/>
    <xf numFmtId="0" fontId="4" fillId="0" borderId="0" xfId="2" applyFont="1" applyAlignment="1">
      <alignment vertical="center"/>
    </xf>
    <xf numFmtId="0" fontId="3" fillId="2" borderId="0" xfId="2" applyFont="1" applyFill="1"/>
    <xf numFmtId="0" fontId="4" fillId="2" borderId="0" xfId="2" applyFont="1" applyFill="1"/>
    <xf numFmtId="164" fontId="15" fillId="2" borderId="0" xfId="2" applyNumberFormat="1" applyFont="1" applyFill="1" applyAlignment="1">
      <alignment horizontal="center"/>
    </xf>
    <xf numFmtId="0" fontId="4" fillId="2" borderId="0" xfId="2" applyFont="1" applyFill="1" applyAlignment="1">
      <alignment horizontal="right"/>
    </xf>
    <xf numFmtId="0" fontId="3" fillId="0" borderId="0" xfId="2" applyFont="1" applyAlignment="1">
      <alignment vertical="center"/>
    </xf>
    <xf numFmtId="43" fontId="16" fillId="11" borderId="1" xfId="3" applyFont="1" applyFill="1" applyBorder="1" applyAlignment="1">
      <alignment horizontal="center" vertical="center"/>
    </xf>
    <xf numFmtId="0" fontId="16" fillId="11" borderId="1" xfId="2" applyFont="1" applyFill="1" applyBorder="1" applyAlignment="1">
      <alignment horizontal="center" vertical="center"/>
    </xf>
    <xf numFmtId="164" fontId="3" fillId="0" borderId="0" xfId="2" applyNumberFormat="1" applyFont="1" applyAlignment="1">
      <alignment horizontal="center" vertical="center"/>
    </xf>
    <xf numFmtId="0" fontId="4" fillId="4" borderId="1" xfId="2"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0" borderId="5" xfId="0" applyFont="1" applyBorder="1" applyAlignment="1">
      <alignment horizontal="lef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6" xfId="0" applyFont="1" applyBorder="1" applyAlignment="1">
      <alignment horizontal="left" vertical="top" wrapText="1"/>
    </xf>
    <xf numFmtId="0" fontId="6" fillId="5" borderId="2" xfId="0" applyFont="1" applyFill="1" applyBorder="1" applyAlignment="1">
      <alignment horizontal="left"/>
    </xf>
    <xf numFmtId="0" fontId="6" fillId="5" borderId="7" xfId="0" applyFont="1" applyFill="1" applyBorder="1" applyAlignment="1">
      <alignment horizontal="left"/>
    </xf>
    <xf numFmtId="0" fontId="0" fillId="6" borderId="19" xfId="0" applyFill="1" applyBorder="1" applyAlignment="1">
      <alignment horizontal="center"/>
    </xf>
    <xf numFmtId="0" fontId="0" fillId="6" borderId="20" xfId="0" applyFill="1" applyBorder="1" applyAlignment="1">
      <alignment horizontal="center"/>
    </xf>
    <xf numFmtId="0" fontId="0" fillId="7" borderId="17" xfId="0" applyFill="1" applyBorder="1" applyAlignment="1">
      <alignment horizontal="center" wrapText="1"/>
    </xf>
    <xf numFmtId="0" fontId="0" fillId="7" borderId="22" xfId="0" applyFill="1" applyBorder="1" applyAlignment="1">
      <alignment horizontal="center" wrapText="1"/>
    </xf>
    <xf numFmtId="0" fontId="0" fillId="7" borderId="18" xfId="0" applyFill="1" applyBorder="1" applyAlignment="1">
      <alignment horizontal="center" wrapText="1"/>
    </xf>
    <xf numFmtId="0" fontId="0" fillId="3" borderId="19" xfId="0" applyFill="1" applyBorder="1" applyAlignment="1">
      <alignment horizontal="center"/>
    </xf>
    <xf numFmtId="0" fontId="0" fillId="3" borderId="20" xfId="0" applyFill="1" applyBorder="1" applyAlignment="1">
      <alignment horizontal="center"/>
    </xf>
    <xf numFmtId="0" fontId="0" fillId="7" borderId="13" xfId="0" applyFill="1" applyBorder="1" applyAlignment="1">
      <alignment horizontal="center"/>
    </xf>
    <xf numFmtId="0" fontId="0" fillId="7" borderId="21" xfId="0" applyFill="1" applyBorder="1" applyAlignment="1">
      <alignment horizontal="center"/>
    </xf>
    <xf numFmtId="0" fontId="0" fillId="7" borderId="14" xfId="0" applyFill="1" applyBorder="1" applyAlignment="1">
      <alignment horizontal="center"/>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6" xfId="0" applyBorder="1" applyAlignment="1">
      <alignment horizontal="left" vertical="top" wrapText="1"/>
    </xf>
    <xf numFmtId="0" fontId="8" fillId="10" borderId="0" xfId="2" applyFont="1" applyFill="1" applyAlignment="1">
      <alignment horizontal="center"/>
    </xf>
    <xf numFmtId="0" fontId="3" fillId="0" borderId="8" xfId="2" applyFont="1" applyBorder="1" applyAlignment="1">
      <alignment horizontal="left" vertical="top" wrapText="1"/>
    </xf>
    <xf numFmtId="0" fontId="3" fillId="0" borderId="9" xfId="2" applyFont="1" applyBorder="1" applyAlignment="1">
      <alignment horizontal="left" vertical="top" wrapText="1"/>
    </xf>
    <xf numFmtId="0" fontId="3" fillId="0" borderId="10" xfId="2" applyFont="1" applyBorder="1" applyAlignment="1">
      <alignment horizontal="left" vertical="top" wrapText="1"/>
    </xf>
    <xf numFmtId="0" fontId="3" fillId="0" borderId="4" xfId="2" applyFont="1" applyBorder="1" applyAlignment="1">
      <alignment horizontal="left" vertical="top" wrapText="1"/>
    </xf>
    <xf numFmtId="0" fontId="3" fillId="0" borderId="0" xfId="2" applyFont="1" applyAlignment="1">
      <alignment horizontal="left" vertical="top" wrapText="1"/>
    </xf>
    <xf numFmtId="0" fontId="3" fillId="0" borderId="5" xfId="2" applyFont="1" applyBorder="1" applyAlignment="1">
      <alignment horizontal="left" vertical="top" wrapText="1"/>
    </xf>
    <xf numFmtId="0" fontId="3" fillId="0" borderId="11" xfId="2" applyFont="1" applyBorder="1" applyAlignment="1">
      <alignment horizontal="left" vertical="top" wrapText="1"/>
    </xf>
    <xf numFmtId="0" fontId="3" fillId="0" borderId="12" xfId="2" applyFont="1" applyBorder="1" applyAlignment="1">
      <alignment horizontal="left" vertical="top" wrapText="1"/>
    </xf>
    <xf numFmtId="0" fontId="3" fillId="0" borderId="6" xfId="2" applyFont="1" applyBorder="1" applyAlignment="1">
      <alignment horizontal="left" vertical="top" wrapText="1"/>
    </xf>
    <xf numFmtId="9" fontId="17" fillId="12" borderId="23" xfId="0" applyNumberFormat="1" applyFont="1" applyFill="1" applyBorder="1"/>
    <xf numFmtId="0" fontId="0" fillId="0" borderId="1" xfId="0" applyBorder="1"/>
    <xf numFmtId="0" fontId="17" fillId="12" borderId="23" xfId="0" applyFont="1" applyFill="1" applyBorder="1" applyAlignment="1">
      <alignment horizontal="right"/>
    </xf>
    <xf numFmtId="166" fontId="0" fillId="0" borderId="19" xfId="1" applyNumberFormat="1" applyFont="1" applyBorder="1"/>
    <xf numFmtId="0" fontId="5" fillId="4" borderId="24" xfId="0" applyFont="1" applyFill="1" applyBorder="1" applyAlignment="1">
      <alignment horizontal="center" vertical="center" wrapText="1"/>
    </xf>
    <xf numFmtId="0" fontId="17" fillId="12" borderId="25" xfId="0" applyFont="1" applyFill="1" applyBorder="1"/>
    <xf numFmtId="0" fontId="17" fillId="12" borderId="26" xfId="0" applyFont="1" applyFill="1" applyBorder="1"/>
    <xf numFmtId="0" fontId="17" fillId="12" borderId="27" xfId="0" applyFont="1" applyFill="1" applyBorder="1"/>
    <xf numFmtId="0" fontId="7" fillId="0" borderId="19" xfId="0" applyFont="1" applyBorder="1" applyAlignment="1">
      <alignment horizontal="center"/>
    </xf>
    <xf numFmtId="164" fontId="5" fillId="12" borderId="25" xfId="0" applyNumberFormat="1" applyFont="1" applyFill="1" applyBorder="1" applyAlignment="1">
      <alignment horizontal="center"/>
    </xf>
    <xf numFmtId="164" fontId="5" fillId="12" borderId="26" xfId="0" applyNumberFormat="1" applyFont="1" applyFill="1" applyBorder="1" applyAlignment="1">
      <alignment horizontal="center"/>
    </xf>
    <xf numFmtId="164" fontId="5" fillId="12" borderId="27" xfId="0" applyNumberFormat="1" applyFont="1" applyFill="1" applyBorder="1" applyAlignment="1">
      <alignment horizontal="center"/>
    </xf>
    <xf numFmtId="164" fontId="5" fillId="13" borderId="25" xfId="0" applyNumberFormat="1" applyFont="1" applyFill="1" applyBorder="1" applyAlignment="1">
      <alignment horizontal="center"/>
    </xf>
    <xf numFmtId="164" fontId="5" fillId="13" borderId="26" xfId="0" applyNumberFormat="1" applyFont="1" applyFill="1" applyBorder="1" applyAlignment="1">
      <alignment horizontal="center"/>
    </xf>
    <xf numFmtId="164" fontId="5" fillId="13" borderId="27" xfId="0" applyNumberFormat="1" applyFont="1" applyFill="1" applyBorder="1" applyAlignment="1">
      <alignment horizontal="center"/>
    </xf>
    <xf numFmtId="0" fontId="17" fillId="12" borderId="8" xfId="0" applyFont="1" applyFill="1" applyBorder="1" applyAlignment="1">
      <alignment horizontal="left" vertical="top" wrapText="1"/>
    </xf>
    <xf numFmtId="0" fontId="17" fillId="12" borderId="9" xfId="0" applyFont="1" applyFill="1" applyBorder="1" applyAlignment="1">
      <alignment horizontal="left" vertical="top" wrapText="1"/>
    </xf>
    <xf numFmtId="0" fontId="17" fillId="12" borderId="10" xfId="0" applyFont="1" applyFill="1" applyBorder="1" applyAlignment="1">
      <alignment horizontal="left" vertical="top" wrapText="1"/>
    </xf>
    <xf numFmtId="0" fontId="17" fillId="12" borderId="4" xfId="0" applyFont="1" applyFill="1" applyBorder="1" applyAlignment="1">
      <alignment horizontal="left" vertical="top" wrapText="1"/>
    </xf>
    <xf numFmtId="0" fontId="17" fillId="12" borderId="0" xfId="0" applyFont="1" applyFill="1" applyBorder="1" applyAlignment="1">
      <alignment horizontal="left" vertical="top" wrapText="1"/>
    </xf>
    <xf numFmtId="0" fontId="17" fillId="12" borderId="5" xfId="0" applyFont="1" applyFill="1" applyBorder="1" applyAlignment="1">
      <alignment horizontal="left" vertical="top" wrapText="1"/>
    </xf>
    <xf numFmtId="0" fontId="17" fillId="12" borderId="11" xfId="0" applyFont="1" applyFill="1" applyBorder="1" applyAlignment="1">
      <alignment horizontal="left" vertical="top" wrapText="1"/>
    </xf>
    <xf numFmtId="0" fontId="17" fillId="12" borderId="12" xfId="0" applyFont="1" applyFill="1" applyBorder="1" applyAlignment="1">
      <alignment horizontal="left" vertical="top" wrapText="1"/>
    </xf>
    <xf numFmtId="0" fontId="17" fillId="12" borderId="6" xfId="0" applyFont="1" applyFill="1" applyBorder="1" applyAlignment="1">
      <alignment horizontal="left" vertical="top" wrapText="1"/>
    </xf>
    <xf numFmtId="173" fontId="11" fillId="0" borderId="0" xfId="2" applyNumberFormat="1" applyFont="1"/>
    <xf numFmtId="174" fontId="8" fillId="12" borderId="23" xfId="1" applyNumberFormat="1" applyFont="1" applyFill="1" applyBorder="1"/>
    <xf numFmtId="173" fontId="8" fillId="12" borderId="23" xfId="1" applyNumberFormat="1" applyFont="1" applyFill="1" applyBorder="1"/>
    <xf numFmtId="0" fontId="3" fillId="0" borderId="19" xfId="2" applyFont="1" applyBorder="1" applyAlignment="1">
      <alignment horizontal="center" vertical="center"/>
    </xf>
    <xf numFmtId="0" fontId="4" fillId="4" borderId="24" xfId="2" applyFont="1" applyFill="1" applyBorder="1" applyAlignment="1">
      <alignment horizontal="center" vertical="center"/>
    </xf>
    <xf numFmtId="0" fontId="4" fillId="4" borderId="24" xfId="2" applyFont="1" applyFill="1" applyBorder="1" applyAlignment="1">
      <alignment horizontal="center" vertical="center" wrapText="1"/>
    </xf>
    <xf numFmtId="167" fontId="18" fillId="12" borderId="28" xfId="2" applyNumberFormat="1" applyFont="1" applyFill="1" applyBorder="1" applyAlignment="1">
      <alignment horizontal="center" vertical="center"/>
    </xf>
    <xf numFmtId="10" fontId="18" fillId="12" borderId="29" xfId="4" applyNumberFormat="1" applyFont="1" applyFill="1" applyBorder="1" applyAlignment="1">
      <alignment horizontal="center" vertical="center"/>
    </xf>
    <xf numFmtId="10" fontId="18" fillId="12" borderId="30" xfId="4" applyNumberFormat="1" applyFont="1" applyFill="1" applyBorder="1" applyAlignment="1">
      <alignment horizontal="center" vertical="center"/>
    </xf>
    <xf numFmtId="167" fontId="18" fillId="12" borderId="31" xfId="2" applyNumberFormat="1" applyFont="1" applyFill="1" applyBorder="1" applyAlignment="1">
      <alignment horizontal="center" vertical="center"/>
    </xf>
    <xf numFmtId="10" fontId="18" fillId="12" borderId="32" xfId="4" applyNumberFormat="1" applyFont="1" applyFill="1" applyBorder="1" applyAlignment="1">
      <alignment horizontal="center" vertical="center"/>
    </xf>
    <xf numFmtId="10" fontId="18" fillId="12" borderId="33" xfId="4" applyNumberFormat="1" applyFont="1" applyFill="1" applyBorder="1" applyAlignment="1">
      <alignment horizontal="center" vertical="center"/>
    </xf>
    <xf numFmtId="10" fontId="4" fillId="12" borderId="25" xfId="1" applyNumberFormat="1" applyFont="1" applyFill="1" applyBorder="1"/>
    <xf numFmtId="10" fontId="4" fillId="12" borderId="34" xfId="1" applyNumberFormat="1" applyFont="1" applyFill="1" applyBorder="1"/>
    <xf numFmtId="0" fontId="4" fillId="14" borderId="2" xfId="2" applyFont="1" applyFill="1" applyBorder="1" applyAlignment="1">
      <alignment horizontal="left" vertical="top" wrapText="1"/>
    </xf>
    <xf numFmtId="0" fontId="4" fillId="14" borderId="7" xfId="2" applyFont="1" applyFill="1" applyBorder="1" applyAlignment="1">
      <alignment horizontal="left" vertical="top" wrapText="1"/>
    </xf>
    <xf numFmtId="0" fontId="4" fillId="14" borderId="3" xfId="2" applyFont="1" applyFill="1" applyBorder="1" applyAlignment="1">
      <alignment horizontal="left" vertical="top" wrapText="1"/>
    </xf>
    <xf numFmtId="0" fontId="4" fillId="12" borderId="8" xfId="2" applyFont="1" applyFill="1" applyBorder="1" applyAlignment="1">
      <alignment horizontal="left" vertical="top" wrapText="1"/>
    </xf>
    <xf numFmtId="0" fontId="4" fillId="12" borderId="9" xfId="2" applyFont="1" applyFill="1" applyBorder="1" applyAlignment="1">
      <alignment horizontal="left" vertical="top" wrapText="1"/>
    </xf>
    <xf numFmtId="0" fontId="4" fillId="12" borderId="10" xfId="2" applyFont="1" applyFill="1" applyBorder="1" applyAlignment="1">
      <alignment horizontal="left" vertical="top" wrapText="1"/>
    </xf>
    <xf numFmtId="0" fontId="4" fillId="12" borderId="4" xfId="2" applyFont="1" applyFill="1" applyBorder="1" applyAlignment="1">
      <alignment horizontal="left" vertical="top" wrapText="1"/>
    </xf>
    <xf numFmtId="0" fontId="4" fillId="12" borderId="0" xfId="2" applyFont="1" applyFill="1" applyBorder="1" applyAlignment="1">
      <alignment horizontal="left" vertical="top" wrapText="1"/>
    </xf>
    <xf numFmtId="0" fontId="4" fillId="12" borderId="5" xfId="2" applyFont="1" applyFill="1" applyBorder="1" applyAlignment="1">
      <alignment horizontal="left" vertical="top" wrapText="1"/>
    </xf>
    <xf numFmtId="0" fontId="4" fillId="12" borderId="11" xfId="2" applyFont="1" applyFill="1" applyBorder="1" applyAlignment="1">
      <alignment horizontal="left" vertical="top" wrapText="1"/>
    </xf>
    <xf numFmtId="0" fontId="4" fillId="12" borderId="12" xfId="2" applyFont="1" applyFill="1" applyBorder="1" applyAlignment="1">
      <alignment horizontal="left" vertical="top" wrapText="1"/>
    </xf>
    <xf numFmtId="0" fontId="4" fillId="12" borderId="6" xfId="2" applyFont="1" applyFill="1" applyBorder="1" applyAlignment="1">
      <alignment horizontal="left" vertical="top" wrapText="1"/>
    </xf>
  </cellXfs>
  <cellStyles count="5">
    <cellStyle name="Comma 2" xfId="3" xr:uid="{2B9DDE22-BE45-42FB-A4BB-E940C776B506}"/>
    <cellStyle name="Normal" xfId="0" builtinId="0"/>
    <cellStyle name="Normal 2" xfId="2" xr:uid="{34AAF305-089C-4484-8D58-B8AFD467DE44}"/>
    <cellStyle name="Percent" xfId="1" builtinId="5"/>
    <cellStyle name="Percent 2" xfId="4" xr:uid="{85060F02-C4EA-44FB-9EEB-6B7E6B7989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Table" Target="pivotTables/pivotTable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Table" Target="pivotTables/pivotTable2.xml"/><Relationship Id="rId4" Type="http://schemas.openxmlformats.org/officeDocument/2006/relationships/worksheet" Target="worksheets/sheet4.xml"/><Relationship Id="rId9" Type="http://schemas.openxmlformats.org/officeDocument/2006/relationships/pivotTable" Target="pivotTables/pivotTabl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0</c:v>
          </c:tx>
          <c:spPr>
            <a:solidFill>
              <a:schemeClr val="accent1"/>
            </a:solidFill>
            <a:ln>
              <a:noFill/>
            </a:ln>
            <a:effectLst/>
          </c:spPr>
          <c:invertIfNegative val="0"/>
          <c:cat>
            <c:strLit>
              <c:ptCount val="1"/>
              <c:pt idx="0">
                <c:v>Total</c:v>
              </c:pt>
            </c:strLit>
          </c:cat>
          <c:val>
            <c:numLit>
              <c:formatCode>General</c:formatCode>
              <c:ptCount val="1"/>
              <c:pt idx="0">
                <c:v>0.6</c:v>
              </c:pt>
            </c:numLit>
          </c:val>
          <c:extLst>
            <c:ext xmlns:c16="http://schemas.microsoft.com/office/drawing/2014/chart" uri="{C3380CC4-5D6E-409C-BE32-E72D297353CC}">
              <c16:uniqueId val="{00000000-6884-40D7-98DF-00BDB5898463}"/>
            </c:ext>
          </c:extLst>
        </c:ser>
        <c:ser>
          <c:idx val="1"/>
          <c:order val="1"/>
          <c:tx>
            <c:v>1</c:v>
          </c:tx>
          <c:spPr>
            <a:solidFill>
              <a:schemeClr val="accent2"/>
            </a:solidFill>
            <a:ln>
              <a:noFill/>
            </a:ln>
            <a:effectLst/>
          </c:spPr>
          <c:invertIfNegative val="0"/>
          <c:cat>
            <c:strLit>
              <c:ptCount val="1"/>
              <c:pt idx="0">
                <c:v>Total</c:v>
              </c:pt>
            </c:strLit>
          </c:cat>
          <c:val>
            <c:numLit>
              <c:formatCode>General</c:formatCode>
              <c:ptCount val="1"/>
              <c:pt idx="0">
                <c:v>0.6</c:v>
              </c:pt>
            </c:numLit>
          </c:val>
          <c:extLst>
            <c:ext xmlns:c16="http://schemas.microsoft.com/office/drawing/2014/chart" uri="{C3380CC4-5D6E-409C-BE32-E72D297353CC}">
              <c16:uniqueId val="{00000003-6884-40D7-98DF-00BDB5898463}"/>
            </c:ext>
          </c:extLst>
        </c:ser>
        <c:ser>
          <c:idx val="2"/>
          <c:order val="2"/>
          <c:tx>
            <c:v>2</c:v>
          </c:tx>
          <c:spPr>
            <a:solidFill>
              <a:schemeClr val="accent3"/>
            </a:solidFill>
            <a:ln>
              <a:noFill/>
            </a:ln>
            <a:effectLst/>
          </c:spPr>
          <c:invertIfNegative val="0"/>
          <c:cat>
            <c:strLit>
              <c:ptCount val="1"/>
              <c:pt idx="0">
                <c:v>Total</c:v>
              </c:pt>
            </c:strLit>
          </c:cat>
          <c:val>
            <c:numLit>
              <c:formatCode>General</c:formatCode>
              <c:ptCount val="1"/>
              <c:pt idx="0">
                <c:v>0.48</c:v>
              </c:pt>
            </c:numLit>
          </c:val>
          <c:extLst>
            <c:ext xmlns:c16="http://schemas.microsoft.com/office/drawing/2014/chart" uri="{C3380CC4-5D6E-409C-BE32-E72D297353CC}">
              <c16:uniqueId val="{00000004-6884-40D7-98DF-00BDB5898463}"/>
            </c:ext>
          </c:extLst>
        </c:ser>
        <c:ser>
          <c:idx val="3"/>
          <c:order val="3"/>
          <c:tx>
            <c:v>3</c:v>
          </c:tx>
          <c:spPr>
            <a:solidFill>
              <a:schemeClr val="accent4"/>
            </a:solidFill>
            <a:ln>
              <a:noFill/>
            </a:ln>
            <a:effectLst/>
          </c:spPr>
          <c:invertIfNegative val="0"/>
          <c:cat>
            <c:strLit>
              <c:ptCount val="1"/>
              <c:pt idx="0">
                <c:v>Total</c:v>
              </c:pt>
            </c:strLit>
          </c:cat>
          <c:val>
            <c:numLit>
              <c:formatCode>General</c:formatCode>
              <c:ptCount val="1"/>
              <c:pt idx="0">
                <c:v>0.432</c:v>
              </c:pt>
            </c:numLit>
          </c:val>
          <c:extLst>
            <c:ext xmlns:c16="http://schemas.microsoft.com/office/drawing/2014/chart" uri="{C3380CC4-5D6E-409C-BE32-E72D297353CC}">
              <c16:uniqueId val="{00000005-6884-40D7-98DF-00BDB5898463}"/>
            </c:ext>
          </c:extLst>
        </c:ser>
        <c:ser>
          <c:idx val="4"/>
          <c:order val="4"/>
          <c:tx>
            <c:v>4</c:v>
          </c:tx>
          <c:spPr>
            <a:solidFill>
              <a:schemeClr val="accent5"/>
            </a:solidFill>
            <a:ln>
              <a:noFill/>
            </a:ln>
            <a:effectLst/>
          </c:spPr>
          <c:invertIfNegative val="0"/>
          <c:cat>
            <c:strLit>
              <c:ptCount val="1"/>
              <c:pt idx="0">
                <c:v>Total</c:v>
              </c:pt>
            </c:strLit>
          </c:cat>
          <c:val>
            <c:numLit>
              <c:formatCode>General</c:formatCode>
              <c:ptCount val="1"/>
              <c:pt idx="0">
                <c:v>0.34560000000000002</c:v>
              </c:pt>
            </c:numLit>
          </c:val>
          <c:extLst>
            <c:ext xmlns:c16="http://schemas.microsoft.com/office/drawing/2014/chart" uri="{C3380CC4-5D6E-409C-BE32-E72D297353CC}">
              <c16:uniqueId val="{00000006-6884-40D7-98DF-00BDB5898463}"/>
            </c:ext>
          </c:extLst>
        </c:ser>
        <c:ser>
          <c:idx val="5"/>
          <c:order val="5"/>
          <c:tx>
            <c:v>5</c:v>
          </c:tx>
          <c:spPr>
            <a:solidFill>
              <a:schemeClr val="accent6"/>
            </a:solidFill>
            <a:ln>
              <a:noFill/>
            </a:ln>
            <a:effectLst/>
          </c:spPr>
          <c:invertIfNegative val="0"/>
          <c:cat>
            <c:strLit>
              <c:ptCount val="1"/>
              <c:pt idx="0">
                <c:v>Total</c:v>
              </c:pt>
            </c:strLit>
          </c:cat>
          <c:val>
            <c:numLit>
              <c:formatCode>General</c:formatCode>
              <c:ptCount val="1"/>
              <c:pt idx="0">
                <c:v>0.27648</c:v>
              </c:pt>
            </c:numLit>
          </c:val>
          <c:extLst>
            <c:ext xmlns:c16="http://schemas.microsoft.com/office/drawing/2014/chart" uri="{C3380CC4-5D6E-409C-BE32-E72D297353CC}">
              <c16:uniqueId val="{00000007-6884-40D7-98DF-00BDB5898463}"/>
            </c:ext>
          </c:extLst>
        </c:ser>
        <c:ser>
          <c:idx val="6"/>
          <c:order val="6"/>
          <c:tx>
            <c:v>6</c:v>
          </c:tx>
          <c:spPr>
            <a:solidFill>
              <a:schemeClr val="accent1">
                <a:lumMod val="60000"/>
              </a:schemeClr>
            </a:solidFill>
            <a:ln>
              <a:noFill/>
            </a:ln>
            <a:effectLst/>
          </c:spPr>
          <c:invertIfNegative val="0"/>
          <c:cat>
            <c:strLit>
              <c:ptCount val="1"/>
              <c:pt idx="0">
                <c:v>Total</c:v>
              </c:pt>
            </c:strLit>
          </c:cat>
          <c:val>
            <c:numLit>
              <c:formatCode>General</c:formatCode>
              <c:ptCount val="1"/>
              <c:pt idx="0">
                <c:v>0.22118399999999999</c:v>
              </c:pt>
            </c:numLit>
          </c:val>
          <c:extLst>
            <c:ext xmlns:c16="http://schemas.microsoft.com/office/drawing/2014/chart" uri="{C3380CC4-5D6E-409C-BE32-E72D297353CC}">
              <c16:uniqueId val="{00000008-6884-40D7-98DF-00BDB5898463}"/>
            </c:ext>
          </c:extLst>
        </c:ser>
        <c:ser>
          <c:idx val="7"/>
          <c:order val="7"/>
          <c:tx>
            <c:v>7</c:v>
          </c:tx>
          <c:spPr>
            <a:solidFill>
              <a:schemeClr val="accent2">
                <a:lumMod val="60000"/>
              </a:schemeClr>
            </a:solidFill>
            <a:ln>
              <a:noFill/>
            </a:ln>
            <a:effectLst/>
          </c:spPr>
          <c:invertIfNegative val="0"/>
          <c:cat>
            <c:strLit>
              <c:ptCount val="1"/>
              <c:pt idx="0">
                <c:v>Total</c:v>
              </c:pt>
            </c:strLit>
          </c:cat>
          <c:val>
            <c:numLit>
              <c:formatCode>General</c:formatCode>
              <c:ptCount val="1"/>
              <c:pt idx="0">
                <c:v>0.1769472</c:v>
              </c:pt>
            </c:numLit>
          </c:val>
          <c:extLst>
            <c:ext xmlns:c16="http://schemas.microsoft.com/office/drawing/2014/chart" uri="{C3380CC4-5D6E-409C-BE32-E72D297353CC}">
              <c16:uniqueId val="{00000009-6884-40D7-98DF-00BDB5898463}"/>
            </c:ext>
          </c:extLst>
        </c:ser>
        <c:ser>
          <c:idx val="8"/>
          <c:order val="8"/>
          <c:tx>
            <c:v>8</c:v>
          </c:tx>
          <c:spPr>
            <a:solidFill>
              <a:schemeClr val="accent3">
                <a:lumMod val="60000"/>
              </a:schemeClr>
            </a:solidFill>
            <a:ln>
              <a:noFill/>
            </a:ln>
            <a:effectLst/>
          </c:spPr>
          <c:invertIfNegative val="0"/>
          <c:cat>
            <c:strLit>
              <c:ptCount val="1"/>
              <c:pt idx="0">
                <c:v>Total</c:v>
              </c:pt>
            </c:strLit>
          </c:cat>
          <c:val>
            <c:numLit>
              <c:formatCode>General</c:formatCode>
              <c:ptCount val="1"/>
              <c:pt idx="0">
                <c:v>0.14155776</c:v>
              </c:pt>
            </c:numLit>
          </c:val>
          <c:extLst>
            <c:ext xmlns:c16="http://schemas.microsoft.com/office/drawing/2014/chart" uri="{C3380CC4-5D6E-409C-BE32-E72D297353CC}">
              <c16:uniqueId val="{0000000A-6884-40D7-98DF-00BDB5898463}"/>
            </c:ext>
          </c:extLst>
        </c:ser>
        <c:ser>
          <c:idx val="9"/>
          <c:order val="9"/>
          <c:tx>
            <c:v>9</c:v>
          </c:tx>
          <c:spPr>
            <a:solidFill>
              <a:schemeClr val="accent4">
                <a:lumMod val="60000"/>
              </a:schemeClr>
            </a:solidFill>
            <a:ln>
              <a:noFill/>
            </a:ln>
            <a:effectLst/>
          </c:spPr>
          <c:invertIfNegative val="0"/>
          <c:cat>
            <c:strLit>
              <c:ptCount val="1"/>
              <c:pt idx="0">
                <c:v>Total</c:v>
              </c:pt>
            </c:strLit>
          </c:cat>
          <c:val>
            <c:numLit>
              <c:formatCode>General</c:formatCode>
              <c:ptCount val="1"/>
              <c:pt idx="0">
                <c:v>0.11324628</c:v>
              </c:pt>
            </c:numLit>
          </c:val>
          <c:extLst>
            <c:ext xmlns:c16="http://schemas.microsoft.com/office/drawing/2014/chart" uri="{C3380CC4-5D6E-409C-BE32-E72D297353CC}">
              <c16:uniqueId val="{0000000B-6884-40D7-98DF-00BDB5898463}"/>
            </c:ext>
          </c:extLst>
        </c:ser>
        <c:ser>
          <c:idx val="10"/>
          <c:order val="10"/>
          <c:tx>
            <c:v>10</c:v>
          </c:tx>
          <c:spPr>
            <a:solidFill>
              <a:schemeClr val="accent5">
                <a:lumMod val="60000"/>
              </a:schemeClr>
            </a:solidFill>
            <a:ln>
              <a:noFill/>
            </a:ln>
            <a:effectLst/>
          </c:spPr>
          <c:invertIfNegative val="0"/>
          <c:cat>
            <c:strLit>
              <c:ptCount val="1"/>
              <c:pt idx="0">
                <c:v>Total</c:v>
              </c:pt>
            </c:strLit>
          </c:cat>
          <c:val>
            <c:numLit>
              <c:formatCode>General</c:formatCode>
              <c:ptCount val="1"/>
              <c:pt idx="0">
                <c:v>9.0596966400000006E-2</c:v>
              </c:pt>
            </c:numLit>
          </c:val>
          <c:extLst>
            <c:ext xmlns:c16="http://schemas.microsoft.com/office/drawing/2014/chart" uri="{C3380CC4-5D6E-409C-BE32-E72D297353CC}">
              <c16:uniqueId val="{0000000C-6884-40D7-98DF-00BDB5898463}"/>
            </c:ext>
          </c:extLst>
        </c:ser>
        <c:dLbls>
          <c:showLegendKey val="0"/>
          <c:showVal val="0"/>
          <c:showCatName val="0"/>
          <c:showSerName val="0"/>
          <c:showPercent val="0"/>
          <c:showBubbleSize val="0"/>
        </c:dLbls>
        <c:gapWidth val="219"/>
        <c:overlap val="-27"/>
        <c:axId val="1206752464"/>
        <c:axId val="1206753904"/>
      </c:barChart>
      <c:catAx>
        <c:axId val="12067524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753904"/>
        <c:crosses val="autoZero"/>
        <c:auto val="1"/>
        <c:lblAlgn val="ctr"/>
        <c:lblOffset val="100"/>
        <c:noMultiLvlLbl val="0"/>
        <c:extLst>
          <c:ext xmlns:c15="http://schemas.microsoft.com/office/drawing/2012/chart" uri="{F40574EE-89B7-4290-83BB-5DA773EAF853}">
            <c15:numFmt c:formatCode="General" c:sourceLinked="1"/>
          </c:ext>
        </c:extLst>
      </c:catAx>
      <c:valAx>
        <c:axId val="120675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75246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[Unit 4 Assignment (1).xlsx]PivotChartTable1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80927384076991E-2"/>
          <c:y val="0.14712744240303297"/>
          <c:w val="0.66730796150481186"/>
          <c:h val="0.75047317002041414"/>
        </c:manualLayout>
      </c:layout>
      <c:lineChart>
        <c:grouping val="stacked"/>
        <c:varyColors val="0"/>
        <c:ser>
          <c:idx val="0"/>
          <c:order val="0"/>
          <c:tx>
            <c:v>Sum of Cumulative Probability</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1"/>
              <c:pt idx="0">
                <c:v>0</c:v>
              </c:pt>
              <c:pt idx="1">
                <c:v>1</c:v>
              </c:pt>
              <c:pt idx="2">
                <c:v>2</c:v>
              </c:pt>
              <c:pt idx="3">
                <c:v>3</c:v>
              </c:pt>
              <c:pt idx="4">
                <c:v>4</c:v>
              </c:pt>
              <c:pt idx="5">
                <c:v>5</c:v>
              </c:pt>
              <c:pt idx="6">
                <c:v>6</c:v>
              </c:pt>
              <c:pt idx="7">
                <c:v>7</c:v>
              </c:pt>
              <c:pt idx="8">
                <c:v>8</c:v>
              </c:pt>
              <c:pt idx="9">
                <c:v>9</c:v>
              </c:pt>
              <c:pt idx="10">
                <c:v>10</c:v>
              </c:pt>
            </c:strLit>
          </c:cat>
          <c:val>
            <c:numLit>
              <c:formatCode>General</c:formatCode>
              <c:ptCount val="11"/>
              <c:pt idx="0">
                <c:v>0.6</c:v>
              </c:pt>
              <c:pt idx="1">
                <c:v>0.96</c:v>
              </c:pt>
              <c:pt idx="2">
                <c:v>0.99839999999999995</c:v>
              </c:pt>
              <c:pt idx="3">
                <c:v>0.99993600000000005</c:v>
              </c:pt>
              <c:pt idx="4">
                <c:v>0.99999808000000001</c:v>
              </c:pt>
              <c:pt idx="5">
                <c:v>0.99999999683200003</c:v>
              </c:pt>
              <c:pt idx="6">
                <c:v>0.99999999955200003</c:v>
              </c:pt>
              <c:pt idx="7">
                <c:v>0.99999999988800004</c:v>
              </c:pt>
              <c:pt idx="8">
                <c:v>0.99999999998</c:v>
              </c:pt>
              <c:pt idx="9">
                <c:v>0.99999999999800004</c:v>
              </c:pt>
              <c:pt idx="10">
                <c:v>1</c:v>
              </c:pt>
            </c:numLit>
          </c:val>
          <c:smooth val="0"/>
          <c:extLst>
            <c:ext xmlns:c16="http://schemas.microsoft.com/office/drawing/2014/chart" uri="{C3380CC4-5D6E-409C-BE32-E72D297353CC}">
              <c16:uniqueId val="{00000002-0C24-46D7-A955-2D43C3445B4F}"/>
            </c:ext>
          </c:extLst>
        </c:ser>
        <c:ser>
          <c:idx val="1"/>
          <c:order val="1"/>
          <c:tx>
            <c:v>Sum of Individual Probability</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1"/>
              <c:pt idx="0">
                <c:v>0</c:v>
              </c:pt>
              <c:pt idx="1">
                <c:v>1</c:v>
              </c:pt>
              <c:pt idx="2">
                <c:v>2</c:v>
              </c:pt>
              <c:pt idx="3">
                <c:v>3</c:v>
              </c:pt>
              <c:pt idx="4">
                <c:v>4</c:v>
              </c:pt>
              <c:pt idx="5">
                <c:v>5</c:v>
              </c:pt>
              <c:pt idx="6">
                <c:v>6</c:v>
              </c:pt>
              <c:pt idx="7">
                <c:v>7</c:v>
              </c:pt>
              <c:pt idx="8">
                <c:v>8</c:v>
              </c:pt>
              <c:pt idx="9">
                <c:v>9</c:v>
              </c:pt>
              <c:pt idx="10">
                <c:v>10</c:v>
              </c:pt>
            </c:strLit>
          </c:cat>
          <c:val>
            <c:numLit>
              <c:formatCode>General</c:formatCode>
              <c:ptCount val="11"/>
              <c:pt idx="0">
                <c:v>0.6</c:v>
              </c:pt>
              <c:pt idx="1">
                <c:v>0.6</c:v>
              </c:pt>
              <c:pt idx="2">
                <c:v>0.48</c:v>
              </c:pt>
              <c:pt idx="3">
                <c:v>0.432</c:v>
              </c:pt>
              <c:pt idx="4">
                <c:v>0.34560000000000002</c:v>
              </c:pt>
              <c:pt idx="5">
                <c:v>0.27648</c:v>
              </c:pt>
              <c:pt idx="6">
                <c:v>0.22118399999999999</c:v>
              </c:pt>
              <c:pt idx="7">
                <c:v>0.1769472</c:v>
              </c:pt>
              <c:pt idx="8">
                <c:v>0.14155776</c:v>
              </c:pt>
              <c:pt idx="9">
                <c:v>0.11324628</c:v>
              </c:pt>
              <c:pt idx="10">
                <c:v>9.0596966400000006E-2</c:v>
              </c:pt>
            </c:numLit>
          </c:val>
          <c:smooth val="0"/>
          <c:extLst>
            <c:ext xmlns:c16="http://schemas.microsoft.com/office/drawing/2014/chart" uri="{C3380CC4-5D6E-409C-BE32-E72D297353CC}">
              <c16:uniqueId val="{00000003-0C24-46D7-A955-2D43C3445B4F}"/>
            </c:ext>
          </c:extLst>
        </c:ser>
        <c:dLbls>
          <c:showLegendKey val="0"/>
          <c:showVal val="0"/>
          <c:showCatName val="0"/>
          <c:showSerName val="0"/>
          <c:showPercent val="0"/>
          <c:showBubbleSize val="0"/>
        </c:dLbls>
        <c:marker val="1"/>
        <c:smooth val="0"/>
        <c:axId val="321392832"/>
        <c:axId val="321391392"/>
      </c:lineChart>
      <c:catAx>
        <c:axId val="32139283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91392"/>
        <c:crosses val="autoZero"/>
        <c:auto val="1"/>
        <c:lblAlgn val="ctr"/>
        <c:lblOffset val="100"/>
        <c:noMultiLvlLbl val="0"/>
        <c:extLst>
          <c:ext xmlns:c15="http://schemas.microsoft.com/office/drawing/2012/chart" uri="{F40574EE-89B7-4290-83BB-5DA773EAF853}">
            <c15:numFmt c:formatCode="General" c:sourceLinked="1"/>
          </c:ext>
        </c:extLst>
      </c:catAx>
      <c:valAx>
        <c:axId val="32139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9283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[Unit 4 Assignment (1).xlsx]PivotChartTable2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0</c:v>
          </c:tx>
          <c:spPr>
            <a:solidFill>
              <a:schemeClr val="accent1"/>
            </a:solidFill>
            <a:ln>
              <a:noFill/>
            </a:ln>
            <a:effectLst/>
          </c:spPr>
          <c:invertIfNegative val="0"/>
          <c:cat>
            <c:strLit>
              <c:ptCount val="1"/>
              <c:pt idx="0">
                <c:v>Total</c:v>
              </c:pt>
            </c:strLit>
          </c:cat>
          <c:val>
            <c:numLit>
              <c:formatCode>General</c:formatCode>
              <c:ptCount val="1"/>
              <c:pt idx="0">
                <c:v>0.6</c:v>
              </c:pt>
            </c:numLit>
          </c:val>
          <c:extLst>
            <c:ext xmlns:c16="http://schemas.microsoft.com/office/drawing/2014/chart" uri="{C3380CC4-5D6E-409C-BE32-E72D297353CC}">
              <c16:uniqueId val="{00000002-C041-4242-813F-72A7FAD1D446}"/>
            </c:ext>
          </c:extLst>
        </c:ser>
        <c:ser>
          <c:idx val="1"/>
          <c:order val="1"/>
          <c:tx>
            <c:v>1</c:v>
          </c:tx>
          <c:spPr>
            <a:solidFill>
              <a:schemeClr val="accent2"/>
            </a:solidFill>
            <a:ln>
              <a:noFill/>
            </a:ln>
            <a:effectLst/>
          </c:spPr>
          <c:invertIfNegative val="0"/>
          <c:cat>
            <c:strLit>
              <c:ptCount val="1"/>
              <c:pt idx="0">
                <c:v>Total</c:v>
              </c:pt>
            </c:strLit>
          </c:cat>
          <c:val>
            <c:numLit>
              <c:formatCode>General</c:formatCode>
              <c:ptCount val="1"/>
              <c:pt idx="0">
                <c:v>0.96</c:v>
              </c:pt>
            </c:numLit>
          </c:val>
          <c:extLst>
            <c:ext xmlns:c16="http://schemas.microsoft.com/office/drawing/2014/chart" uri="{C3380CC4-5D6E-409C-BE32-E72D297353CC}">
              <c16:uniqueId val="{00000003-C041-4242-813F-72A7FAD1D446}"/>
            </c:ext>
          </c:extLst>
        </c:ser>
        <c:ser>
          <c:idx val="2"/>
          <c:order val="2"/>
          <c:tx>
            <c:v>2</c:v>
          </c:tx>
          <c:spPr>
            <a:solidFill>
              <a:schemeClr val="accent3"/>
            </a:solidFill>
            <a:ln>
              <a:noFill/>
            </a:ln>
            <a:effectLst/>
          </c:spPr>
          <c:invertIfNegative val="0"/>
          <c:cat>
            <c:strLit>
              <c:ptCount val="1"/>
              <c:pt idx="0">
                <c:v>Total</c:v>
              </c:pt>
            </c:strLit>
          </c:cat>
          <c:val>
            <c:numLit>
              <c:formatCode>General</c:formatCode>
              <c:ptCount val="1"/>
              <c:pt idx="0">
                <c:v>0.99839999999999995</c:v>
              </c:pt>
            </c:numLit>
          </c:val>
          <c:extLst>
            <c:ext xmlns:c16="http://schemas.microsoft.com/office/drawing/2014/chart" uri="{C3380CC4-5D6E-409C-BE32-E72D297353CC}">
              <c16:uniqueId val="{00000004-C041-4242-813F-72A7FAD1D446}"/>
            </c:ext>
          </c:extLst>
        </c:ser>
        <c:ser>
          <c:idx val="3"/>
          <c:order val="3"/>
          <c:tx>
            <c:v>3</c:v>
          </c:tx>
          <c:spPr>
            <a:solidFill>
              <a:schemeClr val="accent4"/>
            </a:solidFill>
            <a:ln>
              <a:noFill/>
            </a:ln>
            <a:effectLst/>
          </c:spPr>
          <c:invertIfNegative val="0"/>
          <c:cat>
            <c:strLit>
              <c:ptCount val="1"/>
              <c:pt idx="0">
                <c:v>Total</c:v>
              </c:pt>
            </c:strLit>
          </c:cat>
          <c:val>
            <c:numLit>
              <c:formatCode>General</c:formatCode>
              <c:ptCount val="1"/>
              <c:pt idx="0">
                <c:v>0.99993600000000005</c:v>
              </c:pt>
            </c:numLit>
          </c:val>
          <c:extLst>
            <c:ext xmlns:c16="http://schemas.microsoft.com/office/drawing/2014/chart" uri="{C3380CC4-5D6E-409C-BE32-E72D297353CC}">
              <c16:uniqueId val="{00000005-C041-4242-813F-72A7FAD1D446}"/>
            </c:ext>
          </c:extLst>
        </c:ser>
        <c:ser>
          <c:idx val="4"/>
          <c:order val="4"/>
          <c:tx>
            <c:v>4</c:v>
          </c:tx>
          <c:spPr>
            <a:solidFill>
              <a:schemeClr val="accent5"/>
            </a:solidFill>
            <a:ln>
              <a:noFill/>
            </a:ln>
            <a:effectLst/>
          </c:spPr>
          <c:invertIfNegative val="0"/>
          <c:cat>
            <c:strLit>
              <c:ptCount val="1"/>
              <c:pt idx="0">
                <c:v>Total</c:v>
              </c:pt>
            </c:strLit>
          </c:cat>
          <c:val>
            <c:numLit>
              <c:formatCode>General</c:formatCode>
              <c:ptCount val="1"/>
              <c:pt idx="0">
                <c:v>0.99999808000000001</c:v>
              </c:pt>
            </c:numLit>
          </c:val>
          <c:extLst>
            <c:ext xmlns:c16="http://schemas.microsoft.com/office/drawing/2014/chart" uri="{C3380CC4-5D6E-409C-BE32-E72D297353CC}">
              <c16:uniqueId val="{00000006-C041-4242-813F-72A7FAD1D446}"/>
            </c:ext>
          </c:extLst>
        </c:ser>
        <c:ser>
          <c:idx val="5"/>
          <c:order val="5"/>
          <c:tx>
            <c:v>5</c:v>
          </c:tx>
          <c:spPr>
            <a:solidFill>
              <a:schemeClr val="accent6"/>
            </a:solidFill>
            <a:ln>
              <a:noFill/>
            </a:ln>
            <a:effectLst/>
          </c:spPr>
          <c:invertIfNegative val="0"/>
          <c:cat>
            <c:strLit>
              <c:ptCount val="1"/>
              <c:pt idx="0">
                <c:v>Total</c:v>
              </c:pt>
            </c:strLit>
          </c:cat>
          <c:val>
            <c:numLit>
              <c:formatCode>General</c:formatCode>
              <c:ptCount val="1"/>
              <c:pt idx="0">
                <c:v>0.99999999683200003</c:v>
              </c:pt>
            </c:numLit>
          </c:val>
          <c:extLst>
            <c:ext xmlns:c16="http://schemas.microsoft.com/office/drawing/2014/chart" uri="{C3380CC4-5D6E-409C-BE32-E72D297353CC}">
              <c16:uniqueId val="{00000007-C041-4242-813F-72A7FAD1D446}"/>
            </c:ext>
          </c:extLst>
        </c:ser>
        <c:ser>
          <c:idx val="6"/>
          <c:order val="6"/>
          <c:tx>
            <c:v>6</c:v>
          </c:tx>
          <c:spPr>
            <a:solidFill>
              <a:schemeClr val="accent1">
                <a:lumMod val="60000"/>
              </a:schemeClr>
            </a:solidFill>
            <a:ln>
              <a:noFill/>
            </a:ln>
            <a:effectLst/>
          </c:spPr>
          <c:invertIfNegative val="0"/>
          <c:cat>
            <c:strLit>
              <c:ptCount val="1"/>
              <c:pt idx="0">
                <c:v>Total</c:v>
              </c:pt>
            </c:strLit>
          </c:cat>
          <c:val>
            <c:numLit>
              <c:formatCode>General</c:formatCode>
              <c:ptCount val="1"/>
              <c:pt idx="0">
                <c:v>0.99999999955200003</c:v>
              </c:pt>
            </c:numLit>
          </c:val>
          <c:extLst>
            <c:ext xmlns:c16="http://schemas.microsoft.com/office/drawing/2014/chart" uri="{C3380CC4-5D6E-409C-BE32-E72D297353CC}">
              <c16:uniqueId val="{00000008-C041-4242-813F-72A7FAD1D446}"/>
            </c:ext>
          </c:extLst>
        </c:ser>
        <c:ser>
          <c:idx val="7"/>
          <c:order val="7"/>
          <c:tx>
            <c:v>7</c:v>
          </c:tx>
          <c:spPr>
            <a:solidFill>
              <a:schemeClr val="accent2">
                <a:lumMod val="60000"/>
              </a:schemeClr>
            </a:solidFill>
            <a:ln>
              <a:noFill/>
            </a:ln>
            <a:effectLst/>
          </c:spPr>
          <c:invertIfNegative val="0"/>
          <c:cat>
            <c:strLit>
              <c:ptCount val="1"/>
              <c:pt idx="0">
                <c:v>Total</c:v>
              </c:pt>
            </c:strLit>
          </c:cat>
          <c:val>
            <c:numLit>
              <c:formatCode>General</c:formatCode>
              <c:ptCount val="1"/>
              <c:pt idx="0">
                <c:v>0.99999999988800004</c:v>
              </c:pt>
            </c:numLit>
          </c:val>
          <c:extLst>
            <c:ext xmlns:c16="http://schemas.microsoft.com/office/drawing/2014/chart" uri="{C3380CC4-5D6E-409C-BE32-E72D297353CC}">
              <c16:uniqueId val="{00000009-C041-4242-813F-72A7FAD1D446}"/>
            </c:ext>
          </c:extLst>
        </c:ser>
        <c:ser>
          <c:idx val="8"/>
          <c:order val="8"/>
          <c:tx>
            <c:v>8</c:v>
          </c:tx>
          <c:spPr>
            <a:solidFill>
              <a:schemeClr val="accent3">
                <a:lumMod val="60000"/>
              </a:schemeClr>
            </a:solidFill>
            <a:ln>
              <a:noFill/>
            </a:ln>
            <a:effectLst/>
          </c:spPr>
          <c:invertIfNegative val="0"/>
          <c:cat>
            <c:strLit>
              <c:ptCount val="1"/>
              <c:pt idx="0">
                <c:v>Total</c:v>
              </c:pt>
            </c:strLit>
          </c:cat>
          <c:val>
            <c:numLit>
              <c:formatCode>General</c:formatCode>
              <c:ptCount val="1"/>
              <c:pt idx="0">
                <c:v>0.99999999998</c:v>
              </c:pt>
            </c:numLit>
          </c:val>
          <c:extLst>
            <c:ext xmlns:c16="http://schemas.microsoft.com/office/drawing/2014/chart" uri="{C3380CC4-5D6E-409C-BE32-E72D297353CC}">
              <c16:uniqueId val="{0000000A-C041-4242-813F-72A7FAD1D446}"/>
            </c:ext>
          </c:extLst>
        </c:ser>
        <c:ser>
          <c:idx val="9"/>
          <c:order val="9"/>
          <c:tx>
            <c:v>9</c:v>
          </c:tx>
          <c:spPr>
            <a:solidFill>
              <a:schemeClr val="accent4">
                <a:lumMod val="60000"/>
              </a:schemeClr>
            </a:solidFill>
            <a:ln>
              <a:noFill/>
            </a:ln>
            <a:effectLst/>
          </c:spPr>
          <c:invertIfNegative val="0"/>
          <c:cat>
            <c:strLit>
              <c:ptCount val="1"/>
              <c:pt idx="0">
                <c:v>Total</c:v>
              </c:pt>
            </c:strLit>
          </c:cat>
          <c:val>
            <c:numLit>
              <c:formatCode>General</c:formatCode>
              <c:ptCount val="1"/>
              <c:pt idx="0">
                <c:v>0.99999999999800004</c:v>
              </c:pt>
            </c:numLit>
          </c:val>
          <c:extLst>
            <c:ext xmlns:c16="http://schemas.microsoft.com/office/drawing/2014/chart" uri="{C3380CC4-5D6E-409C-BE32-E72D297353CC}">
              <c16:uniqueId val="{0000000B-C041-4242-813F-72A7FAD1D446}"/>
            </c:ext>
          </c:extLst>
        </c:ser>
        <c:ser>
          <c:idx val="10"/>
          <c:order val="10"/>
          <c:tx>
            <c:v>10</c:v>
          </c:tx>
          <c:spPr>
            <a:solidFill>
              <a:schemeClr val="accent5">
                <a:lumMod val="60000"/>
              </a:schemeClr>
            </a:solidFill>
            <a:ln>
              <a:noFill/>
            </a:ln>
            <a:effectLst/>
          </c:spPr>
          <c:invertIfNegative val="0"/>
          <c:cat>
            <c:strLit>
              <c:ptCount val="1"/>
              <c:pt idx="0">
                <c:v>Total</c:v>
              </c:pt>
            </c:strLit>
          </c:cat>
          <c:val>
            <c:numLit>
              <c:formatCode>General</c:formatCode>
              <c:ptCount val="1"/>
              <c:pt idx="0">
                <c:v>1</c:v>
              </c:pt>
            </c:numLit>
          </c:val>
          <c:extLst>
            <c:ext xmlns:c16="http://schemas.microsoft.com/office/drawing/2014/chart" uri="{C3380CC4-5D6E-409C-BE32-E72D297353CC}">
              <c16:uniqueId val="{0000000C-C041-4242-813F-72A7FAD1D446}"/>
            </c:ext>
          </c:extLst>
        </c:ser>
        <c:dLbls>
          <c:showLegendKey val="0"/>
          <c:showVal val="0"/>
          <c:showCatName val="0"/>
          <c:showSerName val="0"/>
          <c:showPercent val="0"/>
          <c:showBubbleSize val="0"/>
        </c:dLbls>
        <c:gapWidth val="219"/>
        <c:overlap val="-27"/>
        <c:axId val="325583072"/>
        <c:axId val="325577312"/>
      </c:barChart>
      <c:catAx>
        <c:axId val="3255830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577312"/>
        <c:crosses val="autoZero"/>
        <c:auto val="1"/>
        <c:lblAlgn val="ctr"/>
        <c:lblOffset val="100"/>
        <c:noMultiLvlLbl val="0"/>
        <c:extLst>
          <c:ext xmlns:c15="http://schemas.microsoft.com/office/drawing/2012/chart" uri="{F40574EE-89B7-4290-83BB-5DA773EAF853}">
            <c15:numFmt c:formatCode="General" c:sourceLinked="1"/>
          </c:ext>
        </c:extLst>
      </c:catAx>
      <c:valAx>
        <c:axId val="32557731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58307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[Unit 4 Assignment (1).xlsx]PivotChartTable3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15</xdr:col>
      <xdr:colOff>371475</xdr:colOff>
      <xdr:row>0</xdr:row>
      <xdr:rowOff>76200</xdr:rowOff>
    </xdr:from>
    <xdr:to>
      <xdr:col>25</xdr:col>
      <xdr:colOff>162747</xdr:colOff>
      <xdr:row>13</xdr:row>
      <xdr:rowOff>67065</xdr:rowOff>
    </xdr:to>
    <xdr:pic>
      <xdr:nvPicPr>
        <xdr:cNvPr id="2" name="Picture 1" descr="A cat in the grass&#10;&#10;Description automatically generated">
          <a:extLst>
            <a:ext uri="{FF2B5EF4-FFF2-40B4-BE49-F238E27FC236}">
              <a16:creationId xmlns:a16="http://schemas.microsoft.com/office/drawing/2014/main" id="{24EED5CC-EFBE-B8BD-397E-FC38E10CB267}"/>
            </a:ext>
          </a:extLst>
        </xdr:cNvPr>
        <xdr:cNvPicPr>
          <a:picLocks noChangeAspect="1"/>
        </xdr:cNvPicPr>
      </xdr:nvPicPr>
      <xdr:blipFill>
        <a:blip xmlns:r="http://schemas.openxmlformats.org/officeDocument/2006/relationships" r:embed="rId1"/>
        <a:stretch>
          <a:fillRect/>
        </a:stretch>
      </xdr:blipFill>
      <xdr:spPr>
        <a:xfrm>
          <a:off x="9515475" y="76200"/>
          <a:ext cx="5887272" cy="2791215"/>
        </a:xfrm>
        <a:prstGeom prst="rect">
          <a:avLst/>
        </a:prstGeom>
      </xdr:spPr>
    </xdr:pic>
    <xdr:clientData/>
  </xdr:twoCellAnchor>
  <xdr:twoCellAnchor>
    <xdr:from>
      <xdr:col>0</xdr:col>
      <xdr:colOff>14286</xdr:colOff>
      <xdr:row>22</xdr:row>
      <xdr:rowOff>180975</xdr:rowOff>
    </xdr:from>
    <xdr:to>
      <xdr:col>5</xdr:col>
      <xdr:colOff>742949</xdr:colOff>
      <xdr:row>37</xdr:row>
      <xdr:rowOff>57150</xdr:rowOff>
    </xdr:to>
    <xdr:graphicFrame macro="">
      <xdr:nvGraphicFramePr>
        <xdr:cNvPr id="3" name="Chart 2">
          <a:extLst>
            <a:ext uri="{FF2B5EF4-FFF2-40B4-BE49-F238E27FC236}">
              <a16:creationId xmlns:a16="http://schemas.microsoft.com/office/drawing/2014/main" id="{80DF9B59-5A0A-F1AF-13C6-22FF70B14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109537</xdr:colOff>
      <xdr:row>31</xdr:row>
      <xdr:rowOff>142875</xdr:rowOff>
    </xdr:from>
    <xdr:to>
      <xdr:col>13</xdr:col>
      <xdr:colOff>300037</xdr:colOff>
      <xdr:row>46</xdr:row>
      <xdr:rowOff>28575</xdr:rowOff>
    </xdr:to>
    <xdr:graphicFrame macro="">
      <xdr:nvGraphicFramePr>
        <xdr:cNvPr id="4" name="Chart 3">
          <a:extLst>
            <a:ext uri="{FF2B5EF4-FFF2-40B4-BE49-F238E27FC236}">
              <a16:creationId xmlns:a16="http://schemas.microsoft.com/office/drawing/2014/main" id="{5C59A1CD-BDF1-F806-5AFC-A922B887B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147637</xdr:colOff>
      <xdr:row>40</xdr:row>
      <xdr:rowOff>104775</xdr:rowOff>
    </xdr:from>
    <xdr:to>
      <xdr:col>5</xdr:col>
      <xdr:colOff>757237</xdr:colOff>
      <xdr:row>54</xdr:row>
      <xdr:rowOff>180975</xdr:rowOff>
    </xdr:to>
    <xdr:graphicFrame macro="">
      <xdr:nvGraphicFramePr>
        <xdr:cNvPr id="5" name="Chart 4">
          <a:extLst>
            <a:ext uri="{FF2B5EF4-FFF2-40B4-BE49-F238E27FC236}">
              <a16:creationId xmlns:a16="http://schemas.microsoft.com/office/drawing/2014/main" id="{D44315F6-A5E8-44D6-27E8-03E51EBB6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5</xdr:col>
      <xdr:colOff>269875</xdr:colOff>
      <xdr:row>9</xdr:row>
      <xdr:rowOff>282222</xdr:rowOff>
    </xdr:from>
    <xdr:ext cx="8053514" cy="5651482"/>
    <xdr:pic>
      <xdr:nvPicPr>
        <xdr:cNvPr id="2" name="Picture 1">
          <a:extLst>
            <a:ext uri="{FF2B5EF4-FFF2-40B4-BE49-F238E27FC236}">
              <a16:creationId xmlns:a16="http://schemas.microsoft.com/office/drawing/2014/main" id="{D24D4C81-97B9-400D-B2B4-1972508394FE}"/>
            </a:ext>
          </a:extLst>
        </xdr:cNvPr>
        <xdr:cNvPicPr>
          <a:picLocks noChangeAspect="1"/>
        </xdr:cNvPicPr>
      </xdr:nvPicPr>
      <xdr:blipFill>
        <a:blip xmlns:r="http://schemas.openxmlformats.org/officeDocument/2006/relationships" r:embed="rId1"/>
        <a:stretch>
          <a:fillRect/>
        </a:stretch>
      </xdr:blipFill>
      <xdr:spPr>
        <a:xfrm>
          <a:off x="4413250" y="1996722"/>
          <a:ext cx="8053514" cy="5651482"/>
        </a:xfrm>
        <a:prstGeom prst="rect">
          <a:avLst/>
        </a:prstGeom>
      </xdr:spPr>
    </xdr:pic>
    <xdr:clientData/>
  </xdr:oneCellAnchor>
  <xdr:twoCellAnchor>
    <xdr:from>
      <xdr:col>3</xdr:col>
      <xdr:colOff>1595260</xdr:colOff>
      <xdr:row>15</xdr:row>
      <xdr:rowOff>103011</xdr:rowOff>
    </xdr:from>
    <xdr:to>
      <xdr:col>3</xdr:col>
      <xdr:colOff>1627010</xdr:colOff>
      <xdr:row>28</xdr:row>
      <xdr:rowOff>55386</xdr:rowOff>
    </xdr:to>
    <xdr:cxnSp macro="">
      <xdr:nvCxnSpPr>
        <xdr:cNvPr id="3" name="Straight Connector 2">
          <a:extLst>
            <a:ext uri="{FF2B5EF4-FFF2-40B4-BE49-F238E27FC236}">
              <a16:creationId xmlns:a16="http://schemas.microsoft.com/office/drawing/2014/main" id="{5B128F16-284D-477C-9CB6-C0E395AFCAAA}"/>
            </a:ext>
          </a:extLst>
        </xdr:cNvPr>
        <xdr:cNvCxnSpPr/>
      </xdr:nvCxnSpPr>
      <xdr:spPr>
        <a:xfrm flipH="1">
          <a:off x="3319285" y="3103386"/>
          <a:ext cx="0" cy="255270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xdr:colOff>
      <xdr:row>11</xdr:row>
      <xdr:rowOff>342900</xdr:rowOff>
    </xdr:from>
    <xdr:to>
      <xdr:col>8</xdr:col>
      <xdr:colOff>57150</xdr:colOff>
      <xdr:row>25</xdr:row>
      <xdr:rowOff>63147</xdr:rowOff>
    </xdr:to>
    <xdr:cxnSp macro="">
      <xdr:nvCxnSpPr>
        <xdr:cNvPr id="4" name="Straight Connector 3">
          <a:extLst>
            <a:ext uri="{FF2B5EF4-FFF2-40B4-BE49-F238E27FC236}">
              <a16:creationId xmlns:a16="http://schemas.microsoft.com/office/drawing/2014/main" id="{5620D2DA-C27B-4F86-AE9B-CBFF6B4D0268}"/>
            </a:ext>
          </a:extLst>
        </xdr:cNvPr>
        <xdr:cNvCxnSpPr/>
      </xdr:nvCxnSpPr>
      <xdr:spPr>
        <a:xfrm flipH="1">
          <a:off x="6648450" y="2400300"/>
          <a:ext cx="38100" cy="2663472"/>
        </a:xfrm>
        <a:prstGeom prst="line">
          <a:avLst/>
        </a:prstGeom>
        <a:ln w="381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1049160</xdr:colOff>
      <xdr:row>15</xdr:row>
      <xdr:rowOff>80786</xdr:rowOff>
    </xdr:from>
    <xdr:to>
      <xdr:col>3</xdr:col>
      <xdr:colOff>1080910</xdr:colOff>
      <xdr:row>28</xdr:row>
      <xdr:rowOff>33161</xdr:rowOff>
    </xdr:to>
    <xdr:cxnSp macro="">
      <xdr:nvCxnSpPr>
        <xdr:cNvPr id="5" name="Straight Connector 4">
          <a:extLst>
            <a:ext uri="{FF2B5EF4-FFF2-40B4-BE49-F238E27FC236}">
              <a16:creationId xmlns:a16="http://schemas.microsoft.com/office/drawing/2014/main" id="{41E15179-2545-4332-9EC5-A20A41D8AA90}"/>
            </a:ext>
          </a:extLst>
        </xdr:cNvPr>
        <xdr:cNvCxnSpPr/>
      </xdr:nvCxnSpPr>
      <xdr:spPr>
        <a:xfrm flipH="1">
          <a:off x="3316110" y="3081161"/>
          <a:ext cx="3175" cy="255270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97.554780555554" backgroundQuery="1" createdVersion="8" refreshedVersion="8" minRefreshableVersion="3" recordCount="0" supportSubquery="1" supportAdvancedDrill="1" xr:uid="{5167ED5E-A9F5-4C03-BD1C-2145FBA896A5}">
  <cacheSource type="external" connectionId="1">
    <extLst>
      <ext xmlns:x14="http://schemas.microsoft.com/office/spreadsheetml/2009/9/main" uri="{F057638F-6D5F-4e77-A914-E7F072B9BCA8}">
        <x14:sourceConnection name="ThisWorkbookDataModel"/>
      </ext>
    </extLst>
  </cacheSource>
  <cacheFields count="3">
    <cacheField name="[Range 1].[Successful Trials].[Successful Trials]" caption="Successful Trials" numFmtId="0" hierarchy="2"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Range 1].[Successful Trials].&amp;[0]"/>
            <x15:cachedUniqueName index="1" name="[Range 1].[Successful Trials].&amp;[1]"/>
            <x15:cachedUniqueName index="2" name="[Range 1].[Successful Trials].&amp;[2]"/>
            <x15:cachedUniqueName index="3" name="[Range 1].[Successful Trials].&amp;[3]"/>
            <x15:cachedUniqueName index="4" name="[Range 1].[Successful Trials].&amp;[4]"/>
            <x15:cachedUniqueName index="5" name="[Range 1].[Successful Trials].&amp;[5]"/>
            <x15:cachedUniqueName index="6" name="[Range 1].[Successful Trials].&amp;[6]"/>
            <x15:cachedUniqueName index="7" name="[Range 1].[Successful Trials].&amp;[7]"/>
            <x15:cachedUniqueName index="8" name="[Range 1].[Successful Trials].&amp;[8]"/>
            <x15:cachedUniqueName index="9" name="[Range 1].[Successful Trials].&amp;[9]"/>
            <x15:cachedUniqueName index="10" name="[Range 1].[Successful Trials].&amp;[10]"/>
          </x15:cachedUniqueNames>
        </ext>
      </extLst>
    </cacheField>
    <cacheField name="[Measures].[Sum of Cumulative Probability]" caption="Sum of Cumulative Probability" numFmtId="0" hierarchy="14" level="32767"/>
    <cacheField name="[Measures].[Sum of Individual Probability 2]" caption="Sum of Individual Probability 2" numFmtId="0" hierarchy="15" level="32767"/>
  </cacheFields>
  <cacheHierarchies count="18">
    <cacheHierarchy uniqueName="[Range].[Successful Trials]" caption="Successful Trials" attribute="1" defaultMemberUniqueName="[Range].[Successful Trials].[All]" allUniqueName="[Range].[Successful Trials].[All]" dimensionUniqueName="[Range]" displayFolder="" count="0" memberValueDatatype="20" unbalanced="0"/>
    <cacheHierarchy uniqueName="[Range].[Individual Probability]" caption="Individual Probability" attribute="1" defaultMemberUniqueName="[Range].[Individual Probability].[All]" allUniqueName="[Range].[Individual Probability].[All]" dimensionUniqueName="[Range]" displayFolder="" count="0" memberValueDatatype="5" unbalanced="0"/>
    <cacheHierarchy uniqueName="[Range 1].[Successful Trials]" caption="Successful Trials" attribute="1" defaultMemberUniqueName="[Range 1].[Successful Trials].[All]" allUniqueName="[Range 1].[Successful Trials].[All]" dimensionUniqueName="[Range 1]" displayFolder="" count="2" memberValueDatatype="20" unbalanced="0">
      <fieldsUsage count="2">
        <fieldUsage x="-1"/>
        <fieldUsage x="0"/>
      </fieldsUsage>
    </cacheHierarchy>
    <cacheHierarchy uniqueName="[Range 1].[Individual Probability]" caption="Individual Probability" attribute="1" defaultMemberUniqueName="[Range 1].[Individual Probability].[All]" allUniqueName="[Range 1].[Individual Probability].[All]" dimensionUniqueName="[Range 1]" displayFolder="" count="0" memberValueDatatype="5" unbalanced="0"/>
    <cacheHierarchy uniqueName="[Range 1].[Cumulative Probability]" caption="Cumulative Probability" attribute="1" defaultMemberUniqueName="[Range 1].[Cumulative Probability].[All]" allUniqueName="[Range 1].[Cumulative Probability].[All]" dimensionUniqueName="[Range 1]" displayFolder="" count="0" memberValueDatatype="5" unbalanced="0"/>
    <cacheHierarchy uniqueName="[Range 2].[Successful Trials]" caption="Successful Trials" attribute="1" defaultMemberUniqueName="[Range 2].[Successful Trials].[All]" allUniqueName="[Range 2].[Successful Trials].[All]" dimensionUniqueName="[Range 2]" displayFolder="" count="0" memberValueDatatype="20" unbalanced="0"/>
    <cacheHierarchy uniqueName="[Range 2].[Cumulative Probability]" caption="Cumulative Probability" attribute="1" defaultMemberUniqueName="[Range 2].[Cumulative Probability].[All]" allUniqueName="[Range 2].[Cumulative Probability].[All]" dimensionUniqueName="[Range 2]"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ccessful Trials]" caption="Sum of Successful Trials" measure="1" displayFolder="" measureGroup="Range" count="0" hidden="1">
      <extLst>
        <ext xmlns:x15="http://schemas.microsoft.com/office/spreadsheetml/2010/11/main" uri="{B97F6D7D-B522-45F9-BDA1-12C45D357490}">
          <x15:cacheHierarchy aggregatedColumn="0"/>
        </ext>
      </extLst>
    </cacheHierarchy>
    <cacheHierarchy uniqueName="[Measures].[Sum of Individual Probability]" caption="Sum of Individual Probability" measure="1" displayFolder="" measureGroup="Range" count="0" hidden="1">
      <extLst>
        <ext xmlns:x15="http://schemas.microsoft.com/office/spreadsheetml/2010/11/main" uri="{B97F6D7D-B522-45F9-BDA1-12C45D357490}">
          <x15:cacheHierarchy aggregatedColumn="1"/>
        </ext>
      </extLst>
    </cacheHierarchy>
    <cacheHierarchy uniqueName="[Measures].[Sum of Successful Trials 2]" caption="Sum of Successful Trials 2" measure="1" displayFolder="" measureGroup="Range 1" count="0" hidden="1">
      <extLst>
        <ext xmlns:x15="http://schemas.microsoft.com/office/spreadsheetml/2010/11/main" uri="{B97F6D7D-B522-45F9-BDA1-12C45D357490}">
          <x15:cacheHierarchy aggregatedColumn="2"/>
        </ext>
      </extLst>
    </cacheHierarchy>
    <cacheHierarchy uniqueName="[Measures].[Sum of Cumulative Probability]" caption="Sum of Cumulative Probability" measure="1" displayFolder="" measureGroup="Range 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Individual Probability 2]" caption="Sum of Individual Probability 2" measure="1" displayFolder="" measureGroup="Range 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Successful Trials 3]" caption="Sum of Successful Trials 3" measure="1" displayFolder="" measureGroup="Range 2" count="0" hidden="1">
      <extLst>
        <ext xmlns:x15="http://schemas.microsoft.com/office/spreadsheetml/2010/11/main" uri="{B97F6D7D-B522-45F9-BDA1-12C45D357490}">
          <x15:cacheHierarchy aggregatedColumn="5"/>
        </ext>
      </extLst>
    </cacheHierarchy>
    <cacheHierarchy uniqueName="[Measures].[Sum of Cumulative Probability 2]" caption="Sum of Cumulative Probability 2" measure="1" displayFolder="" measureGroup="Range 2"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pivotCacheId="4209257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97.561227777776" backgroundQuery="1" createdVersion="8" refreshedVersion="8" minRefreshableVersion="3" recordCount="0" supportSubquery="1" supportAdvancedDrill="1" xr:uid="{4F4DBC1D-2896-4A6F-8B8B-0F1E0480F11D}">
  <cacheSource type="external" connectionId="1">
    <extLst>
      <ext xmlns:x14="http://schemas.microsoft.com/office/spreadsheetml/2009/9/main" uri="{F057638F-6D5F-4e77-A914-E7F072B9BCA8}">
        <x14:sourceConnection name="ThisWorkbookDataModel"/>
      </ext>
    </extLst>
  </cacheSource>
  <cacheFields count="2">
    <cacheField name="[Measures].[Sum of Individual Probability]" caption="Sum of Individual Probability" numFmtId="0" hierarchy="12" level="32767"/>
    <cacheField name="[Range].[Successful Trials].[Successful Trials]" caption="Successful Trials" numFmtId="0"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Range].[Successful Trials].&amp;[0]"/>
            <x15:cachedUniqueName index="1" name="[Range].[Successful Trials].&amp;[1]"/>
            <x15:cachedUniqueName index="2" name="[Range].[Successful Trials].&amp;[2]"/>
            <x15:cachedUniqueName index="3" name="[Range].[Successful Trials].&amp;[3]"/>
            <x15:cachedUniqueName index="4" name="[Range].[Successful Trials].&amp;[4]"/>
            <x15:cachedUniqueName index="5" name="[Range].[Successful Trials].&amp;[5]"/>
            <x15:cachedUniqueName index="6" name="[Range].[Successful Trials].&amp;[6]"/>
            <x15:cachedUniqueName index="7" name="[Range].[Successful Trials].&amp;[7]"/>
            <x15:cachedUniqueName index="8" name="[Range].[Successful Trials].&amp;[8]"/>
            <x15:cachedUniqueName index="9" name="[Range].[Successful Trials].&amp;[9]"/>
            <x15:cachedUniqueName index="10" name="[Range].[Successful Trials].&amp;[10]"/>
          </x15:cachedUniqueNames>
        </ext>
      </extLst>
    </cacheField>
  </cacheFields>
  <cacheHierarchies count="18">
    <cacheHierarchy uniqueName="[Range].[Successful Trials]" caption="Successful Trials" attribute="1" defaultMemberUniqueName="[Range].[Successful Trials].[All]" allUniqueName="[Range].[Successful Trials].[All]" dimensionUniqueName="[Range]" displayFolder="" count="2" memberValueDatatype="20" unbalanced="0">
      <fieldsUsage count="2">
        <fieldUsage x="-1"/>
        <fieldUsage x="1"/>
      </fieldsUsage>
    </cacheHierarchy>
    <cacheHierarchy uniqueName="[Range].[Individual Probability]" caption="Individual Probability" attribute="1" defaultMemberUniqueName="[Range].[Individual Probability].[All]" allUniqueName="[Range].[Individual Probability].[All]" dimensionUniqueName="[Range]" displayFolder="" count="0" memberValueDatatype="5" unbalanced="0"/>
    <cacheHierarchy uniqueName="[Range 1].[Successful Trials]" caption="Successful Trials" attribute="1" defaultMemberUniqueName="[Range 1].[Successful Trials].[All]" allUniqueName="[Range 1].[Successful Trials].[All]" dimensionUniqueName="[Range 1]" displayFolder="" count="0" memberValueDatatype="20" unbalanced="0"/>
    <cacheHierarchy uniqueName="[Range 1].[Individual Probability]" caption="Individual Probability" attribute="1" defaultMemberUniqueName="[Range 1].[Individual Probability].[All]" allUniqueName="[Range 1].[Individual Probability].[All]" dimensionUniqueName="[Range 1]" displayFolder="" count="0" memberValueDatatype="5" unbalanced="0"/>
    <cacheHierarchy uniqueName="[Range 1].[Cumulative Probability]" caption="Cumulative Probability" attribute="1" defaultMemberUniqueName="[Range 1].[Cumulative Probability].[All]" allUniqueName="[Range 1].[Cumulative Probability].[All]" dimensionUniqueName="[Range 1]" displayFolder="" count="0" memberValueDatatype="5" unbalanced="0"/>
    <cacheHierarchy uniqueName="[Range 2].[Successful Trials]" caption="Successful Trials" attribute="1" defaultMemberUniqueName="[Range 2].[Successful Trials].[All]" allUniqueName="[Range 2].[Successful Trials].[All]" dimensionUniqueName="[Range 2]" displayFolder="" count="0" memberValueDatatype="20" unbalanced="0"/>
    <cacheHierarchy uniqueName="[Range 2].[Cumulative Probability]" caption="Cumulative Probability" attribute="1" defaultMemberUniqueName="[Range 2].[Cumulative Probability].[All]" allUniqueName="[Range 2].[Cumulative Probability].[All]" dimensionUniqueName="[Range 2]"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ccessful Trials]" caption="Sum of Successful Trials" measure="1" displayFolder="" measureGroup="Range" count="0" hidden="1">
      <extLst>
        <ext xmlns:x15="http://schemas.microsoft.com/office/spreadsheetml/2010/11/main" uri="{B97F6D7D-B522-45F9-BDA1-12C45D357490}">
          <x15:cacheHierarchy aggregatedColumn="0"/>
        </ext>
      </extLst>
    </cacheHierarchy>
    <cacheHierarchy uniqueName="[Measures].[Sum of Individual Probability]" caption="Sum of Individual Probability"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uccessful Trials 2]" caption="Sum of Successful Trials 2" measure="1" displayFolder="" measureGroup="Range 1" count="0" hidden="1">
      <extLst>
        <ext xmlns:x15="http://schemas.microsoft.com/office/spreadsheetml/2010/11/main" uri="{B97F6D7D-B522-45F9-BDA1-12C45D357490}">
          <x15:cacheHierarchy aggregatedColumn="2"/>
        </ext>
      </extLst>
    </cacheHierarchy>
    <cacheHierarchy uniqueName="[Measures].[Sum of Cumulative Probability]" caption="Sum of Cumulative Probability" measure="1" displayFolder="" measureGroup="Range 1" count="0" hidden="1">
      <extLst>
        <ext xmlns:x15="http://schemas.microsoft.com/office/spreadsheetml/2010/11/main" uri="{B97F6D7D-B522-45F9-BDA1-12C45D357490}">
          <x15:cacheHierarchy aggregatedColumn="4"/>
        </ext>
      </extLst>
    </cacheHierarchy>
    <cacheHierarchy uniqueName="[Measures].[Sum of Individual Probability 2]" caption="Sum of Individual Probability 2" measure="1" displayFolder="" measureGroup="Range 1" count="0" hidden="1">
      <extLst>
        <ext xmlns:x15="http://schemas.microsoft.com/office/spreadsheetml/2010/11/main" uri="{B97F6D7D-B522-45F9-BDA1-12C45D357490}">
          <x15:cacheHierarchy aggregatedColumn="3"/>
        </ext>
      </extLst>
    </cacheHierarchy>
    <cacheHierarchy uniqueName="[Measures].[Sum of Successful Trials 3]" caption="Sum of Successful Trials 3" measure="1" displayFolder="" measureGroup="Range 2" count="0" hidden="1">
      <extLst>
        <ext xmlns:x15="http://schemas.microsoft.com/office/spreadsheetml/2010/11/main" uri="{B97F6D7D-B522-45F9-BDA1-12C45D357490}">
          <x15:cacheHierarchy aggregatedColumn="5"/>
        </ext>
      </extLst>
    </cacheHierarchy>
    <cacheHierarchy uniqueName="[Measures].[Sum of Cumulative Probability 2]" caption="Sum of Cumulative Probability 2" measure="1" displayFolder="" measureGroup="Range 2"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pivotCacheId="2550696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697.561412037037" backgroundQuery="1" createdVersion="8" refreshedVersion="8" minRefreshableVersion="3" recordCount="0" supportSubquery="1" supportAdvancedDrill="1" xr:uid="{59721BC2-507D-4D12-B2B3-D154AD94493B}">
  <cacheSource type="external" connectionId="1">
    <extLst>
      <ext xmlns:x14="http://schemas.microsoft.com/office/spreadsheetml/2009/9/main" uri="{F057638F-6D5F-4e77-A914-E7F072B9BCA8}">
        <x14:sourceConnection name="ThisWorkbookDataModel"/>
      </ext>
    </extLst>
  </cacheSource>
  <cacheFields count="2">
    <cacheField name="[Range 2].[Successful Trials].[Successful Trials]" caption="Successful Trials" numFmtId="0" hierarchy="5"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Range 2].[Successful Trials].&amp;[0]"/>
            <x15:cachedUniqueName index="1" name="[Range 2].[Successful Trials].&amp;[1]"/>
            <x15:cachedUniqueName index="2" name="[Range 2].[Successful Trials].&amp;[2]"/>
            <x15:cachedUniqueName index="3" name="[Range 2].[Successful Trials].&amp;[3]"/>
            <x15:cachedUniqueName index="4" name="[Range 2].[Successful Trials].&amp;[4]"/>
            <x15:cachedUniqueName index="5" name="[Range 2].[Successful Trials].&amp;[5]"/>
            <x15:cachedUniqueName index="6" name="[Range 2].[Successful Trials].&amp;[6]"/>
            <x15:cachedUniqueName index="7" name="[Range 2].[Successful Trials].&amp;[7]"/>
            <x15:cachedUniqueName index="8" name="[Range 2].[Successful Trials].&amp;[8]"/>
            <x15:cachedUniqueName index="9" name="[Range 2].[Successful Trials].&amp;[9]"/>
            <x15:cachedUniqueName index="10" name="[Range 2].[Successful Trials].&amp;[10]"/>
          </x15:cachedUniqueNames>
        </ext>
      </extLst>
    </cacheField>
    <cacheField name="[Measures].[Sum of Cumulative Probability 2]" caption="Sum of Cumulative Probability 2" numFmtId="0" hierarchy="17" level="32767"/>
  </cacheFields>
  <cacheHierarchies count="18">
    <cacheHierarchy uniqueName="[Range].[Successful Trials]" caption="Successful Trials" attribute="1" defaultMemberUniqueName="[Range].[Successful Trials].[All]" allUniqueName="[Range].[Successful Trials].[All]" dimensionUniqueName="[Range]" displayFolder="" count="0" memberValueDatatype="20" unbalanced="0"/>
    <cacheHierarchy uniqueName="[Range].[Individual Probability]" caption="Individual Probability" attribute="1" defaultMemberUniqueName="[Range].[Individual Probability].[All]" allUniqueName="[Range].[Individual Probability].[All]" dimensionUniqueName="[Range]" displayFolder="" count="0" memberValueDatatype="5" unbalanced="0"/>
    <cacheHierarchy uniqueName="[Range 1].[Successful Trials]" caption="Successful Trials" attribute="1" defaultMemberUniqueName="[Range 1].[Successful Trials].[All]" allUniqueName="[Range 1].[Successful Trials].[All]" dimensionUniqueName="[Range 1]" displayFolder="" count="0" memberValueDatatype="20" unbalanced="0"/>
    <cacheHierarchy uniqueName="[Range 1].[Individual Probability]" caption="Individual Probability" attribute="1" defaultMemberUniqueName="[Range 1].[Individual Probability].[All]" allUniqueName="[Range 1].[Individual Probability].[All]" dimensionUniqueName="[Range 1]" displayFolder="" count="0" memberValueDatatype="5" unbalanced="0"/>
    <cacheHierarchy uniqueName="[Range 1].[Cumulative Probability]" caption="Cumulative Probability" attribute="1" defaultMemberUniqueName="[Range 1].[Cumulative Probability].[All]" allUniqueName="[Range 1].[Cumulative Probability].[All]" dimensionUniqueName="[Range 1]" displayFolder="" count="0" memberValueDatatype="5" unbalanced="0"/>
    <cacheHierarchy uniqueName="[Range 2].[Successful Trials]" caption="Successful Trials" attribute="1" defaultMemberUniqueName="[Range 2].[Successful Trials].[All]" allUniqueName="[Range 2].[Successful Trials].[All]" dimensionUniqueName="[Range 2]" displayFolder="" count="2" memberValueDatatype="20" unbalanced="0">
      <fieldsUsage count="2">
        <fieldUsage x="-1"/>
        <fieldUsage x="0"/>
      </fieldsUsage>
    </cacheHierarchy>
    <cacheHierarchy uniqueName="[Range 2].[Cumulative Probability]" caption="Cumulative Probability" attribute="1" defaultMemberUniqueName="[Range 2].[Cumulative Probability].[All]" allUniqueName="[Range 2].[Cumulative Probability].[All]" dimensionUniqueName="[Range 2]"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Successful Trials]" caption="Sum of Successful Trials" measure="1" displayFolder="" measureGroup="Range" count="0" hidden="1">
      <extLst>
        <ext xmlns:x15="http://schemas.microsoft.com/office/spreadsheetml/2010/11/main" uri="{B97F6D7D-B522-45F9-BDA1-12C45D357490}">
          <x15:cacheHierarchy aggregatedColumn="0"/>
        </ext>
      </extLst>
    </cacheHierarchy>
    <cacheHierarchy uniqueName="[Measures].[Sum of Individual Probability]" caption="Sum of Individual Probability" measure="1" displayFolder="" measureGroup="Range" count="0" hidden="1">
      <extLst>
        <ext xmlns:x15="http://schemas.microsoft.com/office/spreadsheetml/2010/11/main" uri="{B97F6D7D-B522-45F9-BDA1-12C45D357490}">
          <x15:cacheHierarchy aggregatedColumn="1"/>
        </ext>
      </extLst>
    </cacheHierarchy>
    <cacheHierarchy uniqueName="[Measures].[Sum of Successful Trials 2]" caption="Sum of Successful Trials 2" measure="1" displayFolder="" measureGroup="Range 1" count="0" hidden="1">
      <extLst>
        <ext xmlns:x15="http://schemas.microsoft.com/office/spreadsheetml/2010/11/main" uri="{B97F6D7D-B522-45F9-BDA1-12C45D357490}">
          <x15:cacheHierarchy aggregatedColumn="2"/>
        </ext>
      </extLst>
    </cacheHierarchy>
    <cacheHierarchy uniqueName="[Measures].[Sum of Cumulative Probability]" caption="Sum of Cumulative Probability" measure="1" displayFolder="" measureGroup="Range 1" count="0" hidden="1">
      <extLst>
        <ext xmlns:x15="http://schemas.microsoft.com/office/spreadsheetml/2010/11/main" uri="{B97F6D7D-B522-45F9-BDA1-12C45D357490}">
          <x15:cacheHierarchy aggregatedColumn="4"/>
        </ext>
      </extLst>
    </cacheHierarchy>
    <cacheHierarchy uniqueName="[Measures].[Sum of Individual Probability 2]" caption="Sum of Individual Probability 2" measure="1" displayFolder="" measureGroup="Range 1" count="0" hidden="1">
      <extLst>
        <ext xmlns:x15="http://schemas.microsoft.com/office/spreadsheetml/2010/11/main" uri="{B97F6D7D-B522-45F9-BDA1-12C45D357490}">
          <x15:cacheHierarchy aggregatedColumn="3"/>
        </ext>
      </extLst>
    </cacheHierarchy>
    <cacheHierarchy uniqueName="[Measures].[Sum of Successful Trials 3]" caption="Sum of Successful Trials 3" measure="1" displayFolder="" measureGroup="Range 2" count="0" hidden="1">
      <extLst>
        <ext xmlns:x15="http://schemas.microsoft.com/office/spreadsheetml/2010/11/main" uri="{B97F6D7D-B522-45F9-BDA1-12C45D357490}">
          <x15:cacheHierarchy aggregatedColumn="5"/>
        </ext>
      </extLst>
    </cacheHierarchy>
    <cacheHierarchy uniqueName="[Measures].[Sum of Cumulative Probability 2]" caption="Sum of Cumulative Probability 2" measure="1" displayFolder="" measureGroup="Range 2"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pivotCacheId="1356026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C785B9-4396-493D-A3F5-7F45014B961A}" name="PivotChartTable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M3" firstHeaderRow="1" firstDataRow="2" firstDataCol="1"/>
  <pivotFields count="2">
    <pivotField axis="axisCol"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Items count="1">
    <i/>
  </rowItems>
  <colFields count="1">
    <field x="0"/>
  </colFields>
  <colItems count="12">
    <i>
      <x/>
    </i>
    <i>
      <x v="1"/>
    </i>
    <i>
      <x v="2"/>
    </i>
    <i>
      <x v="3"/>
    </i>
    <i>
      <x v="4"/>
    </i>
    <i>
      <x v="5"/>
    </i>
    <i>
      <x v="6"/>
    </i>
    <i>
      <x v="7"/>
    </i>
    <i>
      <x v="8"/>
    </i>
    <i>
      <x v="9"/>
    </i>
    <i>
      <x v="10"/>
    </i>
    <i t="grand">
      <x/>
    </i>
  </colItems>
  <dataFields count="1">
    <dataField name="Cumulative Probabilities" fld="1" baseField="0" baseItem="0"/>
  </dataFields>
  <chartFormats count="11">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2"/>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0" format="5" series="1">
      <pivotArea type="data" outline="0" fieldPosition="0">
        <references count="2">
          <reference field="4294967294" count="1" selected="0">
            <x v="0"/>
          </reference>
          <reference field="0" count="1" selected="0">
            <x v="4"/>
          </reference>
        </references>
      </pivotArea>
    </chartFormat>
    <chartFormat chart="0" format="6" series="1">
      <pivotArea type="data" outline="0" fieldPosition="0">
        <references count="2">
          <reference field="4294967294" count="1" selected="0">
            <x v="0"/>
          </reference>
          <reference field="0" count="1" selected="0">
            <x v="5"/>
          </reference>
        </references>
      </pivotArea>
    </chartFormat>
    <chartFormat chart="0" format="7" series="1">
      <pivotArea type="data" outline="0" fieldPosition="0">
        <references count="2">
          <reference field="4294967294" count="1" selected="0">
            <x v="0"/>
          </reference>
          <reference field="0" count="1" selected="0">
            <x v="6"/>
          </reference>
        </references>
      </pivotArea>
    </chartFormat>
    <chartFormat chart="0" format="8" series="1">
      <pivotArea type="data" outline="0" fieldPosition="0">
        <references count="2">
          <reference field="4294967294" count="1" selected="0">
            <x v="0"/>
          </reference>
          <reference field="0" count="1" selected="0">
            <x v="7"/>
          </reference>
        </references>
      </pivotArea>
    </chartFormat>
    <chartFormat chart="0" format="9" series="1">
      <pivotArea type="data" outline="0" fieldPosition="0">
        <references count="2">
          <reference field="4294967294" count="1" selected="0">
            <x v="0"/>
          </reference>
          <reference field="0" count="1" selected="0">
            <x v="8"/>
          </reference>
        </references>
      </pivotArea>
    </chartFormat>
    <chartFormat chart="0" format="10" series="1">
      <pivotArea type="data" outline="0" fieldPosition="0">
        <references count="2">
          <reference field="4294967294" count="1" selected="0">
            <x v="0"/>
          </reference>
          <reference field="0" count="1" selected="0">
            <x v="9"/>
          </reference>
        </references>
      </pivotArea>
    </chartFormat>
    <chartFormat chart="0" format="11" series="1">
      <pivotArea type="data" outline="0" fieldPosition="0">
        <references count="2">
          <reference field="4294967294" count="1" selected="0">
            <x v="0"/>
          </reference>
          <reference field="0" count="1" selected="0">
            <x v="1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umulative Probabilities"/>
  </pivotHierarchies>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 columnCount="12" cacheId="135602639">
        <x15:pivotRow count="12">
          <x15:c>
            <x15:v>0.6</x15:v>
          </x15:c>
          <x15:c>
            <x15:v>0.96</x15:v>
          </x15:c>
          <x15:c>
            <x15:v>0.99839999999999995</x15:v>
          </x15:c>
          <x15:c>
            <x15:v>0.99993600000000005</x15:v>
          </x15:c>
          <x15:c>
            <x15:v>0.99999808000000001</x15:v>
          </x15:c>
          <x15:c>
            <x15:v>0.99999999683200003</x15:v>
          </x15:c>
          <x15:c>
            <x15:v>0.99999999955200003</x15:v>
          </x15:c>
          <x15:c>
            <x15:v>0.99999999988800004</x15:v>
          </x15:c>
          <x15:c>
            <x15:v>0.99999999998</x15:v>
          </x15:c>
          <x15:c>
            <x15:v>0.99999999999800004</x15:v>
          </x15:c>
          <x15:c>
            <x15:v>1</x15:v>
          </x15:c>
          <x15:c>
            <x15:v>10.558334076249999</x15:v>
          </x15:c>
        </x15:pivotRow>
      </x15:pivotTableData>
    </ext>
    <ext xmlns:x15="http://schemas.microsoft.com/office/spreadsheetml/2010/11/main" uri="{E67621CE-5B39-4880-91FE-76760E9C1902}">
      <x15:pivotTableUISettings sourceDataName="WorksheetConnection_Black Footed Cat!$A$11:$B$22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C9F296-7F99-4AC5-9F1D-F6971A97A3DE}" name="PivotChartTable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C13" firstHeaderRow="0"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Cumulative Probability" fld="1" baseField="0" baseItem="0"/>
    <dataField name="Sum of Individual Probability" fld="2" baseField="0" baseItem="0"/>
  </dataFields>
  <chartFormats count="24">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2"/>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0" format="5" series="1">
      <pivotArea type="data" outline="0" fieldPosition="0">
        <references count="2">
          <reference field="4294967294" count="1" selected="0">
            <x v="0"/>
          </reference>
          <reference field="0" count="1" selected="0">
            <x v="4"/>
          </reference>
        </references>
      </pivotArea>
    </chartFormat>
    <chartFormat chart="0" format="6" series="1">
      <pivotArea type="data" outline="0" fieldPosition="0">
        <references count="2">
          <reference field="4294967294" count="1" selected="0">
            <x v="0"/>
          </reference>
          <reference field="0" count="1" selected="0">
            <x v="5"/>
          </reference>
        </references>
      </pivotArea>
    </chartFormat>
    <chartFormat chart="0" format="7" series="1">
      <pivotArea type="data" outline="0" fieldPosition="0">
        <references count="2">
          <reference field="4294967294" count="1" selected="0">
            <x v="0"/>
          </reference>
          <reference field="0" count="1" selected="0">
            <x v="6"/>
          </reference>
        </references>
      </pivotArea>
    </chartFormat>
    <chartFormat chart="0" format="8" series="1">
      <pivotArea type="data" outline="0" fieldPosition="0">
        <references count="2">
          <reference field="4294967294" count="1" selected="0">
            <x v="0"/>
          </reference>
          <reference field="0" count="1" selected="0">
            <x v="7"/>
          </reference>
        </references>
      </pivotArea>
    </chartFormat>
    <chartFormat chart="0" format="9" series="1">
      <pivotArea type="data" outline="0" fieldPosition="0">
        <references count="2">
          <reference field="4294967294" count="1" selected="0">
            <x v="0"/>
          </reference>
          <reference field="0" count="1" selected="0">
            <x v="8"/>
          </reference>
        </references>
      </pivotArea>
    </chartFormat>
    <chartFormat chart="0" format="10" series="1">
      <pivotArea type="data" outline="0" fieldPosition="0">
        <references count="2">
          <reference field="4294967294" count="1" selected="0">
            <x v="0"/>
          </reference>
          <reference field="0" count="1" selected="0">
            <x v="9"/>
          </reference>
        </references>
      </pivotArea>
    </chartFormat>
    <chartFormat chart="0" format="11" series="1">
      <pivotArea type="data" outline="0" fieldPosition="0">
        <references count="2">
          <reference field="4294967294" count="1" selected="0">
            <x v="0"/>
          </reference>
          <reference field="0" count="1" selected="0">
            <x v="10"/>
          </reference>
        </references>
      </pivotArea>
    </chartFormat>
    <chartFormat chart="0" format="12" series="1">
      <pivotArea type="data" outline="0" fieldPosition="0">
        <references count="2">
          <reference field="4294967294" count="1" selected="0">
            <x v="1"/>
          </reference>
          <reference field="0" count="1" selected="0">
            <x v="5"/>
          </reference>
        </references>
      </pivotArea>
    </chartFormat>
    <chartFormat chart="0" format="13" series="1">
      <pivotArea type="data" outline="0" fieldPosition="0">
        <references count="2">
          <reference field="4294967294" count="1" selected="0">
            <x v="1"/>
          </reference>
          <reference field="0" count="1" selected="0">
            <x v="6"/>
          </reference>
        </references>
      </pivotArea>
    </chartFormat>
    <chartFormat chart="0" format="14" series="1">
      <pivotArea type="data" outline="0" fieldPosition="0">
        <references count="2">
          <reference field="4294967294" count="1" selected="0">
            <x v="1"/>
          </reference>
          <reference field="0" count="1" selected="0">
            <x v="7"/>
          </reference>
        </references>
      </pivotArea>
    </chartFormat>
    <chartFormat chart="0" format="15" series="1">
      <pivotArea type="data" outline="0" fieldPosition="0">
        <references count="2">
          <reference field="4294967294" count="1" selected="0">
            <x v="1"/>
          </reference>
          <reference field="0" count="1" selected="0">
            <x v="8"/>
          </reference>
        </references>
      </pivotArea>
    </chartFormat>
    <chartFormat chart="0" format="16" series="1">
      <pivotArea type="data" outline="0" fieldPosition="0">
        <references count="2">
          <reference field="4294967294" count="1" selected="0">
            <x v="1"/>
          </reference>
          <reference field="0" count="1" selected="0">
            <x v="9"/>
          </reference>
        </references>
      </pivotArea>
    </chartFormat>
    <chartFormat chart="0" format="17" series="1">
      <pivotArea type="data" outline="0" fieldPosition="0">
        <references count="2">
          <reference field="4294967294" count="1" selected="0">
            <x v="1"/>
          </reference>
          <reference field="0" count="1" selected="0">
            <x v="10"/>
          </reference>
        </references>
      </pivotArea>
    </chartFormat>
    <chartFormat chart="0" format="18" series="1">
      <pivotArea type="data" outline="0" fieldPosition="0">
        <references count="2">
          <reference field="4294967294" count="1" selected="0">
            <x v="1"/>
          </reference>
          <reference field="0" count="1" selected="0">
            <x v="0"/>
          </reference>
        </references>
      </pivotArea>
    </chartFormat>
    <chartFormat chart="0" format="19" series="1">
      <pivotArea type="data" outline="0" fieldPosition="0">
        <references count="2">
          <reference field="4294967294" count="1" selected="0">
            <x v="1"/>
          </reference>
          <reference field="0" count="1" selected="0">
            <x v="1"/>
          </reference>
        </references>
      </pivotArea>
    </chartFormat>
    <chartFormat chart="0" format="20" series="1">
      <pivotArea type="data" outline="0" fieldPosition="0">
        <references count="2">
          <reference field="4294967294" count="1" selected="0">
            <x v="1"/>
          </reference>
          <reference field="0" count="1" selected="0">
            <x v="2"/>
          </reference>
        </references>
      </pivotArea>
    </chartFormat>
    <chartFormat chart="0" format="21" series="1">
      <pivotArea type="data" outline="0" fieldPosition="0">
        <references count="2">
          <reference field="4294967294" count="1" selected="0">
            <x v="1"/>
          </reference>
          <reference field="0" count="1" selected="0">
            <x v="3"/>
          </reference>
        </references>
      </pivotArea>
    </chartFormat>
    <chartFormat chart="0" format="22" series="1">
      <pivotArea type="data" outline="0" fieldPosition="0">
        <references count="2">
          <reference field="4294967294" count="1" selected="0">
            <x v="1"/>
          </reference>
          <reference field="0" count="1" selected="0">
            <x v="4"/>
          </reference>
        </references>
      </pivotArea>
    </chartFormat>
    <chartFormat chart="0" format="23" series="1">
      <pivotArea type="data" outline="0" fieldPosition="0">
        <references count="1">
          <reference field="4294967294" count="1" selected="0">
            <x v="0"/>
          </reference>
        </references>
      </pivotArea>
    </chartFormat>
    <chartFormat chart="0" format="24" series="1">
      <pivotArea type="data" outline="0" fieldPosition="0">
        <references count="1">
          <reference field="4294967294"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2" cacheId="420925791">
        <x15:pivotRow count="2">
          <x15:c>
            <x15:v>0.6</x15:v>
          </x15:c>
          <x15:c>
            <x15:v>0.6</x15:v>
          </x15:c>
        </x15:pivotRow>
        <x15:pivotRow count="2">
          <x15:c>
            <x15:v>0.96</x15:v>
          </x15:c>
          <x15:c>
            <x15:v>0.6</x15:v>
          </x15:c>
        </x15:pivotRow>
        <x15:pivotRow count="2">
          <x15:c>
            <x15:v>0.99839999999999995</x15:v>
          </x15:c>
          <x15:c>
            <x15:v>0.48</x15:v>
          </x15:c>
        </x15:pivotRow>
        <x15:pivotRow count="2">
          <x15:c>
            <x15:v>0.99993600000000005</x15:v>
          </x15:c>
          <x15:c>
            <x15:v>0.432</x15:v>
          </x15:c>
        </x15:pivotRow>
        <x15:pivotRow count="2">
          <x15:c>
            <x15:v>0.99999808000000001</x15:v>
          </x15:c>
          <x15:c>
            <x15:v>0.34560000000000002</x15:v>
          </x15:c>
        </x15:pivotRow>
        <x15:pivotRow count="2">
          <x15:c>
            <x15:v>0.99999999683200003</x15:v>
          </x15:c>
          <x15:c>
            <x15:v>0.27648</x15:v>
          </x15:c>
        </x15:pivotRow>
        <x15:pivotRow count="2">
          <x15:c>
            <x15:v>0.99999999955200003</x15:v>
          </x15:c>
          <x15:c>
            <x15:v>0.22118399999999999</x15:v>
          </x15:c>
        </x15:pivotRow>
        <x15:pivotRow count="2">
          <x15:c>
            <x15:v>0.99999999988800004</x15:v>
          </x15:c>
          <x15:c>
            <x15:v>0.1769472</x15:v>
          </x15:c>
        </x15:pivotRow>
        <x15:pivotRow count="2">
          <x15:c>
            <x15:v>0.99999999998</x15:v>
          </x15:c>
          <x15:c>
            <x15:v>0.14155776</x15:v>
          </x15:c>
        </x15:pivotRow>
        <x15:pivotRow count="2">
          <x15:c>
            <x15:v>0.99999999999800004</x15:v>
          </x15:c>
          <x15:c>
            <x15:v>0.11324628</x15:v>
          </x15:c>
        </x15:pivotRow>
        <x15:pivotRow count="2">
          <x15:c>
            <x15:v>1</x15:v>
          </x15:c>
          <x15:c>
            <x15:v>9.0596966400000006E-2</x15:v>
          </x15:c>
        </x15:pivotRow>
        <x15:pivotRow count="2">
          <x15:c>
            <x15:v>10.558334076249999</x15:v>
          </x15:c>
          <x15:c>
            <x15:v>3.4776122063999999</x15:v>
          </x15:c>
        </x15:pivotRow>
      </x15:pivotTableData>
    </ext>
    <ext xmlns:x15="http://schemas.microsoft.com/office/spreadsheetml/2010/11/main" uri="{E67621CE-5B39-4880-91FE-76760E9C1902}">
      <x15:pivotTableUISettings sourceDataName="WorksheetConnection_Black Footed Cat!$A$11:$C$22">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355DB1-2B1B-4C13-9B1E-032B34E21C18}" name="PivotChartTable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M3" firstHeaderRow="1" firstDataRow="2" firstDataCol="1"/>
  <pivotFields count="2">
    <pivotField dataField="1" subtotalTop="0" showAll="0" defaultSubtotal="0"/>
    <pivotField axis="axisCol" allDrilled="1" subtotalTop="0" showAll="0" dataSourceSort="1" defaultSubtotal="0" defaultAttributeDrillState="1">
      <items count="11">
        <item x="0"/>
        <item x="1"/>
        <item x="2"/>
        <item x="3"/>
        <item x="4"/>
        <item x="5"/>
        <item x="6"/>
        <item x="7"/>
        <item x="8"/>
        <item x="9"/>
        <item x="10"/>
      </items>
    </pivotField>
  </pivotFields>
  <rowItems count="1">
    <i/>
  </rowItems>
  <colFields count="1">
    <field x="1"/>
  </colFields>
  <colItems count="12">
    <i>
      <x/>
    </i>
    <i>
      <x v="1"/>
    </i>
    <i>
      <x v="2"/>
    </i>
    <i>
      <x v="3"/>
    </i>
    <i>
      <x v="4"/>
    </i>
    <i>
      <x v="5"/>
    </i>
    <i>
      <x v="6"/>
    </i>
    <i>
      <x v="7"/>
    </i>
    <i>
      <x v="8"/>
    </i>
    <i>
      <x v="9"/>
    </i>
    <i>
      <x v="10"/>
    </i>
    <i t="grand">
      <x/>
    </i>
  </colItems>
  <dataFields count="1">
    <dataField name="Individual Probabilities" fld="0" baseField="1" baseItem="0"/>
  </dataFields>
  <chartFormats count="11">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5"/>
          </reference>
        </references>
      </pivotArea>
    </chartFormat>
    <chartFormat chart="0" format="7" series="1">
      <pivotArea type="data" outline="0" fieldPosition="0">
        <references count="2">
          <reference field="4294967294" count="1" selected="0">
            <x v="0"/>
          </reference>
          <reference field="1" count="1" selected="0">
            <x v="6"/>
          </reference>
        </references>
      </pivotArea>
    </chartFormat>
    <chartFormat chart="0" format="8" series="1">
      <pivotArea type="data" outline="0" fieldPosition="0">
        <references count="2">
          <reference field="4294967294" count="1" selected="0">
            <x v="0"/>
          </reference>
          <reference field="1" count="1" selected="0">
            <x v="7"/>
          </reference>
        </references>
      </pivotArea>
    </chartFormat>
    <chartFormat chart="0" format="9" series="1">
      <pivotArea type="data" outline="0" fieldPosition="0">
        <references count="2">
          <reference field="4294967294" count="1" selected="0">
            <x v="0"/>
          </reference>
          <reference field="1" count="1" selected="0">
            <x v="8"/>
          </reference>
        </references>
      </pivotArea>
    </chartFormat>
    <chartFormat chart="0" format="10" series="1">
      <pivotArea type="data" outline="0" fieldPosition="0">
        <references count="2">
          <reference field="4294967294" count="1" selected="0">
            <x v="0"/>
          </reference>
          <reference field="1" count="1" selected="0">
            <x v="9"/>
          </reference>
        </references>
      </pivotArea>
    </chartFormat>
    <chartFormat chart="0" format="11" series="1">
      <pivotArea type="data" outline="0" fieldPosition="0">
        <references count="2">
          <reference field="4294967294" count="1" selected="0">
            <x v="0"/>
          </reference>
          <reference field="1" count="1" selected="0">
            <x v="1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Individual Probabilities"/>
    <pivotHierarchy dragToData="1"/>
    <pivotHierarchy dragToData="1"/>
    <pivotHierarchy dragToData="1"/>
    <pivotHierarchy dragToData="1"/>
    <pivotHierarchy dragToData="1"/>
  </pivotHierarchies>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 columnCount="12" cacheId="255069664">
        <x15:pivotRow count="12">
          <x15:c>
            <x15:v>0.6</x15:v>
          </x15:c>
          <x15:c>
            <x15:v>0.6</x15:v>
          </x15:c>
          <x15:c>
            <x15:v>0.48</x15:v>
          </x15:c>
          <x15:c>
            <x15:v>0.432</x15:v>
          </x15:c>
          <x15:c>
            <x15:v>0.34560000000000002</x15:v>
          </x15:c>
          <x15:c>
            <x15:v>0.27648</x15:v>
          </x15:c>
          <x15:c>
            <x15:v>0.22118399999999999</x15:v>
          </x15:c>
          <x15:c>
            <x15:v>0.1769472</x15:v>
          </x15:c>
          <x15:c>
            <x15:v>0.14155776</x15:v>
          </x15:c>
          <x15:c>
            <x15:v>0.11324628</x15:v>
          </x15:c>
          <x15:c>
            <x15:v>9.0596966400000006E-2</x15:v>
          </x15:c>
          <x15:c>
            <x15:v>3.4776122063999999</x15:v>
          </x15:c>
        </x15:pivotRow>
      </x15:pivotTableData>
    </ext>
    <ext xmlns:x15="http://schemas.microsoft.com/office/spreadsheetml/2010/11/main" uri="{E67621CE-5B39-4880-91FE-76760E9C1902}">
      <x15:pivotTableUISettings sourceDataName="WorksheetConnection_Black Footed Cat!$A$11:$B$2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82C08-031C-43EB-B881-32A55D002347}">
  <dimension ref="A1:O23"/>
  <sheetViews>
    <sheetView tabSelected="1" topLeftCell="A25" workbookViewId="0">
      <selection activeCell="L30" sqref="L30"/>
    </sheetView>
  </sheetViews>
  <sheetFormatPr defaultRowHeight="15" x14ac:dyDescent="0.25"/>
  <cols>
    <col min="1" max="2" width="12.42578125" customWidth="1"/>
    <col min="3" max="3" width="13.28515625" customWidth="1"/>
    <col min="5" max="5" width="12.140625" customWidth="1"/>
    <col min="6" max="6" width="11.42578125" customWidth="1"/>
    <col min="7" max="7" width="10.85546875" customWidth="1"/>
  </cols>
  <sheetData>
    <row r="1" spans="1:15" ht="15.75" customHeight="1" x14ac:dyDescent="0.25">
      <c r="A1" s="51" t="s">
        <v>11</v>
      </c>
      <c r="B1" s="52"/>
      <c r="C1" s="52"/>
      <c r="D1" s="52"/>
      <c r="E1" s="52"/>
      <c r="F1" s="52"/>
      <c r="G1" s="52"/>
      <c r="H1" s="52"/>
      <c r="I1" s="52"/>
      <c r="J1" s="52"/>
      <c r="K1" s="52"/>
      <c r="L1" s="52"/>
      <c r="M1" s="52"/>
      <c r="N1" s="53"/>
      <c r="O1" s="1"/>
    </row>
    <row r="2" spans="1:15" x14ac:dyDescent="0.25">
      <c r="A2" s="54"/>
      <c r="B2" s="55"/>
      <c r="C2" s="55"/>
      <c r="D2" s="55"/>
      <c r="E2" s="55"/>
      <c r="F2" s="55"/>
      <c r="G2" s="55"/>
      <c r="H2" s="55"/>
      <c r="I2" s="55"/>
      <c r="J2" s="55"/>
      <c r="K2" s="55"/>
      <c r="L2" s="55"/>
      <c r="M2" s="55"/>
      <c r="N2" s="56"/>
      <c r="O2" s="1"/>
    </row>
    <row r="3" spans="1:15" x14ac:dyDescent="0.25">
      <c r="A3" s="54"/>
      <c r="B3" s="55"/>
      <c r="C3" s="55"/>
      <c r="D3" s="55"/>
      <c r="E3" s="55"/>
      <c r="F3" s="55"/>
      <c r="G3" s="55"/>
      <c r="H3" s="55"/>
      <c r="I3" s="55"/>
      <c r="J3" s="55"/>
      <c r="K3" s="55"/>
      <c r="L3" s="55"/>
      <c r="M3" s="55"/>
      <c r="N3" s="56"/>
      <c r="O3" s="1"/>
    </row>
    <row r="4" spans="1:15" ht="15.75" thickBot="1" x14ac:dyDescent="0.3">
      <c r="A4" s="57"/>
      <c r="B4" s="58"/>
      <c r="C4" s="58"/>
      <c r="D4" s="58"/>
      <c r="E4" s="58"/>
      <c r="F4" s="58"/>
      <c r="G4" s="58"/>
      <c r="H4" s="58"/>
      <c r="I4" s="58"/>
      <c r="J4" s="58"/>
      <c r="K4" s="58"/>
      <c r="L4" s="58"/>
      <c r="M4" s="58"/>
      <c r="N4" s="59"/>
      <c r="O4" s="1"/>
    </row>
    <row r="5" spans="1:15" x14ac:dyDescent="0.25">
      <c r="A5" s="1"/>
      <c r="B5" s="1"/>
      <c r="C5" s="1"/>
      <c r="D5" s="1"/>
      <c r="E5" s="1"/>
      <c r="F5" s="1"/>
      <c r="G5" s="1"/>
      <c r="H5" s="1"/>
      <c r="I5" s="1"/>
      <c r="J5" s="1"/>
      <c r="K5" s="1"/>
      <c r="L5" s="1"/>
      <c r="M5" s="1"/>
      <c r="N5" s="1"/>
      <c r="O5" s="1"/>
    </row>
    <row r="6" spans="1:15" x14ac:dyDescent="0.25">
      <c r="A6" s="1"/>
      <c r="B6" s="1"/>
      <c r="C6" s="1"/>
      <c r="D6" s="1"/>
      <c r="E6" s="1"/>
      <c r="F6" s="1"/>
      <c r="G6" s="1"/>
      <c r="H6" s="1"/>
      <c r="I6" s="1"/>
      <c r="J6" s="1"/>
      <c r="K6" s="1"/>
      <c r="L6" s="1"/>
      <c r="M6" s="1"/>
      <c r="N6" s="1"/>
      <c r="O6" s="1"/>
    </row>
    <row r="7" spans="1:15" ht="15.75" x14ac:dyDescent="0.25">
      <c r="A7" s="2" t="s">
        <v>0</v>
      </c>
      <c r="B7" s="3"/>
      <c r="C7" s="3" t="s">
        <v>1</v>
      </c>
      <c r="D7" s="3"/>
      <c r="E7" s="1"/>
      <c r="F7" s="1"/>
      <c r="G7" s="1"/>
      <c r="H7" s="1"/>
      <c r="I7" s="1"/>
      <c r="J7" s="1"/>
      <c r="K7" s="1"/>
      <c r="L7" s="1"/>
      <c r="M7" s="1"/>
      <c r="N7" s="1"/>
      <c r="O7" s="1"/>
    </row>
    <row r="8" spans="1:15" ht="15.75" x14ac:dyDescent="0.25">
      <c r="A8" s="2" t="s">
        <v>2</v>
      </c>
      <c r="B8" s="3"/>
      <c r="C8" s="3" t="s">
        <v>3</v>
      </c>
      <c r="D8" s="3"/>
      <c r="E8" s="1"/>
      <c r="F8" s="1"/>
      <c r="G8" s="1"/>
      <c r="H8" s="1"/>
      <c r="I8" s="1"/>
      <c r="J8" s="1"/>
      <c r="K8" s="1"/>
      <c r="L8" s="1"/>
      <c r="M8" s="1"/>
      <c r="N8" s="1"/>
      <c r="O8" s="1"/>
    </row>
    <row r="9" spans="1:15" ht="15.75" x14ac:dyDescent="0.25">
      <c r="A9" s="2"/>
      <c r="B9" s="3"/>
      <c r="C9" s="3"/>
      <c r="D9" s="3"/>
      <c r="E9" s="1"/>
      <c r="F9" s="1"/>
      <c r="G9" s="1"/>
      <c r="H9" s="1"/>
      <c r="I9" s="1"/>
      <c r="J9" s="1"/>
      <c r="K9" s="1"/>
      <c r="L9" s="1"/>
      <c r="M9" s="1"/>
      <c r="N9" s="1"/>
      <c r="O9" s="1"/>
    </row>
    <row r="10" spans="1:15" ht="16.5" thickBot="1" x14ac:dyDescent="0.3">
      <c r="A10" s="4"/>
      <c r="B10" s="4"/>
      <c r="C10" s="4"/>
      <c r="D10" s="4"/>
      <c r="E10" s="4"/>
      <c r="F10" s="4"/>
      <c r="G10" s="5"/>
      <c r="H10" s="6"/>
      <c r="I10" s="6"/>
      <c r="J10" s="6"/>
      <c r="K10" s="6"/>
      <c r="L10" s="6"/>
      <c r="M10" s="6"/>
      <c r="N10" s="6"/>
      <c r="O10" s="6"/>
    </row>
    <row r="11" spans="1:15" ht="32.25" thickBot="1" x14ac:dyDescent="0.3">
      <c r="A11" s="7" t="s">
        <v>4</v>
      </c>
      <c r="B11" s="95" t="s">
        <v>6</v>
      </c>
      <c r="C11" s="95" t="s">
        <v>5</v>
      </c>
      <c r="D11" s="5"/>
      <c r="E11" s="48" t="s">
        <v>7</v>
      </c>
      <c r="F11" s="49"/>
      <c r="G11" s="50"/>
      <c r="H11" s="6"/>
      <c r="I11" s="6"/>
      <c r="J11" s="6"/>
      <c r="K11" s="6"/>
      <c r="L11" s="6"/>
      <c r="M11" s="6"/>
      <c r="N11" s="6"/>
      <c r="O11" s="6"/>
    </row>
    <row r="12" spans="1:15" ht="16.5" thickBot="1" x14ac:dyDescent="0.3">
      <c r="A12" s="99">
        <v>0</v>
      </c>
      <c r="B12" s="100">
        <v>0.6</v>
      </c>
      <c r="C12" s="103">
        <v>0.6</v>
      </c>
      <c r="D12" s="4"/>
      <c r="E12" s="9" t="s">
        <v>8</v>
      </c>
      <c r="F12" s="10"/>
      <c r="G12" s="8">
        <v>7</v>
      </c>
      <c r="H12" s="6"/>
      <c r="I12" s="6"/>
      <c r="J12" s="6"/>
      <c r="K12" s="6"/>
      <c r="L12" s="6"/>
      <c r="M12" s="6"/>
      <c r="N12" s="6"/>
      <c r="O12" s="6"/>
    </row>
    <row r="13" spans="1:15" ht="16.5" thickBot="1" x14ac:dyDescent="0.3">
      <c r="A13" s="99">
        <v>1</v>
      </c>
      <c r="B13" s="101">
        <v>0.96</v>
      </c>
      <c r="C13" s="104">
        <v>0.6</v>
      </c>
      <c r="D13" s="4"/>
      <c r="E13" s="60" t="s">
        <v>9</v>
      </c>
      <c r="F13" s="61"/>
      <c r="G13" s="8">
        <v>11</v>
      </c>
      <c r="H13" s="6"/>
      <c r="I13" s="6"/>
      <c r="J13" s="6"/>
      <c r="K13" s="6"/>
      <c r="L13" s="6"/>
      <c r="M13" s="6"/>
      <c r="N13" s="6"/>
      <c r="O13" s="6"/>
    </row>
    <row r="14" spans="1:15" ht="16.5" thickBot="1" x14ac:dyDescent="0.3">
      <c r="A14" s="99">
        <v>2</v>
      </c>
      <c r="B14" s="101">
        <v>0.99839999999999995</v>
      </c>
      <c r="C14" s="104">
        <v>0.48</v>
      </c>
      <c r="D14" s="4"/>
      <c r="E14" s="60" t="s">
        <v>0</v>
      </c>
      <c r="F14" s="61"/>
      <c r="G14" s="8">
        <v>0.6</v>
      </c>
      <c r="H14" s="6"/>
      <c r="I14" s="6"/>
      <c r="J14" s="6"/>
      <c r="K14" s="6"/>
      <c r="L14" s="6"/>
      <c r="M14" s="6"/>
      <c r="N14" s="6"/>
      <c r="O14" s="6"/>
    </row>
    <row r="15" spans="1:15" ht="16.5" thickBot="1" x14ac:dyDescent="0.3">
      <c r="A15" s="99">
        <v>3</v>
      </c>
      <c r="B15" s="101">
        <v>0.99993600000000005</v>
      </c>
      <c r="C15" s="104">
        <v>0.432</v>
      </c>
      <c r="D15" s="4"/>
      <c r="E15" s="9" t="s">
        <v>10</v>
      </c>
      <c r="F15" s="10"/>
      <c r="G15" s="8" t="s">
        <v>48</v>
      </c>
      <c r="H15" s="6"/>
      <c r="I15" s="6"/>
      <c r="J15" s="6"/>
      <c r="K15" s="6"/>
      <c r="L15" s="6"/>
      <c r="M15" s="6"/>
      <c r="N15" s="6"/>
      <c r="O15" s="6"/>
    </row>
    <row r="16" spans="1:15" ht="15.75" x14ac:dyDescent="0.25">
      <c r="A16" s="99">
        <v>4</v>
      </c>
      <c r="B16" s="101">
        <v>0.99999808000000001</v>
      </c>
      <c r="C16" s="104">
        <v>0.34560000000000002</v>
      </c>
      <c r="D16" s="4"/>
      <c r="E16" s="4"/>
      <c r="F16" s="5"/>
      <c r="G16" s="5"/>
      <c r="H16" s="6"/>
      <c r="I16" s="6"/>
      <c r="J16" s="6"/>
      <c r="K16" s="6"/>
      <c r="L16" s="6"/>
      <c r="M16" s="6"/>
      <c r="N16" s="6"/>
      <c r="O16" s="6"/>
    </row>
    <row r="17" spans="1:15" ht="15.75" x14ac:dyDescent="0.25">
      <c r="A17" s="99">
        <v>5</v>
      </c>
      <c r="B17" s="101">
        <v>0.99999999683200003</v>
      </c>
      <c r="C17" s="104">
        <v>0.27648</v>
      </c>
      <c r="D17" s="4"/>
      <c r="E17" s="4"/>
      <c r="F17" s="5"/>
      <c r="G17" s="5"/>
      <c r="H17" s="6"/>
      <c r="I17" s="6"/>
      <c r="J17" s="6"/>
      <c r="K17" s="6"/>
      <c r="L17" s="6"/>
      <c r="M17" s="6"/>
      <c r="N17" s="6"/>
      <c r="O17" s="6"/>
    </row>
    <row r="18" spans="1:15" ht="15.75" x14ac:dyDescent="0.25">
      <c r="A18" s="99">
        <v>6</v>
      </c>
      <c r="B18" s="101">
        <v>0.99999999955200003</v>
      </c>
      <c r="C18" s="104">
        <v>0.22118399999999999</v>
      </c>
      <c r="D18" s="4"/>
      <c r="E18" s="4"/>
      <c r="F18" s="4"/>
      <c r="G18" s="4"/>
      <c r="H18" s="6"/>
      <c r="I18" s="6"/>
      <c r="J18" s="6"/>
      <c r="K18" s="6"/>
      <c r="L18" s="6"/>
      <c r="M18" s="6"/>
      <c r="N18" s="6"/>
      <c r="O18" s="6"/>
    </row>
    <row r="19" spans="1:15" ht="15.75" x14ac:dyDescent="0.25">
      <c r="A19" s="99">
        <v>7</v>
      </c>
      <c r="B19" s="101">
        <v>0.99999999988800004</v>
      </c>
      <c r="C19" s="104">
        <v>0.1769472</v>
      </c>
      <c r="D19" s="4"/>
      <c r="E19" s="4"/>
      <c r="F19" s="4"/>
      <c r="G19" s="4"/>
      <c r="H19" s="6"/>
      <c r="I19" s="6"/>
      <c r="J19" s="6"/>
      <c r="K19" s="6"/>
      <c r="L19" s="6"/>
      <c r="M19" s="6"/>
      <c r="N19" s="6"/>
      <c r="O19" s="6"/>
    </row>
    <row r="20" spans="1:15" ht="15.75" x14ac:dyDescent="0.25">
      <c r="A20" s="99">
        <v>8</v>
      </c>
      <c r="B20" s="101">
        <v>0.99999999998</v>
      </c>
      <c r="C20" s="104">
        <v>0.14155776</v>
      </c>
      <c r="D20" s="4"/>
      <c r="E20" s="4"/>
      <c r="F20" s="4"/>
      <c r="G20" s="4"/>
      <c r="H20" s="6"/>
      <c r="I20" s="6"/>
      <c r="J20" s="6"/>
      <c r="K20" s="6"/>
      <c r="L20" s="6"/>
      <c r="M20" s="6"/>
      <c r="N20" s="6"/>
      <c r="O20" s="6"/>
    </row>
    <row r="21" spans="1:15" ht="15.75" x14ac:dyDescent="0.25">
      <c r="A21" s="99">
        <v>9</v>
      </c>
      <c r="B21" s="101">
        <v>0.99999999999800004</v>
      </c>
      <c r="C21" s="104">
        <v>0.11324628</v>
      </c>
      <c r="D21" s="4"/>
      <c r="E21" s="4"/>
      <c r="F21" s="4"/>
      <c r="G21" s="4"/>
      <c r="H21" s="6"/>
      <c r="I21" s="6"/>
      <c r="J21" s="6"/>
      <c r="K21" s="6"/>
      <c r="L21" s="6"/>
      <c r="M21" s="6"/>
      <c r="N21" s="6"/>
      <c r="O21" s="6"/>
    </row>
    <row r="22" spans="1:15" ht="16.5" thickBot="1" x14ac:dyDescent="0.3">
      <c r="A22" s="99">
        <v>10</v>
      </c>
      <c r="B22" s="102">
        <v>1</v>
      </c>
      <c r="C22" s="105">
        <v>9.0596966400000006E-2</v>
      </c>
      <c r="D22" s="4"/>
      <c r="E22" s="4"/>
      <c r="F22" s="4"/>
      <c r="G22" s="4"/>
      <c r="H22" s="6"/>
      <c r="I22" s="6"/>
      <c r="J22" s="6"/>
      <c r="K22" s="6"/>
      <c r="L22" s="6"/>
      <c r="M22" s="6"/>
      <c r="N22" s="6"/>
      <c r="O22" s="6"/>
    </row>
    <row r="23" spans="1:15" ht="15.75" x14ac:dyDescent="0.25">
      <c r="A23" s="6"/>
      <c r="B23" s="6"/>
      <c r="C23" s="6"/>
    </row>
  </sheetData>
  <mergeCells count="4">
    <mergeCell ref="E11:G11"/>
    <mergeCell ref="A1:N4"/>
    <mergeCell ref="E13:F13"/>
    <mergeCell ref="E14:F14"/>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D819E-456C-4EFA-A27B-2C6F9F4F705D}">
  <dimension ref="A1:G22"/>
  <sheetViews>
    <sheetView workbookViewId="0">
      <selection activeCell="F20" sqref="F20"/>
    </sheetView>
  </sheetViews>
  <sheetFormatPr defaultRowHeight="15" x14ac:dyDescent="0.25"/>
  <cols>
    <col min="1" max="1" width="9.140625" customWidth="1"/>
    <col min="2" max="2" width="10.28515625" bestFit="1" customWidth="1"/>
    <col min="4" max="4" width="10.140625" customWidth="1"/>
  </cols>
  <sheetData>
    <row r="1" spans="1:7" ht="15" customHeight="1" x14ac:dyDescent="0.25">
      <c r="A1" s="72" t="s">
        <v>18</v>
      </c>
      <c r="B1" s="73"/>
      <c r="C1" s="73"/>
      <c r="D1" s="73"/>
      <c r="E1" s="73"/>
      <c r="F1" s="73"/>
      <c r="G1" s="74"/>
    </row>
    <row r="2" spans="1:7" x14ac:dyDescent="0.25">
      <c r="A2" s="75"/>
      <c r="B2" s="76"/>
      <c r="C2" s="76"/>
      <c r="D2" s="76"/>
      <c r="E2" s="76"/>
      <c r="F2" s="76"/>
      <c r="G2" s="77"/>
    </row>
    <row r="3" spans="1:7" ht="5.25" customHeight="1" thickBot="1" x14ac:dyDescent="0.3">
      <c r="A3" s="78"/>
      <c r="B3" s="79"/>
      <c r="C3" s="79"/>
      <c r="D3" s="79"/>
      <c r="E3" s="79"/>
      <c r="F3" s="79"/>
      <c r="G3" s="80"/>
    </row>
    <row r="6" spans="1:7" x14ac:dyDescent="0.25">
      <c r="A6" s="69" t="s">
        <v>17</v>
      </c>
      <c r="B6" s="70"/>
      <c r="C6" s="70"/>
      <c r="D6" s="71"/>
    </row>
    <row r="7" spans="1:7" x14ac:dyDescent="0.25">
      <c r="A7" s="64" t="s">
        <v>16</v>
      </c>
      <c r="B7" s="65"/>
      <c r="C7" s="65"/>
      <c r="D7" s="66"/>
    </row>
    <row r="8" spans="1:7" x14ac:dyDescent="0.25">
      <c r="A8" s="62" t="s">
        <v>12</v>
      </c>
      <c r="B8" s="63"/>
      <c r="C8" s="67" t="s">
        <v>13</v>
      </c>
      <c r="D8" s="68"/>
    </row>
    <row r="9" spans="1:7" x14ac:dyDescent="0.25">
      <c r="A9" s="11" t="s">
        <v>14</v>
      </c>
      <c r="B9" s="12" t="s">
        <v>15</v>
      </c>
      <c r="C9" s="11" t="s">
        <v>14</v>
      </c>
      <c r="D9" s="12" t="s">
        <v>15</v>
      </c>
    </row>
    <row r="10" spans="1:7" x14ac:dyDescent="0.25">
      <c r="A10" s="13">
        <v>1</v>
      </c>
      <c r="B10" s="14">
        <v>9</v>
      </c>
      <c r="C10" s="13">
        <v>1</v>
      </c>
      <c r="D10" s="14">
        <v>5</v>
      </c>
    </row>
    <row r="11" spans="1:7" x14ac:dyDescent="0.25">
      <c r="A11" s="13">
        <v>2</v>
      </c>
      <c r="B11" s="14">
        <v>15</v>
      </c>
      <c r="C11" s="13">
        <v>2</v>
      </c>
      <c r="D11" s="14">
        <v>20</v>
      </c>
    </row>
    <row r="12" spans="1:7" x14ac:dyDescent="0.25">
      <c r="A12" s="13">
        <v>3</v>
      </c>
      <c r="B12" s="14">
        <v>40</v>
      </c>
      <c r="C12" s="13">
        <v>3</v>
      </c>
      <c r="D12" s="14">
        <v>15</v>
      </c>
    </row>
    <row r="13" spans="1:7" x14ac:dyDescent="0.25">
      <c r="A13" s="13">
        <v>4</v>
      </c>
      <c r="B13" s="14">
        <v>10</v>
      </c>
      <c r="C13" s="13">
        <v>4</v>
      </c>
      <c r="D13" s="14">
        <v>20</v>
      </c>
    </row>
    <row r="14" spans="1:7" x14ac:dyDescent="0.25">
      <c r="A14" s="15">
        <v>5</v>
      </c>
      <c r="B14" s="16">
        <v>26</v>
      </c>
      <c r="C14" s="15">
        <v>5</v>
      </c>
      <c r="D14" s="16">
        <v>40</v>
      </c>
    </row>
    <row r="18" spans="1:2" ht="15.75" thickBot="1" x14ac:dyDescent="0.3">
      <c r="A18" t="s">
        <v>19</v>
      </c>
    </row>
    <row r="19" spans="1:2" ht="15.75" thickBot="1" x14ac:dyDescent="0.3">
      <c r="A19" t="s">
        <v>20</v>
      </c>
      <c r="B19" s="91">
        <v>0.36</v>
      </c>
    </row>
    <row r="21" spans="1:2" ht="15.75" thickBot="1" x14ac:dyDescent="0.3">
      <c r="A21" t="s">
        <v>21</v>
      </c>
    </row>
    <row r="22" spans="1:2" ht="15.75" thickBot="1" x14ac:dyDescent="0.3">
      <c r="A22" t="s">
        <v>20</v>
      </c>
      <c r="B22" s="91">
        <v>0.6</v>
      </c>
    </row>
  </sheetData>
  <mergeCells count="5">
    <mergeCell ref="A8:B8"/>
    <mergeCell ref="A7:D7"/>
    <mergeCell ref="C8:D8"/>
    <mergeCell ref="A6:D6"/>
    <mergeCell ref="A1:G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64111-F1D7-467D-BC82-9809D3CADA03}">
  <dimension ref="A1:M35"/>
  <sheetViews>
    <sheetView workbookViewId="0">
      <selection activeCell="G17" sqref="G17"/>
    </sheetView>
  </sheetViews>
  <sheetFormatPr defaultRowHeight="15" x14ac:dyDescent="0.25"/>
  <cols>
    <col min="1" max="1" width="13.5703125" customWidth="1"/>
    <col min="2" max="3" width="14.5703125" customWidth="1"/>
  </cols>
  <sheetData>
    <row r="1" spans="1:8" ht="15" customHeight="1" x14ac:dyDescent="0.25">
      <c r="A1" s="72" t="s">
        <v>25</v>
      </c>
      <c r="B1" s="73"/>
      <c r="C1" s="73"/>
      <c r="D1" s="73"/>
      <c r="E1" s="73"/>
      <c r="F1" s="73"/>
      <c r="G1" s="73"/>
      <c r="H1" s="74"/>
    </row>
    <row r="2" spans="1:8" x14ac:dyDescent="0.25">
      <c r="A2" s="75"/>
      <c r="B2" s="76"/>
      <c r="C2" s="76"/>
      <c r="D2" s="76"/>
      <c r="E2" s="76"/>
      <c r="F2" s="76"/>
      <c r="G2" s="76"/>
      <c r="H2" s="77"/>
    </row>
    <row r="3" spans="1:8" x14ac:dyDescent="0.25">
      <c r="A3" s="75"/>
      <c r="B3" s="76"/>
      <c r="C3" s="76"/>
      <c r="D3" s="76"/>
      <c r="E3" s="76"/>
      <c r="F3" s="76"/>
      <c r="G3" s="76"/>
      <c r="H3" s="77"/>
    </row>
    <row r="4" spans="1:8" ht="4.5" customHeight="1" thickBot="1" x14ac:dyDescent="0.3">
      <c r="A4" s="78"/>
      <c r="B4" s="79"/>
      <c r="C4" s="79"/>
      <c r="D4" s="79"/>
      <c r="E4" s="79"/>
      <c r="F4" s="79"/>
      <c r="G4" s="79"/>
      <c r="H4" s="80"/>
    </row>
    <row r="5" spans="1:8" x14ac:dyDescent="0.25">
      <c r="A5" s="17"/>
      <c r="B5" s="17"/>
      <c r="C5" s="17"/>
      <c r="D5" s="17"/>
      <c r="E5" s="17"/>
      <c r="F5" s="17"/>
      <c r="G5" s="17"/>
    </row>
    <row r="6" spans="1:8" x14ac:dyDescent="0.25">
      <c r="A6" s="17"/>
      <c r="B6" s="17"/>
      <c r="C6" s="17"/>
      <c r="D6" s="17"/>
      <c r="E6" s="17"/>
      <c r="F6" s="17"/>
      <c r="G6" s="17"/>
    </row>
    <row r="7" spans="1:8" ht="32.25" thickBot="1" x14ac:dyDescent="0.3">
      <c r="A7" s="7" t="s">
        <v>26</v>
      </c>
      <c r="B7" s="7" t="s">
        <v>27</v>
      </c>
      <c r="C7" s="95" t="s">
        <v>28</v>
      </c>
      <c r="D7" s="17"/>
      <c r="E7" s="17"/>
      <c r="F7" s="17"/>
      <c r="G7" s="17"/>
    </row>
    <row r="8" spans="1:8" x14ac:dyDescent="0.25">
      <c r="A8" s="92">
        <v>0</v>
      </c>
      <c r="B8" s="94">
        <v>0.05</v>
      </c>
      <c r="C8" s="96">
        <v>50625</v>
      </c>
    </row>
    <row r="9" spans="1:8" x14ac:dyDescent="0.25">
      <c r="A9" s="92">
        <v>50</v>
      </c>
      <c r="B9" s="94">
        <v>0.03</v>
      </c>
      <c r="C9" s="97">
        <v>30625</v>
      </c>
    </row>
    <row r="10" spans="1:8" x14ac:dyDescent="0.25">
      <c r="A10" s="92">
        <v>100</v>
      </c>
      <c r="B10" s="94">
        <v>0.05</v>
      </c>
      <c r="C10" s="97">
        <v>15625</v>
      </c>
    </row>
    <row r="11" spans="1:8" x14ac:dyDescent="0.25">
      <c r="A11" s="92">
        <v>150</v>
      </c>
      <c r="B11" s="94">
        <v>0.14000000000000001</v>
      </c>
      <c r="C11" s="97">
        <v>5625</v>
      </c>
    </row>
    <row r="12" spans="1:8" x14ac:dyDescent="0.25">
      <c r="A12" s="92">
        <v>200</v>
      </c>
      <c r="B12" s="94">
        <v>0.2</v>
      </c>
      <c r="C12" s="97">
        <v>625</v>
      </c>
    </row>
    <row r="13" spans="1:8" x14ac:dyDescent="0.25">
      <c r="A13" s="92">
        <v>250</v>
      </c>
      <c r="B13" s="94">
        <v>0.25</v>
      </c>
      <c r="C13" s="97">
        <v>625</v>
      </c>
    </row>
    <row r="14" spans="1:8" x14ac:dyDescent="0.25">
      <c r="A14" s="92">
        <v>300</v>
      </c>
      <c r="B14" s="94">
        <v>0.18</v>
      </c>
      <c r="C14" s="97">
        <v>5625</v>
      </c>
    </row>
    <row r="15" spans="1:8" x14ac:dyDescent="0.25">
      <c r="A15" s="92">
        <v>350</v>
      </c>
      <c r="B15" s="94">
        <v>0.09</v>
      </c>
      <c r="C15" s="97">
        <v>15625</v>
      </c>
    </row>
    <row r="16" spans="1:8" x14ac:dyDescent="0.25">
      <c r="A16" s="92">
        <v>400</v>
      </c>
      <c r="B16" s="94">
        <v>0.05</v>
      </c>
      <c r="C16" s="97">
        <v>30625</v>
      </c>
    </row>
    <row r="17" spans="1:13" x14ac:dyDescent="0.25">
      <c r="A17" s="92">
        <v>450</v>
      </c>
      <c r="B17" s="94">
        <v>0.03</v>
      </c>
      <c r="C17" s="97">
        <v>50625</v>
      </c>
    </row>
    <row r="18" spans="1:13" ht="15.75" thickBot="1" x14ac:dyDescent="0.3">
      <c r="A18" s="92">
        <v>500</v>
      </c>
      <c r="B18" s="94">
        <v>0.02</v>
      </c>
      <c r="C18" s="98">
        <v>75625</v>
      </c>
    </row>
    <row r="20" spans="1:13" ht="15.75" thickBot="1" x14ac:dyDescent="0.3"/>
    <row r="21" spans="1:13" ht="15.75" thickBot="1" x14ac:dyDescent="0.3">
      <c r="A21" s="18" t="s">
        <v>22</v>
      </c>
      <c r="B21" s="93" t="s">
        <v>49</v>
      </c>
    </row>
    <row r="22" spans="1:13" ht="15.75" thickBot="1" x14ac:dyDescent="0.3">
      <c r="A22" s="18"/>
    </row>
    <row r="23" spans="1:13" ht="15.75" thickBot="1" x14ac:dyDescent="0.3">
      <c r="A23" s="18" t="s">
        <v>23</v>
      </c>
      <c r="B23" s="93">
        <v>11275</v>
      </c>
    </row>
    <row r="24" spans="1:13" ht="15.75" thickBot="1" x14ac:dyDescent="0.3">
      <c r="A24" s="18"/>
    </row>
    <row r="25" spans="1:13" ht="15.75" thickBot="1" x14ac:dyDescent="0.3">
      <c r="A25" s="18" t="s">
        <v>24</v>
      </c>
      <c r="B25" s="93" t="s">
        <v>50</v>
      </c>
    </row>
    <row r="28" spans="1:13" ht="15.75" thickBot="1" x14ac:dyDescent="0.3">
      <c r="A28" t="s">
        <v>29</v>
      </c>
    </row>
    <row r="29" spans="1:13" ht="15" customHeight="1" x14ac:dyDescent="0.25">
      <c r="A29" s="106" t="s">
        <v>51</v>
      </c>
      <c r="B29" s="107"/>
      <c r="C29" s="107"/>
      <c r="D29" s="107"/>
      <c r="E29" s="107"/>
      <c r="F29" s="107"/>
      <c r="G29" s="107"/>
      <c r="H29" s="107"/>
      <c r="I29" s="107"/>
      <c r="J29" s="107"/>
      <c r="K29" s="107"/>
      <c r="L29" s="107"/>
      <c r="M29" s="108"/>
    </row>
    <row r="30" spans="1:13" x14ac:dyDescent="0.25">
      <c r="A30" s="109"/>
      <c r="B30" s="110"/>
      <c r="C30" s="110"/>
      <c r="D30" s="110"/>
      <c r="E30" s="110"/>
      <c r="F30" s="110"/>
      <c r="G30" s="110"/>
      <c r="H30" s="110"/>
      <c r="I30" s="110"/>
      <c r="J30" s="110"/>
      <c r="K30" s="110"/>
      <c r="L30" s="110"/>
      <c r="M30" s="111"/>
    </row>
    <row r="31" spans="1:13" x14ac:dyDescent="0.25">
      <c r="A31" s="109"/>
      <c r="B31" s="110"/>
      <c r="C31" s="110"/>
      <c r="D31" s="110"/>
      <c r="E31" s="110"/>
      <c r="F31" s="110"/>
      <c r="G31" s="110"/>
      <c r="H31" s="110"/>
      <c r="I31" s="110"/>
      <c r="J31" s="110"/>
      <c r="K31" s="110"/>
      <c r="L31" s="110"/>
      <c r="M31" s="111"/>
    </row>
    <row r="32" spans="1:13" x14ac:dyDescent="0.25">
      <c r="A32" s="109"/>
      <c r="B32" s="110"/>
      <c r="C32" s="110"/>
      <c r="D32" s="110"/>
      <c r="E32" s="110"/>
      <c r="F32" s="110"/>
      <c r="G32" s="110"/>
      <c r="H32" s="110"/>
      <c r="I32" s="110"/>
      <c r="J32" s="110"/>
      <c r="K32" s="110"/>
      <c r="L32" s="110"/>
      <c r="M32" s="111"/>
    </row>
    <row r="33" spans="1:13" x14ac:dyDescent="0.25">
      <c r="A33" s="109"/>
      <c r="B33" s="110"/>
      <c r="C33" s="110"/>
      <c r="D33" s="110"/>
      <c r="E33" s="110"/>
      <c r="F33" s="110"/>
      <c r="G33" s="110"/>
      <c r="H33" s="110"/>
      <c r="I33" s="110"/>
      <c r="J33" s="110"/>
      <c r="K33" s="110"/>
      <c r="L33" s="110"/>
      <c r="M33" s="111"/>
    </row>
    <row r="34" spans="1:13" ht="15.75" thickBot="1" x14ac:dyDescent="0.3">
      <c r="A34" s="112"/>
      <c r="B34" s="113"/>
      <c r="C34" s="113"/>
      <c r="D34" s="113"/>
      <c r="E34" s="113"/>
      <c r="F34" s="113"/>
      <c r="G34" s="113"/>
      <c r="H34" s="113"/>
      <c r="I34" s="113"/>
      <c r="J34" s="113"/>
      <c r="K34" s="113"/>
      <c r="L34" s="113"/>
      <c r="M34" s="114"/>
    </row>
    <row r="35" spans="1:13" x14ac:dyDescent="0.25">
      <c r="A35" s="34" t="s">
        <v>37</v>
      </c>
    </row>
  </sheetData>
  <mergeCells count="2">
    <mergeCell ref="A29:M34"/>
    <mergeCell ref="A1:H4"/>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331C1-4372-4CAF-BF68-4E048DE3FC17}">
  <dimension ref="A1:I21"/>
  <sheetViews>
    <sheetView zoomScaleNormal="100" workbookViewId="0">
      <selection sqref="A1:B1"/>
    </sheetView>
  </sheetViews>
  <sheetFormatPr defaultColWidth="12.5703125" defaultRowHeight="18.75" x14ac:dyDescent="0.3"/>
  <cols>
    <col min="1" max="1" width="21.42578125" style="21" bestFit="1" customWidth="1"/>
    <col min="2" max="2" width="6.140625" style="21" bestFit="1" customWidth="1"/>
    <col min="3" max="3" width="2.7109375" style="21" bestFit="1" customWidth="1"/>
    <col min="4" max="4" width="28.5703125" style="21" bestFit="1" customWidth="1"/>
    <col min="5" max="5" width="6.140625" style="21" bestFit="1" customWidth="1"/>
    <col min="6" max="6" width="20.7109375" style="32" bestFit="1" customWidth="1"/>
    <col min="7" max="7" width="6.140625" style="21" bestFit="1" customWidth="1"/>
    <col min="8" max="8" width="15.140625" style="29" customWidth="1"/>
    <col min="9" max="9" width="16.7109375" style="21" customWidth="1"/>
    <col min="10" max="16384" width="12.5703125" style="21"/>
  </cols>
  <sheetData>
    <row r="1" spans="1:9" s="20" customFormat="1" ht="42" customHeight="1" x14ac:dyDescent="0.3">
      <c r="A1" s="81" t="s">
        <v>30</v>
      </c>
      <c r="B1" s="81"/>
      <c r="C1" s="81" t="s">
        <v>31</v>
      </c>
      <c r="D1" s="81"/>
      <c r="E1" s="81"/>
      <c r="F1" s="81" t="s">
        <v>32</v>
      </c>
      <c r="G1" s="81"/>
      <c r="H1" s="19" t="s">
        <v>33</v>
      </c>
      <c r="I1" s="19" t="s">
        <v>34</v>
      </c>
    </row>
    <row r="2" spans="1:9" ht="19.5" thickBot="1" x14ac:dyDescent="0.35"/>
    <row r="3" spans="1:9" ht="19.5" thickBot="1" x14ac:dyDescent="0.35">
      <c r="F3" s="22" t="s">
        <v>35</v>
      </c>
      <c r="G3" s="23">
        <v>0.25</v>
      </c>
      <c r="H3" s="24">
        <v>3</v>
      </c>
      <c r="I3" s="116">
        <v>1.5625E-2</v>
      </c>
    </row>
    <row r="4" spans="1:9" ht="19.5" thickBot="1" x14ac:dyDescent="0.35">
      <c r="F4" s="25" t="s">
        <v>36</v>
      </c>
      <c r="G4" s="26">
        <v>0.75</v>
      </c>
      <c r="H4" s="27">
        <v>2</v>
      </c>
      <c r="I4" s="116">
        <v>0.140625</v>
      </c>
    </row>
    <row r="5" spans="1:9" x14ac:dyDescent="0.3">
      <c r="F5" s="28"/>
    </row>
    <row r="6" spans="1:9" x14ac:dyDescent="0.3">
      <c r="C6" s="30" t="str">
        <f>"-"</f>
        <v>-</v>
      </c>
      <c r="D6" s="22" t="s">
        <v>35</v>
      </c>
      <c r="E6" s="23">
        <v>0.25</v>
      </c>
      <c r="F6" s="28"/>
    </row>
    <row r="7" spans="1:9" x14ac:dyDescent="0.3">
      <c r="C7" s="30" t="str">
        <f>"+"</f>
        <v>+</v>
      </c>
      <c r="D7" s="25" t="s">
        <v>36</v>
      </c>
      <c r="E7" s="26">
        <v>0.75</v>
      </c>
      <c r="F7" s="31"/>
    </row>
    <row r="8" spans="1:9" ht="19.5" thickBot="1" x14ac:dyDescent="0.35">
      <c r="C8" s="30"/>
      <c r="F8" s="31"/>
    </row>
    <row r="9" spans="1:9" ht="19.5" thickBot="1" x14ac:dyDescent="0.35">
      <c r="C9" s="30"/>
      <c r="F9" s="22" t="s">
        <v>35</v>
      </c>
      <c r="G9" s="23">
        <v>0.25</v>
      </c>
      <c r="H9" s="24">
        <v>2</v>
      </c>
      <c r="I9" s="117">
        <v>42.1875</v>
      </c>
    </row>
    <row r="10" spans="1:9" ht="19.5" thickBot="1" x14ac:dyDescent="0.35">
      <c r="A10" s="30"/>
      <c r="B10" s="30"/>
      <c r="C10" s="30"/>
      <c r="F10" s="25" t="s">
        <v>36</v>
      </c>
      <c r="G10" s="26">
        <v>0.75</v>
      </c>
      <c r="H10" s="27">
        <v>1</v>
      </c>
      <c r="I10" s="117">
        <v>56.25</v>
      </c>
    </row>
    <row r="11" spans="1:9" x14ac:dyDescent="0.3">
      <c r="A11" s="22" t="s">
        <v>35</v>
      </c>
      <c r="B11" s="23">
        <v>0.25</v>
      </c>
      <c r="C11" s="30"/>
      <c r="I11" s="115"/>
    </row>
    <row r="12" spans="1:9" x14ac:dyDescent="0.3">
      <c r="A12" s="25" t="s">
        <v>36</v>
      </c>
      <c r="B12" s="26">
        <v>0.75</v>
      </c>
      <c r="C12" s="33"/>
      <c r="I12" s="115"/>
    </row>
    <row r="13" spans="1:9" ht="19.5" thickBot="1" x14ac:dyDescent="0.35">
      <c r="A13" s="33"/>
      <c r="B13" s="33"/>
      <c r="C13" s="33"/>
      <c r="I13" s="115"/>
    </row>
    <row r="14" spans="1:9" ht="19.5" thickBot="1" x14ac:dyDescent="0.35">
      <c r="C14" s="33"/>
      <c r="F14" s="22" t="s">
        <v>35</v>
      </c>
      <c r="G14" s="23">
        <v>0.25</v>
      </c>
      <c r="H14" s="24">
        <v>2</v>
      </c>
      <c r="I14" s="117">
        <v>42.1875</v>
      </c>
    </row>
    <row r="15" spans="1:9" ht="19.5" thickBot="1" x14ac:dyDescent="0.35">
      <c r="C15" s="33"/>
      <c r="F15" s="25" t="s">
        <v>36</v>
      </c>
      <c r="G15" s="26">
        <v>0.75</v>
      </c>
      <c r="H15" s="27">
        <v>1</v>
      </c>
      <c r="I15" s="117">
        <v>56.25</v>
      </c>
    </row>
    <row r="16" spans="1:9" x14ac:dyDescent="0.3">
      <c r="C16" s="33"/>
      <c r="F16" s="28"/>
      <c r="I16" s="115"/>
    </row>
    <row r="17" spans="3:9" x14ac:dyDescent="0.3">
      <c r="C17" s="33" t="str">
        <f>"+"</f>
        <v>+</v>
      </c>
      <c r="D17" s="22" t="s">
        <v>35</v>
      </c>
      <c r="E17" s="23">
        <v>0.25</v>
      </c>
      <c r="F17" s="28"/>
      <c r="I17" s="115"/>
    </row>
    <row r="18" spans="3:9" x14ac:dyDescent="0.3">
      <c r="C18" s="33" t="str">
        <f>"-"</f>
        <v>-</v>
      </c>
      <c r="D18" s="25" t="s">
        <v>36</v>
      </c>
      <c r="E18" s="26">
        <v>0.75</v>
      </c>
      <c r="F18" s="31"/>
      <c r="I18" s="115"/>
    </row>
    <row r="19" spans="3:9" ht="19.5" thickBot="1" x14ac:dyDescent="0.35">
      <c r="F19" s="31"/>
      <c r="I19" s="115"/>
    </row>
    <row r="20" spans="3:9" ht="19.5" thickBot="1" x14ac:dyDescent="0.35">
      <c r="F20" s="22" t="s">
        <v>35</v>
      </c>
      <c r="G20" s="23">
        <v>0.25</v>
      </c>
      <c r="H20" s="24">
        <v>1</v>
      </c>
      <c r="I20" s="117">
        <v>42.1875</v>
      </c>
    </row>
    <row r="21" spans="3:9" ht="19.5" thickBot="1" x14ac:dyDescent="0.35">
      <c r="F21" s="25" t="s">
        <v>36</v>
      </c>
      <c r="G21" s="26">
        <v>0.75</v>
      </c>
      <c r="H21" s="27">
        <v>0</v>
      </c>
      <c r="I21" s="117">
        <v>0</v>
      </c>
    </row>
  </sheetData>
  <mergeCells count="3">
    <mergeCell ref="A1:B1"/>
    <mergeCell ref="C1:E1"/>
    <mergeCell ref="F1:G1"/>
  </mergeCells>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862A-DA9E-4622-AF1A-8D8F0D6969AF}">
  <dimension ref="A1:M110"/>
  <sheetViews>
    <sheetView zoomScale="60" zoomScaleNormal="60" workbookViewId="0">
      <selection activeCell="G39" sqref="G39"/>
    </sheetView>
  </sheetViews>
  <sheetFormatPr defaultColWidth="12.42578125" defaultRowHeight="24" x14ac:dyDescent="0.4"/>
  <cols>
    <col min="1" max="1" width="63.85546875" style="36" customWidth="1"/>
    <col min="2" max="2" width="19" style="36" customWidth="1"/>
    <col min="3" max="4" width="31.42578125" style="36" customWidth="1"/>
    <col min="5" max="5" width="10.7109375" style="36" customWidth="1"/>
    <col min="6" max="6" width="10.7109375" style="35" customWidth="1"/>
    <col min="7" max="7" width="42.42578125" style="35" customWidth="1"/>
    <col min="8" max="16384" width="12.42578125" style="35"/>
  </cols>
  <sheetData>
    <row r="1" spans="1:13" x14ac:dyDescent="0.4">
      <c r="A1" s="82" t="s">
        <v>46</v>
      </c>
      <c r="B1" s="83"/>
      <c r="C1" s="83"/>
      <c r="D1" s="83"/>
      <c r="E1" s="83"/>
      <c r="F1" s="83"/>
      <c r="G1" s="83"/>
      <c r="H1" s="84"/>
    </row>
    <row r="2" spans="1:13" x14ac:dyDescent="0.4">
      <c r="A2" s="85"/>
      <c r="B2" s="86"/>
      <c r="C2" s="86"/>
      <c r="D2" s="86"/>
      <c r="E2" s="86"/>
      <c r="F2" s="86"/>
      <c r="G2" s="86"/>
      <c r="H2" s="87"/>
    </row>
    <row r="3" spans="1:13" ht="24.75" thickBot="1" x14ac:dyDescent="0.45">
      <c r="A3" s="88"/>
      <c r="B3" s="89"/>
      <c r="C3" s="89"/>
      <c r="D3" s="89"/>
      <c r="E3" s="89"/>
      <c r="F3" s="89"/>
      <c r="G3" s="89"/>
      <c r="H3" s="90"/>
    </row>
    <row r="6" spans="1:13" s="38" customFormat="1" ht="59.1" customHeight="1" thickBot="1" x14ac:dyDescent="0.3">
      <c r="A6" s="47" t="s">
        <v>45</v>
      </c>
      <c r="B6" s="119" t="s">
        <v>44</v>
      </c>
      <c r="C6" s="120" t="s">
        <v>43</v>
      </c>
      <c r="D6" s="120" t="s">
        <v>42</v>
      </c>
    </row>
    <row r="7" spans="1:13" s="43" customFormat="1" ht="42" customHeight="1" x14ac:dyDescent="0.25">
      <c r="A7" s="118">
        <v>-15</v>
      </c>
      <c r="B7" s="121">
        <v>-1.55</v>
      </c>
      <c r="C7" s="122">
        <v>6.0600000000000001E-2</v>
      </c>
      <c r="D7" s="123">
        <v>0.93940000000000001</v>
      </c>
      <c r="E7" s="46"/>
      <c r="F7" s="38"/>
      <c r="G7" s="45" t="s">
        <v>41</v>
      </c>
      <c r="H7" s="44">
        <v>8.2899999999999991</v>
      </c>
      <c r="I7" s="38"/>
      <c r="J7" s="38"/>
      <c r="K7" s="38"/>
      <c r="L7" s="38"/>
      <c r="M7" s="38"/>
    </row>
    <row r="8" spans="1:13" s="43" customFormat="1" ht="42" customHeight="1" thickBot="1" x14ac:dyDescent="0.3">
      <c r="A8" s="118">
        <v>15</v>
      </c>
      <c r="B8" s="124">
        <v>7.0000000000000007E-2</v>
      </c>
      <c r="C8" s="125">
        <v>0.52790000000000004</v>
      </c>
      <c r="D8" s="126">
        <v>0.47210000000000002</v>
      </c>
      <c r="E8" s="46"/>
      <c r="F8" s="38"/>
      <c r="G8" s="45" t="s">
        <v>40</v>
      </c>
      <c r="H8" s="44">
        <v>17.52</v>
      </c>
      <c r="I8" s="38"/>
      <c r="J8" s="38"/>
      <c r="K8" s="38"/>
      <c r="L8" s="38"/>
      <c r="M8" s="38"/>
    </row>
    <row r="9" spans="1:13" x14ac:dyDescent="0.4">
      <c r="A9" s="35"/>
      <c r="B9" s="35"/>
      <c r="C9" s="35"/>
      <c r="D9" s="35"/>
      <c r="E9" s="35"/>
      <c r="G9" s="38"/>
      <c r="H9" s="38"/>
      <c r="I9" s="38"/>
      <c r="J9" s="38"/>
      <c r="K9" s="37"/>
      <c r="L9" s="37"/>
      <c r="M9" s="37"/>
    </row>
    <row r="10" spans="1:13" x14ac:dyDescent="0.4">
      <c r="A10" s="35"/>
      <c r="B10" s="35"/>
      <c r="C10" s="35"/>
      <c r="D10" s="35"/>
      <c r="E10" s="35"/>
      <c r="G10" s="38"/>
      <c r="H10" s="38"/>
      <c r="I10" s="38"/>
      <c r="J10" s="38"/>
      <c r="K10" s="37"/>
      <c r="L10" s="37"/>
      <c r="M10" s="37"/>
    </row>
    <row r="11" spans="1:13" ht="24.75" thickBot="1" x14ac:dyDescent="0.45">
      <c r="A11" s="39"/>
      <c r="B11" s="39"/>
      <c r="C11" s="39"/>
      <c r="D11" s="39"/>
      <c r="E11" s="35"/>
      <c r="G11" s="38"/>
      <c r="H11" s="38"/>
      <c r="I11" s="38"/>
      <c r="J11" s="38"/>
      <c r="K11" s="37"/>
      <c r="L11" s="37"/>
      <c r="M11" s="37"/>
    </row>
    <row r="12" spans="1:13" x14ac:dyDescent="0.4">
      <c r="A12" s="42" t="s">
        <v>39</v>
      </c>
      <c r="B12" s="127">
        <v>0.46729999999999999</v>
      </c>
      <c r="C12" s="41"/>
      <c r="D12" s="39"/>
      <c r="E12" s="35"/>
      <c r="G12" s="38"/>
      <c r="H12" s="38"/>
      <c r="I12" s="38"/>
      <c r="J12" s="38"/>
      <c r="K12" s="37"/>
      <c r="L12" s="37"/>
      <c r="M12" s="37"/>
    </row>
    <row r="13" spans="1:13" ht="24.75" thickBot="1" x14ac:dyDescent="0.45">
      <c r="A13" s="42" t="s">
        <v>38</v>
      </c>
      <c r="B13" s="128">
        <v>0.53269999999999995</v>
      </c>
      <c r="C13" s="41"/>
      <c r="D13" s="39"/>
      <c r="E13" s="35"/>
      <c r="G13" s="38"/>
      <c r="H13" s="38"/>
      <c r="I13" s="38"/>
      <c r="J13" s="38"/>
      <c r="K13" s="37"/>
      <c r="L13" s="37"/>
      <c r="M13" s="37"/>
    </row>
    <row r="14" spans="1:13" x14ac:dyDescent="0.4">
      <c r="A14" s="40"/>
      <c r="B14" s="39"/>
      <c r="C14" s="39"/>
      <c r="D14" s="39"/>
      <c r="E14" s="35"/>
      <c r="G14" s="38"/>
      <c r="H14" s="38"/>
      <c r="I14" s="38"/>
      <c r="J14" s="38"/>
      <c r="K14" s="37"/>
      <c r="L14" s="37"/>
      <c r="M14" s="37"/>
    </row>
    <row r="15" spans="1:13" x14ac:dyDescent="0.4">
      <c r="A15" s="35"/>
      <c r="B15" s="35"/>
      <c r="C15" s="35"/>
      <c r="D15" s="35"/>
      <c r="E15" s="35"/>
      <c r="G15" s="38"/>
      <c r="H15" s="38"/>
      <c r="I15" s="38"/>
      <c r="J15" s="38"/>
      <c r="K15" s="37"/>
      <c r="L15" s="37"/>
      <c r="M15" s="37"/>
    </row>
    <row r="16" spans="1:13" x14ac:dyDescent="0.4">
      <c r="A16" s="35"/>
      <c r="B16" s="35"/>
      <c r="C16" s="35"/>
      <c r="D16" s="35"/>
      <c r="E16" s="35"/>
      <c r="G16" s="38"/>
      <c r="H16" s="38"/>
      <c r="I16" s="38"/>
      <c r="J16" s="38"/>
      <c r="K16" s="37"/>
      <c r="L16" s="37"/>
      <c r="M16" s="37"/>
    </row>
    <row r="17" spans="1:13" x14ac:dyDescent="0.4">
      <c r="A17" s="35"/>
      <c r="B17" s="35"/>
      <c r="C17" s="35"/>
      <c r="D17" s="35"/>
      <c r="E17" s="35"/>
      <c r="G17" s="38"/>
      <c r="H17" s="38"/>
      <c r="I17" s="38"/>
      <c r="J17" s="38"/>
      <c r="K17" s="37"/>
      <c r="L17" s="37"/>
      <c r="M17" s="37"/>
    </row>
    <row r="18" spans="1:13" x14ac:dyDescent="0.4">
      <c r="A18" s="35"/>
      <c r="B18" s="35"/>
      <c r="C18" s="35"/>
      <c r="D18" s="35"/>
      <c r="E18" s="35"/>
      <c r="G18" s="38"/>
      <c r="H18" s="38"/>
      <c r="I18" s="38"/>
      <c r="J18" s="38"/>
      <c r="K18" s="37"/>
      <c r="L18" s="37"/>
      <c r="M18" s="37"/>
    </row>
    <row r="19" spans="1:13" x14ac:dyDescent="0.4">
      <c r="A19" s="35"/>
      <c r="B19" s="35"/>
      <c r="C19" s="35"/>
      <c r="D19" s="35"/>
      <c r="E19" s="35"/>
      <c r="G19" s="38"/>
      <c r="H19" s="38"/>
      <c r="I19" s="38"/>
      <c r="J19" s="38"/>
      <c r="K19" s="37"/>
      <c r="L19" s="37"/>
      <c r="M19" s="37"/>
    </row>
    <row r="20" spans="1:13" x14ac:dyDescent="0.4">
      <c r="A20" s="35"/>
      <c r="B20" s="35"/>
      <c r="C20" s="35"/>
      <c r="D20" s="35"/>
      <c r="E20" s="35"/>
      <c r="G20" s="38"/>
      <c r="H20" s="38"/>
      <c r="I20" s="38"/>
      <c r="J20" s="38"/>
      <c r="K20" s="37"/>
      <c r="L20" s="37"/>
      <c r="M20" s="37"/>
    </row>
    <row r="21" spans="1:13" x14ac:dyDescent="0.4">
      <c r="A21" s="35"/>
      <c r="B21" s="35"/>
      <c r="C21" s="35"/>
      <c r="D21" s="35"/>
      <c r="E21" s="35"/>
      <c r="G21" s="38"/>
      <c r="H21" s="38"/>
      <c r="I21" s="38"/>
      <c r="J21" s="38"/>
      <c r="K21" s="37"/>
      <c r="L21" s="37"/>
      <c r="M21" s="37"/>
    </row>
    <row r="22" spans="1:13" x14ac:dyDescent="0.4">
      <c r="A22" s="35"/>
      <c r="B22" s="35"/>
      <c r="C22" s="35"/>
      <c r="D22" s="35"/>
      <c r="E22" s="35"/>
      <c r="G22" s="38"/>
      <c r="H22" s="38"/>
      <c r="I22" s="38"/>
      <c r="J22" s="38"/>
      <c r="K22" s="37"/>
      <c r="L22" s="37"/>
      <c r="M22" s="37"/>
    </row>
    <row r="23" spans="1:13" x14ac:dyDescent="0.4">
      <c r="A23" s="35"/>
      <c r="B23" s="35"/>
      <c r="C23" s="35"/>
      <c r="D23" s="35"/>
      <c r="E23" s="35"/>
      <c r="G23" s="38"/>
      <c r="H23" s="38"/>
      <c r="I23" s="38"/>
      <c r="J23" s="38"/>
      <c r="K23" s="37"/>
      <c r="L23" s="37"/>
      <c r="M23" s="37"/>
    </row>
    <row r="24" spans="1:13" x14ac:dyDescent="0.4">
      <c r="A24" s="35"/>
      <c r="B24" s="35"/>
      <c r="C24" s="35"/>
      <c r="D24" s="35"/>
      <c r="E24" s="35"/>
      <c r="I24" s="37"/>
      <c r="J24" s="37"/>
      <c r="K24" s="37"/>
      <c r="L24" s="37"/>
      <c r="M24" s="37"/>
    </row>
    <row r="25" spans="1:13" x14ac:dyDescent="0.4">
      <c r="A25" s="35"/>
      <c r="B25" s="35"/>
      <c r="C25" s="35"/>
      <c r="D25" s="35"/>
      <c r="E25" s="35"/>
    </row>
    <row r="26" spans="1:13" x14ac:dyDescent="0.4">
      <c r="A26" s="35"/>
      <c r="B26" s="35"/>
      <c r="C26" s="35"/>
      <c r="D26" s="35"/>
      <c r="E26" s="35"/>
    </row>
    <row r="27" spans="1:13" x14ac:dyDescent="0.4">
      <c r="A27" s="35"/>
      <c r="B27" s="35"/>
      <c r="C27" s="35"/>
      <c r="D27" s="35"/>
      <c r="E27" s="35"/>
    </row>
    <row r="28" spans="1:13" x14ac:dyDescent="0.4">
      <c r="A28" s="35"/>
      <c r="B28" s="35"/>
      <c r="C28" s="35"/>
      <c r="D28" s="35"/>
      <c r="E28" s="35"/>
    </row>
    <row r="29" spans="1:13" x14ac:dyDescent="0.4">
      <c r="A29" s="35"/>
      <c r="B29" s="35"/>
      <c r="C29" s="35"/>
      <c r="D29" s="35"/>
      <c r="E29" s="35"/>
    </row>
    <row r="30" spans="1:13" x14ac:dyDescent="0.4">
      <c r="A30" s="35"/>
      <c r="B30" s="35"/>
      <c r="C30" s="35"/>
      <c r="D30" s="35"/>
      <c r="E30" s="35"/>
    </row>
    <row r="31" spans="1:13" x14ac:dyDescent="0.4">
      <c r="A31" s="35"/>
      <c r="B31" s="35"/>
      <c r="C31" s="35"/>
      <c r="D31" s="35"/>
      <c r="E31" s="35"/>
    </row>
    <row r="32" spans="1:13" x14ac:dyDescent="0.4">
      <c r="A32" s="86" t="s">
        <v>47</v>
      </c>
      <c r="B32" s="86"/>
      <c r="C32" s="86"/>
      <c r="D32" s="86"/>
      <c r="E32" s="86"/>
      <c r="F32" s="86"/>
    </row>
    <row r="33" spans="1:6" ht="24.75" thickBot="1" x14ac:dyDescent="0.45">
      <c r="A33" s="86"/>
      <c r="B33" s="86"/>
      <c r="C33" s="86"/>
      <c r="D33" s="86"/>
      <c r="E33" s="86"/>
      <c r="F33" s="86"/>
    </row>
    <row r="34" spans="1:6" ht="32.25" customHeight="1" x14ac:dyDescent="0.4">
      <c r="A34" s="132" t="s">
        <v>55</v>
      </c>
      <c r="B34" s="133"/>
      <c r="C34" s="133"/>
      <c r="D34" s="133"/>
      <c r="E34" s="133"/>
      <c r="F34" s="134"/>
    </row>
    <row r="35" spans="1:6" ht="32.25" customHeight="1" x14ac:dyDescent="0.4">
      <c r="A35" s="135"/>
      <c r="B35" s="136"/>
      <c r="C35" s="136"/>
      <c r="D35" s="136"/>
      <c r="E35" s="136"/>
      <c r="F35" s="137"/>
    </row>
    <row r="36" spans="1:6" ht="32.25" customHeight="1" x14ac:dyDescent="0.4">
      <c r="A36" s="135"/>
      <c r="B36" s="136"/>
      <c r="C36" s="136"/>
      <c r="D36" s="136"/>
      <c r="E36" s="136"/>
      <c r="F36" s="137"/>
    </row>
    <row r="37" spans="1:6" ht="32.25" customHeight="1" x14ac:dyDescent="0.4">
      <c r="A37" s="135"/>
      <c r="B37" s="136"/>
      <c r="C37" s="136"/>
      <c r="D37" s="136"/>
      <c r="E37" s="136"/>
      <c r="F37" s="137"/>
    </row>
    <row r="38" spans="1:6" ht="32.25" customHeight="1" x14ac:dyDescent="0.4">
      <c r="A38" s="135"/>
      <c r="B38" s="136"/>
      <c r="C38" s="136"/>
      <c r="D38" s="136"/>
      <c r="E38" s="136"/>
      <c r="F38" s="137"/>
    </row>
    <row r="39" spans="1:6" ht="32.25" customHeight="1" x14ac:dyDescent="0.4">
      <c r="A39" s="135"/>
      <c r="B39" s="136"/>
      <c r="C39" s="136"/>
      <c r="D39" s="136"/>
      <c r="E39" s="136"/>
      <c r="F39" s="137"/>
    </row>
    <row r="40" spans="1:6" ht="32.25" customHeight="1" x14ac:dyDescent="0.4">
      <c r="A40" s="135"/>
      <c r="B40" s="136"/>
      <c r="C40" s="136"/>
      <c r="D40" s="136"/>
      <c r="E40" s="136"/>
      <c r="F40" s="137"/>
    </row>
    <row r="41" spans="1:6" ht="13.5" customHeight="1" thickBot="1" x14ac:dyDescent="0.45">
      <c r="A41" s="138"/>
      <c r="B41" s="139"/>
      <c r="C41" s="139"/>
      <c r="D41" s="139"/>
      <c r="E41" s="139"/>
      <c r="F41" s="140"/>
    </row>
    <row r="42" spans="1:6" x14ac:dyDescent="0.4">
      <c r="A42" s="35"/>
      <c r="B42" s="35"/>
      <c r="C42" s="35"/>
      <c r="D42" s="35"/>
      <c r="E42" s="35"/>
    </row>
    <row r="43" spans="1:6" ht="24.75" thickBot="1" x14ac:dyDescent="0.45">
      <c r="A43" s="35" t="s">
        <v>52</v>
      </c>
      <c r="B43" s="35"/>
      <c r="C43" s="35"/>
      <c r="D43" s="35"/>
      <c r="E43" s="35"/>
    </row>
    <row r="44" spans="1:6" ht="115.5" customHeight="1" thickBot="1" x14ac:dyDescent="0.45">
      <c r="A44" s="129" t="s">
        <v>53</v>
      </c>
      <c r="B44" s="130"/>
      <c r="C44" s="130"/>
      <c r="D44" s="130"/>
      <c r="E44" s="130"/>
      <c r="F44" s="131"/>
    </row>
    <row r="45" spans="1:6" ht="24.75" thickBot="1" x14ac:dyDescent="0.45">
      <c r="A45" s="35"/>
      <c r="B45" s="35"/>
      <c r="C45" s="35"/>
      <c r="D45" s="35"/>
      <c r="E45" s="35"/>
    </row>
    <row r="46" spans="1:6" ht="115.5" customHeight="1" thickBot="1" x14ac:dyDescent="0.45">
      <c r="A46" s="129" t="s">
        <v>54</v>
      </c>
      <c r="B46" s="130"/>
      <c r="C46" s="130"/>
      <c r="D46" s="130"/>
      <c r="E46" s="130"/>
      <c r="F46" s="131"/>
    </row>
    <row r="47" spans="1:6" ht="24.75" thickBot="1" x14ac:dyDescent="0.45">
      <c r="A47" s="35"/>
      <c r="B47" s="35"/>
      <c r="C47" s="35"/>
      <c r="D47" s="35"/>
      <c r="E47" s="35"/>
    </row>
    <row r="48" spans="1:6" ht="115.5" customHeight="1" thickBot="1" x14ac:dyDescent="0.45">
      <c r="A48" s="129" t="s">
        <v>56</v>
      </c>
      <c r="B48" s="130"/>
      <c r="C48" s="130"/>
      <c r="D48" s="130"/>
      <c r="E48" s="130"/>
      <c r="F48" s="131"/>
    </row>
    <row r="49" s="35" customFormat="1" x14ac:dyDescent="0.4"/>
    <row r="50" s="35" customFormat="1" x14ac:dyDescent="0.4"/>
    <row r="51" s="35" customFormat="1" x14ac:dyDescent="0.4"/>
    <row r="52" s="35" customFormat="1" x14ac:dyDescent="0.4"/>
    <row r="53" s="35" customFormat="1" x14ac:dyDescent="0.4"/>
    <row r="54" s="35" customFormat="1" x14ac:dyDescent="0.4"/>
    <row r="55" s="35" customFormat="1" x14ac:dyDescent="0.4"/>
    <row r="56" s="35" customFormat="1" x14ac:dyDescent="0.4"/>
    <row r="57" s="35" customFormat="1" x14ac:dyDescent="0.4"/>
    <row r="58" s="35" customFormat="1" x14ac:dyDescent="0.4"/>
    <row r="59" s="35" customFormat="1" x14ac:dyDescent="0.4"/>
    <row r="60" s="35" customFormat="1" x14ac:dyDescent="0.4"/>
    <row r="61" s="35" customFormat="1" x14ac:dyDescent="0.4"/>
    <row r="62" s="35" customFormat="1" x14ac:dyDescent="0.4"/>
    <row r="63" s="35" customFormat="1" x14ac:dyDescent="0.4"/>
    <row r="64" s="35" customFormat="1" x14ac:dyDescent="0.4"/>
    <row r="65" s="35" customFormat="1" x14ac:dyDescent="0.4"/>
    <row r="66" s="35" customFormat="1" x14ac:dyDescent="0.4"/>
    <row r="67" s="35" customFormat="1" x14ac:dyDescent="0.4"/>
    <row r="68" s="35" customFormat="1" x14ac:dyDescent="0.4"/>
    <row r="69" s="35" customFormat="1" x14ac:dyDescent="0.4"/>
    <row r="70" s="35" customFormat="1" x14ac:dyDescent="0.4"/>
    <row r="71" s="35" customFormat="1" x14ac:dyDescent="0.4"/>
    <row r="72" s="35" customFormat="1" x14ac:dyDescent="0.4"/>
    <row r="73" s="35" customFormat="1" x14ac:dyDescent="0.4"/>
    <row r="74" s="35" customFormat="1" x14ac:dyDescent="0.4"/>
    <row r="75" s="35" customFormat="1" x14ac:dyDescent="0.4"/>
    <row r="76" s="35" customFormat="1" x14ac:dyDescent="0.4"/>
    <row r="77" s="35" customFormat="1" x14ac:dyDescent="0.4"/>
    <row r="78" s="35" customFormat="1" x14ac:dyDescent="0.4"/>
    <row r="79" s="35" customFormat="1" x14ac:dyDescent="0.4"/>
    <row r="80" s="35" customFormat="1" x14ac:dyDescent="0.4"/>
    <row r="81" s="35" customFormat="1" x14ac:dyDescent="0.4"/>
    <row r="82" s="35" customFormat="1" x14ac:dyDescent="0.4"/>
    <row r="83" s="35" customFormat="1" x14ac:dyDescent="0.4"/>
    <row r="84" s="35" customFormat="1" x14ac:dyDescent="0.4"/>
    <row r="85" s="35" customFormat="1" x14ac:dyDescent="0.4"/>
    <row r="86" s="35" customFormat="1" x14ac:dyDescent="0.4"/>
    <row r="87" s="35" customFormat="1" x14ac:dyDescent="0.4"/>
    <row r="88" s="35" customFormat="1" x14ac:dyDescent="0.4"/>
    <row r="89" s="35" customFormat="1" x14ac:dyDescent="0.4"/>
    <row r="90" s="35" customFormat="1" x14ac:dyDescent="0.4"/>
    <row r="91" s="35" customFormat="1" x14ac:dyDescent="0.4"/>
    <row r="92" s="35" customFormat="1" x14ac:dyDescent="0.4"/>
    <row r="93" s="35" customFormat="1" x14ac:dyDescent="0.4"/>
    <row r="94" s="35" customFormat="1" x14ac:dyDescent="0.4"/>
    <row r="95" s="35" customFormat="1" x14ac:dyDescent="0.4"/>
    <row r="96" s="35" customFormat="1" x14ac:dyDescent="0.4"/>
    <row r="97" s="35" customFormat="1" x14ac:dyDescent="0.4"/>
    <row r="98" s="35" customFormat="1" x14ac:dyDescent="0.4"/>
    <row r="99" s="35" customFormat="1" x14ac:dyDescent="0.4"/>
    <row r="100" s="35" customFormat="1" x14ac:dyDescent="0.4"/>
    <row r="101" s="35" customFormat="1" x14ac:dyDescent="0.4"/>
    <row r="102" s="35" customFormat="1" x14ac:dyDescent="0.4"/>
    <row r="103" s="35" customFormat="1" x14ac:dyDescent="0.4"/>
    <row r="104" s="35" customFormat="1" x14ac:dyDescent="0.4"/>
    <row r="105" s="35" customFormat="1" x14ac:dyDescent="0.4"/>
    <row r="106" s="35" customFormat="1" x14ac:dyDescent="0.4"/>
    <row r="107" s="35" customFormat="1" x14ac:dyDescent="0.4"/>
    <row r="108" s="35" customFormat="1" x14ac:dyDescent="0.4"/>
    <row r="109" s="35" customFormat="1" x14ac:dyDescent="0.4"/>
    <row r="110" s="35" customFormat="1" x14ac:dyDescent="0.4"/>
  </sheetData>
  <autoFilter ref="A6:C106" xr:uid="{19DAF856-36D6-A942-858E-956773750001}"/>
  <mergeCells count="6">
    <mergeCell ref="A48:F48"/>
    <mergeCell ref="A1:H3"/>
    <mergeCell ref="A32:F33"/>
    <mergeCell ref="A34:F41"/>
    <mergeCell ref="A44:F44"/>
    <mergeCell ref="A46:F46"/>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Black Footed Cat</vt:lpstr>
      <vt:lpstr>Happy Customers</vt:lpstr>
      <vt:lpstr>Super Scooping</vt:lpstr>
      <vt:lpstr>Probability Tree</vt:lpstr>
      <vt:lpstr>S &amp; P 500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2024-01-28T14:44:30Z</dcterms:created>
  <dcterms:modified xsi:type="dcterms:W3CDTF">2025-02-09T19:04:56Z</dcterms:modified>
</cp:coreProperties>
</file>