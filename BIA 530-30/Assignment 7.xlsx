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gelli\Desktop\BIA 530-30\"/>
    </mc:Choice>
  </mc:AlternateContent>
  <xr:revisionPtr revIDLastSave="0" documentId="13_ncr:1_{DFEE051A-E00C-4F81-A18C-41E33E8BD445}" xr6:coauthVersionLast="47" xr6:coauthVersionMax="47" xr10:uidLastSave="{00000000-0000-0000-0000-000000000000}"/>
  <bookViews>
    <workbookView xWindow="25140" yWindow="0" windowWidth="15180" windowHeight="14310" activeTab="1" xr2:uid="{C8BFF7B3-030F-41E8-973B-0273984FABB0}"/>
  </bookViews>
  <sheets>
    <sheet name="OC" sheetId="1" r:id="rId1"/>
    <sheet name="Control Chart"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3" l="1"/>
  <c r="D7" i="3"/>
  <c r="D6" i="3"/>
  <c r="D5" i="3"/>
  <c r="A31" i="3"/>
  <c r="A32" i="3"/>
  <c r="A21" i="3"/>
  <c r="A22" i="3"/>
  <c r="A23" i="3"/>
  <c r="A24" i="3"/>
  <c r="A25" i="3" s="1"/>
  <c r="A26" i="3" s="1"/>
  <c r="A27" i="3" s="1"/>
  <c r="A28" i="3" s="1"/>
  <c r="A29" i="3" s="1"/>
  <c r="A30" i="3" s="1"/>
  <c r="A8" i="3"/>
  <c r="A9" i="3"/>
  <c r="A10" i="3"/>
  <c r="A11" i="3" s="1"/>
  <c r="A12" i="3" s="1"/>
  <c r="A13" i="3" s="1"/>
  <c r="A14" i="3" s="1"/>
  <c r="A15" i="3" s="1"/>
  <c r="A16" i="3" s="1"/>
  <c r="A17" i="3" s="1"/>
  <c r="A18" i="3" s="1"/>
  <c r="A19" i="3" s="1"/>
  <c r="A20" i="3" s="1"/>
  <c r="A7" i="3"/>
  <c r="A8" i="1"/>
  <c r="A9" i="1" s="1"/>
  <c r="A10" i="1" l="1"/>
  <c r="A11" i="1" l="1"/>
  <c r="A12" i="1" l="1"/>
  <c r="A13" i="1" l="1"/>
  <c r="A14" i="1" l="1"/>
  <c r="A15" i="1" l="1"/>
  <c r="A16" i="1" l="1"/>
  <c r="A17" i="1" l="1"/>
  <c r="A18" i="1" l="1"/>
  <c r="A19" i="1" l="1"/>
  <c r="A20" i="1" l="1"/>
  <c r="A21" i="1" l="1"/>
  <c r="A22" i="1" l="1"/>
  <c r="A23" i="1" l="1"/>
  <c r="A24" i="1" l="1"/>
  <c r="A25" i="1" l="1"/>
  <c r="A26" i="1" l="1"/>
</calcChain>
</file>

<file path=xl/sharedStrings.xml><?xml version="1.0" encoding="utf-8"?>
<sst xmlns="http://schemas.openxmlformats.org/spreadsheetml/2006/main" count="22" uniqueCount="21">
  <si>
    <t>Historic Probability</t>
  </si>
  <si>
    <t>Lot size (N)</t>
  </si>
  <si>
    <t>Sample size (n)</t>
  </si>
  <si>
    <t>Acceptance Criteria (c)</t>
  </si>
  <si>
    <t xml:space="preserve">Sample Size </t>
  </si>
  <si>
    <t>Probability of Acceptance</t>
  </si>
  <si>
    <t xml:space="preserve">Chart </t>
  </si>
  <si>
    <t>1. What does this mean for the manufacturer? Put what this chart tells you into words.</t>
  </si>
  <si>
    <t>You are a supplier of the world's best cheese graters, and you order cheese grater handles from Acme Handles. Use the information provided to fill out the table and create an Operating Characteristic Curve chart. Once complete, provide answers to the two question in the worksheet.</t>
  </si>
  <si>
    <t>2. If this were a manufacturer of parachute handles for fighter jets, how do you think the curve may look? Please put it in the context of Type I and Type II errors.</t>
  </si>
  <si>
    <t>Date</t>
  </si>
  <si>
    <t xml:space="preserve">Inventory </t>
  </si>
  <si>
    <t>Having items in stock is key, but too many items take up extra space and tie up capital. If you have too little, you can run out when demand is high. The following are inventory levels of a sump pump store. If the goal is to have 95% (2 standard deviations) of 50 items in the storeroom during each weekly inventory, create a control chart with the data provided below.</t>
  </si>
  <si>
    <t xml:space="preserve">Avg. Defective in Lot </t>
  </si>
  <si>
    <t>P(Acceptance)= k=0∑c​ ( kn​ )p k (1−p) n−k</t>
  </si>
  <si>
    <t>The OC Curve shows the likelihood of accepting a lot based on its defect rate. For the manufacturer, this means:
If the defect rate is low (e.g., 1%), there’s a high probability (92%) of accepting the lot.
As the defect rate increases, the probability of acceptance drops sharply. For example, at a 5% defect rate, there’s only a 12% chance of accepting the lot.
This helps the manufacturer set quality standards and determine acceptable defect levels. It also highlights the importance of maintaining low defect rates to ensure consistent acceptance of lots.</t>
  </si>
  <si>
    <t>For parachute handles, the consequences of defects are far more severe, so the OC Curve would be much stricter:
Type I Error (Producer’s Risk): Rejecting a good lot. The curve would shift left, meaning even low defect rates (e.g., 1%) would have a lower probability of acceptance.
Type II Error (Consumer’s Risk): Accepting a bad lot. The curve would drop more steeply, ensuring that lots with even minor defect rates (e.g., 2%) are almost never accepted.</t>
  </si>
  <si>
    <t>Average Inventory Value</t>
  </si>
  <si>
    <t>Standard Deviation</t>
  </si>
  <si>
    <t>Upper Control Limit</t>
  </si>
  <si>
    <t>Lower Control 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</si>
</sst>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5" tint="0.59999389629810485"/>
        <bgColor indexed="64"/>
      </patternFill>
    </fill>
    <fill>
      <patternFill patternType="solid">
        <fgColor theme="9" tint="0.59999389629810485"/>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5">
    <xf numFmtId="0" fontId="0" fillId="0" borderId="0" xfId="0"/>
    <xf numFmtId="0" fontId="0" fillId="0" borderId="0" xfId="0" applyAlignment="1">
      <alignment wrapText="1"/>
    </xf>
    <xf numFmtId="0" fontId="0" fillId="0" borderId="0" xfId="0" applyAlignment="1">
      <alignment horizontal="left" vertical="top" wrapText="1"/>
    </xf>
    <xf numFmtId="164" fontId="0" fillId="0" borderId="3" xfId="1" applyNumberFormat="1" applyFont="1" applyBorder="1"/>
    <xf numFmtId="0" fontId="0" fillId="0" borderId="7" xfId="0" applyBorder="1"/>
    <xf numFmtId="0" fontId="0" fillId="0" borderId="8" xfId="0" applyBorder="1"/>
    <xf numFmtId="0" fontId="0" fillId="0" borderId="4" xfId="0" applyBorder="1"/>
    <xf numFmtId="0" fontId="0" fillId="0" borderId="6" xfId="0" applyBorder="1"/>
    <xf numFmtId="0" fontId="0" fillId="2" borderId="5" xfId="0" applyFill="1" applyBorder="1"/>
    <xf numFmtId="0" fontId="2" fillId="0" borderId="0" xfId="0" applyFont="1"/>
    <xf numFmtId="0" fontId="0" fillId="3" borderId="1" xfId="0" applyFill="1" applyBorder="1"/>
    <xf numFmtId="0" fontId="0" fillId="3" borderId="7" xfId="0" applyFill="1" applyBorder="1"/>
    <xf numFmtId="0" fontId="0" fillId="3" borderId="4" xfId="0" applyFill="1" applyBorder="1"/>
    <xf numFmtId="14" fontId="0" fillId="0" borderId="7" xfId="0" applyNumberFormat="1" applyBorder="1"/>
    <xf numFmtId="14" fontId="0" fillId="0" borderId="4" xfId="0" applyNumberFormat="1" applyBorder="1"/>
    <xf numFmtId="0" fontId="2" fillId="4" borderId="9" xfId="0" applyFont="1" applyFill="1" applyBorder="1" applyAlignment="1">
      <alignment horizontal="center" wrapText="1"/>
    </xf>
    <xf numFmtId="0" fontId="2" fillId="4" borderId="10" xfId="0" applyFont="1" applyFill="1" applyBorder="1" applyAlignment="1">
      <alignment horizont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0" xfId="0" applyAlignment="1">
      <alignment horizontal="left" wrapText="1"/>
    </xf>
    <xf numFmtId="0" fontId="0" fillId="0" borderId="0" xfId="0" applyAlignment="1">
      <alignment horizontal="left" vertical="center" wrapText="1"/>
    </xf>
    <xf numFmtId="10" fontId="0" fillId="2" borderId="8" xfId="2" applyNumberFormat="1" applyFont="1" applyFill="1" applyBorder="1"/>
    <xf numFmtId="0" fontId="2" fillId="3" borderId="9" xfId="0" applyFont="1" applyFill="1" applyBorder="1" applyAlignment="1">
      <alignment horizontal="center" wrapText="1"/>
    </xf>
    <xf numFmtId="0" fontId="2" fillId="3" borderId="11" xfId="0" applyFont="1" applyFill="1" applyBorder="1" applyAlignment="1">
      <alignment horizontal="center" wrapText="1"/>
    </xf>
    <xf numFmtId="0" fontId="2" fillId="3" borderId="10" xfId="0" applyFont="1" applyFill="1" applyBorder="1" applyAlignment="1">
      <alignment horizontal="center" wrapText="1"/>
    </xf>
    <xf numFmtId="0" fontId="0" fillId="0" borderId="1" xfId="0" applyBorder="1"/>
    <xf numFmtId="0" fontId="0" fillId="2" borderId="2" xfId="0" applyFill="1" applyBorder="1"/>
    <xf numFmtId="10" fontId="0" fillId="2" borderId="3" xfId="2" applyNumberFormat="1" applyFont="1" applyFill="1" applyBorder="1"/>
    <xf numFmtId="0" fontId="0" fillId="2" borderId="0" xfId="0" applyFill="1" applyBorder="1"/>
    <xf numFmtId="10" fontId="0" fillId="2" borderId="6" xfId="2" applyNumberFormat="1" applyFont="1" applyFill="1" applyBorder="1"/>
    <xf numFmtId="0" fontId="0" fillId="0" borderId="7" xfId="0" applyBorder="1" applyAlignment="1">
      <alignment horizontal="left" vertical="top" wrapText="1"/>
    </xf>
    <xf numFmtId="0" fontId="0" fillId="0" borderId="0" xfId="0" applyBorder="1" applyAlignment="1">
      <alignment horizontal="left" vertical="top" wrapText="1"/>
    </xf>
    <xf numFmtId="0" fontId="0" fillId="0" borderId="8" xfId="0"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0" fillId="0" borderId="7" xfId="0" applyBorder="1" applyAlignment="1">
      <alignment horizontal="left" vertical="top"/>
    </xf>
    <xf numFmtId="0" fontId="0" fillId="0" borderId="0" xfId="0" applyBorder="1" applyAlignment="1">
      <alignment horizontal="left" vertical="top"/>
    </xf>
    <xf numFmtId="0" fontId="0" fillId="0" borderId="8"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OC!$A$5</c:f>
              <c:strCache>
                <c:ptCount val="1"/>
                <c:pt idx="0">
                  <c:v>Historic Probability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OC!$A$6:$A$26</c:f>
              <c:numCache>
                <c:formatCode>General</c:formatCode>
                <c:ptCount val="2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numCache>
            </c:numRef>
          </c:val>
          <c:smooth val="0"/>
          <c:extLst>
            <c:ext xmlns:c16="http://schemas.microsoft.com/office/drawing/2014/chart" uri="{C3380CC4-5D6E-409C-BE32-E72D297353CC}">
              <c16:uniqueId val="{00000000-919A-4683-A865-171F425CF8EA}"/>
            </c:ext>
          </c:extLst>
        </c:ser>
        <c:ser>
          <c:idx val="1"/>
          <c:order val="1"/>
          <c:tx>
            <c:strRef>
              <c:f>OC!$B$5</c:f>
              <c:strCache>
                <c:ptCount val="1"/>
                <c:pt idx="0">
                  <c:v>Sample Size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OC!$B$6:$B$26</c:f>
              <c:numCache>
                <c:formatCode>General</c:formatCode>
                <c:ptCount val="2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numCache>
            </c:numRef>
          </c:val>
          <c:smooth val="0"/>
          <c:extLst>
            <c:ext xmlns:c16="http://schemas.microsoft.com/office/drawing/2014/chart" uri="{C3380CC4-5D6E-409C-BE32-E72D297353CC}">
              <c16:uniqueId val="{00000001-919A-4683-A865-171F425CF8EA}"/>
            </c:ext>
          </c:extLst>
        </c:ser>
        <c:ser>
          <c:idx val="2"/>
          <c:order val="2"/>
          <c:tx>
            <c:strRef>
              <c:f>OC!$C$5</c:f>
              <c:strCache>
                <c:ptCount val="1"/>
                <c:pt idx="0">
                  <c:v>Avg. Defective in Lot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OC!$C$6:$C$26</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val>
          <c:smooth val="0"/>
          <c:extLst>
            <c:ext xmlns:c16="http://schemas.microsoft.com/office/drawing/2014/chart" uri="{C3380CC4-5D6E-409C-BE32-E72D297353CC}">
              <c16:uniqueId val="{00000002-919A-4683-A865-171F425CF8EA}"/>
            </c:ext>
          </c:extLst>
        </c:ser>
        <c:ser>
          <c:idx val="3"/>
          <c:order val="3"/>
          <c:tx>
            <c:strRef>
              <c:f>OC!$D$5</c:f>
              <c:strCache>
                <c:ptCount val="1"/>
                <c:pt idx="0">
                  <c:v>Probability of Acceptance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OC!$D$6:$D$26</c:f>
              <c:numCache>
                <c:formatCode>0.00%</c:formatCode>
                <c:ptCount val="21"/>
                <c:pt idx="0">
                  <c:v>0.01</c:v>
                </c:pt>
                <c:pt idx="1">
                  <c:v>0.92</c:v>
                </c:pt>
                <c:pt idx="2">
                  <c:v>0.68</c:v>
                </c:pt>
                <c:pt idx="3">
                  <c:v>0.42</c:v>
                </c:pt>
                <c:pt idx="4">
                  <c:v>0.24</c:v>
                </c:pt>
                <c:pt idx="5">
                  <c:v>0.12</c:v>
                </c:pt>
                <c:pt idx="6">
                  <c:v>0.06</c:v>
                </c:pt>
                <c:pt idx="7">
                  <c:v>0.03</c:v>
                </c:pt>
                <c:pt idx="8">
                  <c:v>0.01</c:v>
                </c:pt>
                <c:pt idx="9">
                  <c:v>0</c:v>
                </c:pt>
                <c:pt idx="10">
                  <c:v>0</c:v>
                </c:pt>
                <c:pt idx="11">
                  <c:v>0</c:v>
                </c:pt>
                <c:pt idx="12">
                  <c:v>0</c:v>
                </c:pt>
                <c:pt idx="13">
                  <c:v>0</c:v>
                </c:pt>
                <c:pt idx="14">
                  <c:v>0</c:v>
                </c:pt>
                <c:pt idx="15">
                  <c:v>0</c:v>
                </c:pt>
                <c:pt idx="16">
                  <c:v>0</c:v>
                </c:pt>
                <c:pt idx="17">
                  <c:v>0</c:v>
                </c:pt>
                <c:pt idx="18">
                  <c:v>0</c:v>
                </c:pt>
                <c:pt idx="19">
                  <c:v>0</c:v>
                </c:pt>
                <c:pt idx="20">
                  <c:v>0</c:v>
                </c:pt>
              </c:numCache>
            </c:numRef>
          </c:val>
          <c:smooth val="0"/>
          <c:extLst>
            <c:ext xmlns:c16="http://schemas.microsoft.com/office/drawing/2014/chart" uri="{C3380CC4-5D6E-409C-BE32-E72D297353CC}">
              <c16:uniqueId val="{00000003-919A-4683-A865-171F425CF8EA}"/>
            </c:ext>
          </c:extLst>
        </c:ser>
        <c:dLbls>
          <c:showLegendKey val="0"/>
          <c:showVal val="0"/>
          <c:showCatName val="0"/>
          <c:showSerName val="0"/>
          <c:showPercent val="0"/>
          <c:showBubbleSize val="0"/>
        </c:dLbls>
        <c:marker val="1"/>
        <c:smooth val="0"/>
        <c:axId val="1722417040"/>
        <c:axId val="1722418480"/>
      </c:lineChart>
      <c:catAx>
        <c:axId val="1722417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Historic Probability (p)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18480"/>
        <c:crosses val="autoZero"/>
        <c:auto val="1"/>
        <c:lblAlgn val="ctr"/>
        <c:lblOffset val="100"/>
        <c:noMultiLvlLbl val="0"/>
      </c:catAx>
      <c:valAx>
        <c:axId val="1722418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Probability of Acceptance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17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1025371828521434E-2"/>
          <c:y val="0.15782407407407409"/>
          <c:w val="0.90286351706036749"/>
          <c:h val="0.72088764946048411"/>
        </c:manualLayout>
      </c:layout>
      <c:lineChart>
        <c:grouping val="standard"/>
        <c:varyColors val="0"/>
        <c:ser>
          <c:idx val="0"/>
          <c:order val="0"/>
          <c:tx>
            <c:strRef>
              <c:f>'Control Chart'!$B$5</c:f>
              <c:strCache>
                <c:ptCount val="1"/>
                <c:pt idx="0">
                  <c:v>Inventory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'Control Chart'!$A$6:$A$32</c:f>
              <c:numCache>
                <c:formatCode>m/d/yyyy</c:formatCode>
                <c:ptCount val="27"/>
                <c:pt idx="0">
                  <c:v>46508</c:v>
                </c:pt>
                <c:pt idx="1">
                  <c:v>46515</c:v>
                </c:pt>
                <c:pt idx="2">
                  <c:v>46522</c:v>
                </c:pt>
                <c:pt idx="3">
                  <c:v>46529</c:v>
                </c:pt>
                <c:pt idx="4">
                  <c:v>46536</c:v>
                </c:pt>
                <c:pt idx="5">
                  <c:v>46543</c:v>
                </c:pt>
                <c:pt idx="6">
                  <c:v>46550</c:v>
                </c:pt>
                <c:pt idx="7">
                  <c:v>46557</c:v>
                </c:pt>
                <c:pt idx="8">
                  <c:v>46564</c:v>
                </c:pt>
                <c:pt idx="9">
                  <c:v>46571</c:v>
                </c:pt>
                <c:pt idx="10">
                  <c:v>46578</c:v>
                </c:pt>
                <c:pt idx="11">
                  <c:v>46585</c:v>
                </c:pt>
                <c:pt idx="12">
                  <c:v>46592</c:v>
                </c:pt>
                <c:pt idx="13">
                  <c:v>46599</c:v>
                </c:pt>
                <c:pt idx="14">
                  <c:v>46606</c:v>
                </c:pt>
                <c:pt idx="15">
                  <c:v>46613</c:v>
                </c:pt>
                <c:pt idx="16">
                  <c:v>46620</c:v>
                </c:pt>
                <c:pt idx="17">
                  <c:v>46627</c:v>
                </c:pt>
                <c:pt idx="18">
                  <c:v>46634</c:v>
                </c:pt>
                <c:pt idx="19">
                  <c:v>46641</c:v>
                </c:pt>
                <c:pt idx="20">
                  <c:v>46648</c:v>
                </c:pt>
                <c:pt idx="21">
                  <c:v>46655</c:v>
                </c:pt>
                <c:pt idx="22">
                  <c:v>46662</c:v>
                </c:pt>
                <c:pt idx="23">
                  <c:v>46669</c:v>
                </c:pt>
                <c:pt idx="24">
                  <c:v>46676</c:v>
                </c:pt>
                <c:pt idx="25">
                  <c:v>46683</c:v>
                </c:pt>
                <c:pt idx="26">
                  <c:v>46690</c:v>
                </c:pt>
              </c:numCache>
            </c:numRef>
          </c:cat>
          <c:val>
            <c:numRef>
              <c:f>'Control Chart'!$B$6:$B$32</c:f>
              <c:numCache>
                <c:formatCode>General</c:formatCode>
                <c:ptCount val="27"/>
                <c:pt idx="0">
                  <c:v>62</c:v>
                </c:pt>
                <c:pt idx="1">
                  <c:v>46</c:v>
                </c:pt>
                <c:pt idx="2">
                  <c:v>47</c:v>
                </c:pt>
                <c:pt idx="3">
                  <c:v>39</c:v>
                </c:pt>
                <c:pt idx="4">
                  <c:v>22</c:v>
                </c:pt>
                <c:pt idx="5">
                  <c:v>13</c:v>
                </c:pt>
                <c:pt idx="6">
                  <c:v>5</c:v>
                </c:pt>
                <c:pt idx="7">
                  <c:v>45</c:v>
                </c:pt>
                <c:pt idx="8">
                  <c:v>18</c:v>
                </c:pt>
                <c:pt idx="9">
                  <c:v>44</c:v>
                </c:pt>
                <c:pt idx="10">
                  <c:v>9</c:v>
                </c:pt>
                <c:pt idx="11">
                  <c:v>14</c:v>
                </c:pt>
                <c:pt idx="12">
                  <c:v>29</c:v>
                </c:pt>
                <c:pt idx="13">
                  <c:v>23</c:v>
                </c:pt>
                <c:pt idx="14">
                  <c:v>49</c:v>
                </c:pt>
                <c:pt idx="15">
                  <c:v>23</c:v>
                </c:pt>
                <c:pt idx="16">
                  <c:v>22</c:v>
                </c:pt>
                <c:pt idx="17">
                  <c:v>38</c:v>
                </c:pt>
                <c:pt idx="18">
                  <c:v>15</c:v>
                </c:pt>
                <c:pt idx="19">
                  <c:v>7</c:v>
                </c:pt>
                <c:pt idx="20">
                  <c:v>48</c:v>
                </c:pt>
                <c:pt idx="21">
                  <c:v>27</c:v>
                </c:pt>
                <c:pt idx="22">
                  <c:v>34</c:v>
                </c:pt>
                <c:pt idx="23">
                  <c:v>10</c:v>
                </c:pt>
                <c:pt idx="24">
                  <c:v>10</c:v>
                </c:pt>
                <c:pt idx="25">
                  <c:v>42</c:v>
                </c:pt>
                <c:pt idx="26">
                  <c:v>37</c:v>
                </c:pt>
              </c:numCache>
            </c:numRef>
          </c:val>
          <c:smooth val="0"/>
          <c:extLst>
            <c:ext xmlns:c16="http://schemas.microsoft.com/office/drawing/2014/chart" uri="{C3380CC4-5D6E-409C-BE32-E72D297353CC}">
              <c16:uniqueId val="{00000000-D57C-47D1-A0BF-97ED2E674908}"/>
            </c:ext>
          </c:extLst>
        </c:ser>
        <c:dLbls>
          <c:showLegendKey val="0"/>
          <c:showVal val="0"/>
          <c:showCatName val="0"/>
          <c:showSerName val="0"/>
          <c:showPercent val="0"/>
          <c:showBubbleSize val="0"/>
        </c:dLbls>
        <c:marker val="1"/>
        <c:smooth val="0"/>
        <c:axId val="1762298768"/>
        <c:axId val="1764361280"/>
      </c:lineChart>
      <c:dateAx>
        <c:axId val="1762298768"/>
        <c:scaling>
          <c:orientation val="minMax"/>
        </c:scaling>
        <c:delete val="0"/>
        <c:axPos val="b"/>
        <c:minorGridlines>
          <c:spPr>
            <a:ln w="9525" cap="flat" cmpd="sng" algn="ctr">
              <a:solidFill>
                <a:schemeClr val="tx1">
                  <a:lumMod val="5000"/>
                  <a:lumOff val="95000"/>
                </a:schemeClr>
              </a:solidFill>
              <a:round/>
            </a:ln>
            <a:effectLst/>
          </c:spPr>
        </c:minorGridlines>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361280"/>
        <c:crosses val="autoZero"/>
        <c:auto val="1"/>
        <c:lblOffset val="100"/>
        <c:baseTimeUnit val="days"/>
      </c:dateAx>
      <c:valAx>
        <c:axId val="1764361280"/>
        <c:scaling>
          <c:orientation val="minMax"/>
        </c:scaling>
        <c:delete val="0"/>
        <c:axPos val="l"/>
        <c:majorGridlines>
          <c:spPr>
            <a:ln w="9525" cap="flat" cmpd="sng" algn="ctr">
              <a:solidFill>
                <a:schemeClr val="accent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29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514350</xdr:colOff>
      <xdr:row>7</xdr:row>
      <xdr:rowOff>147636</xdr:rowOff>
    </xdr:from>
    <xdr:to>
      <xdr:col>13</xdr:col>
      <xdr:colOff>666750</xdr:colOff>
      <xdr:row>25</xdr:row>
      <xdr:rowOff>190499</xdr:rowOff>
    </xdr:to>
    <xdr:graphicFrame macro="">
      <xdr:nvGraphicFramePr>
        <xdr:cNvPr id="2" name="Chart 1">
          <a:extLst>
            <a:ext uri="{FF2B5EF4-FFF2-40B4-BE49-F238E27FC236}">
              <a16:creationId xmlns:a16="http://schemas.microsoft.com/office/drawing/2014/main" id="{4AAA26C6-4BDE-9E86-29A5-4E74BF044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504825</xdr:colOff>
      <xdr:row>9</xdr:row>
      <xdr:rowOff>61911</xdr:rowOff>
    </xdr:from>
    <xdr:to>
      <xdr:col>14</xdr:col>
      <xdr:colOff>142875</xdr:colOff>
      <xdr:row>28</xdr:row>
      <xdr:rowOff>123824</xdr:rowOff>
    </xdr:to>
    <xdr:graphicFrame macro="">
      <xdr:nvGraphicFramePr>
        <xdr:cNvPr id="2" name="Chart 1">
          <a:extLst>
            <a:ext uri="{FF2B5EF4-FFF2-40B4-BE49-F238E27FC236}">
              <a16:creationId xmlns:a16="http://schemas.microsoft.com/office/drawing/2014/main" id="{543881B5-C287-90EC-99C5-310A5BD90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3EB54-DED2-4E43-8837-9195B3E9242D}">
  <sheetPr>
    <tabColor theme="5" tint="0.59999389629810485"/>
  </sheetPr>
  <dimension ref="A1:R40"/>
  <sheetViews>
    <sheetView topLeftCell="A26" workbookViewId="0">
      <selection activeCell="G42" sqref="G42"/>
    </sheetView>
  </sheetViews>
  <sheetFormatPr defaultRowHeight="15" x14ac:dyDescent="0.25"/>
  <cols>
    <col min="1" max="1" width="12" customWidth="1"/>
    <col min="2" max="2" width="12.5703125" customWidth="1"/>
    <col min="3" max="3" width="16.28515625" customWidth="1"/>
    <col min="4" max="4" width="13.140625" bestFit="1" customWidth="1"/>
    <col min="13" max="13" width="21.140625" bestFit="1" customWidth="1"/>
    <col min="14" max="14" width="10.5703125" bestFit="1" customWidth="1"/>
  </cols>
  <sheetData>
    <row r="1" spans="1:18" x14ac:dyDescent="0.25">
      <c r="A1" s="17" t="s">
        <v>8</v>
      </c>
      <c r="B1" s="18"/>
      <c r="C1" s="18"/>
      <c r="D1" s="18"/>
      <c r="E1" s="18"/>
      <c r="F1" s="18"/>
      <c r="G1" s="18"/>
      <c r="H1" s="18"/>
      <c r="I1" s="18"/>
      <c r="J1" s="18"/>
      <c r="K1" s="18"/>
      <c r="L1" s="18"/>
      <c r="M1" s="18"/>
      <c r="N1" s="19"/>
    </row>
    <row r="2" spans="1:18" ht="15.75" thickBot="1" x14ac:dyDescent="0.3">
      <c r="A2" s="20"/>
      <c r="B2" s="21"/>
      <c r="C2" s="21"/>
      <c r="D2" s="21"/>
      <c r="E2" s="21"/>
      <c r="F2" s="21"/>
      <c r="G2" s="21"/>
      <c r="H2" s="21"/>
      <c r="I2" s="21"/>
      <c r="J2" s="21"/>
      <c r="K2" s="21"/>
      <c r="L2" s="21"/>
      <c r="M2" s="21"/>
      <c r="N2" s="22"/>
    </row>
    <row r="3" spans="1:18" x14ac:dyDescent="0.25">
      <c r="A3" s="2"/>
      <c r="B3" s="2"/>
      <c r="C3" s="2"/>
      <c r="D3" s="2"/>
      <c r="E3" s="2"/>
      <c r="F3" s="2"/>
      <c r="G3" s="2"/>
      <c r="H3" s="2"/>
      <c r="I3" s="2"/>
      <c r="J3" s="2"/>
      <c r="K3" s="2"/>
      <c r="L3" s="2"/>
      <c r="M3" s="2"/>
      <c r="N3" s="2"/>
    </row>
    <row r="4" spans="1:18" ht="15.75" thickBot="1" x14ac:dyDescent="0.3">
      <c r="A4" s="2"/>
      <c r="B4" s="2"/>
      <c r="C4" s="2"/>
      <c r="D4" s="2"/>
      <c r="E4" s="2"/>
      <c r="F4" s="2"/>
      <c r="G4" s="2"/>
      <c r="H4" s="2"/>
      <c r="I4" s="2"/>
      <c r="J4" s="2"/>
      <c r="K4" s="2"/>
      <c r="L4" s="2"/>
      <c r="M4" s="2"/>
      <c r="N4" s="2"/>
    </row>
    <row r="5" spans="1:18" ht="35.25" customHeight="1" thickBot="1" x14ac:dyDescent="0.3">
      <c r="A5" s="26" t="s">
        <v>0</v>
      </c>
      <c r="B5" s="27" t="s">
        <v>4</v>
      </c>
      <c r="C5" s="27" t="s">
        <v>13</v>
      </c>
      <c r="D5" s="28" t="s">
        <v>5</v>
      </c>
      <c r="E5" s="1"/>
      <c r="F5" s="24" t="s">
        <v>14</v>
      </c>
      <c r="G5" s="24"/>
      <c r="H5" s="24"/>
      <c r="I5" s="24"/>
      <c r="J5" s="24"/>
      <c r="K5" s="24"/>
      <c r="M5" s="10" t="s">
        <v>1</v>
      </c>
      <c r="N5" s="3">
        <v>10000</v>
      </c>
    </row>
    <row r="6" spans="1:18" x14ac:dyDescent="0.25">
      <c r="A6" s="29">
        <v>0</v>
      </c>
      <c r="B6" s="30">
        <v>100</v>
      </c>
      <c r="C6" s="30">
        <v>0</v>
      </c>
      <c r="D6" s="31">
        <v>0.01</v>
      </c>
      <c r="M6" s="11" t="s">
        <v>2</v>
      </c>
      <c r="N6" s="5">
        <v>230</v>
      </c>
    </row>
    <row r="7" spans="1:18" ht="15.75" thickBot="1" x14ac:dyDescent="0.3">
      <c r="A7" s="4">
        <v>0.01</v>
      </c>
      <c r="B7" s="32">
        <v>100</v>
      </c>
      <c r="C7" s="32">
        <v>1</v>
      </c>
      <c r="D7" s="25">
        <v>0.92</v>
      </c>
      <c r="M7" s="12" t="s">
        <v>3</v>
      </c>
      <c r="N7" s="7">
        <v>10</v>
      </c>
    </row>
    <row r="8" spans="1:18" x14ac:dyDescent="0.25">
      <c r="A8" s="4">
        <f>A7+0.01</f>
        <v>0.02</v>
      </c>
      <c r="B8" s="32">
        <v>100</v>
      </c>
      <c r="C8" s="32">
        <v>2</v>
      </c>
      <c r="D8" s="25">
        <v>0.68</v>
      </c>
    </row>
    <row r="9" spans="1:18" x14ac:dyDescent="0.25">
      <c r="A9" s="4">
        <f t="shared" ref="A9:A26" si="0">A8+0.01</f>
        <v>0.03</v>
      </c>
      <c r="B9" s="32">
        <v>100</v>
      </c>
      <c r="C9" s="32">
        <v>3</v>
      </c>
      <c r="D9" s="25">
        <v>0.42</v>
      </c>
      <c r="J9" s="9" t="s">
        <v>6</v>
      </c>
    </row>
    <row r="10" spans="1:18" x14ac:dyDescent="0.25">
      <c r="A10" s="4">
        <f t="shared" si="0"/>
        <v>0.04</v>
      </c>
      <c r="B10" s="32">
        <v>100</v>
      </c>
      <c r="C10" s="32">
        <v>4</v>
      </c>
      <c r="D10" s="25">
        <v>0.24</v>
      </c>
      <c r="J10" s="23"/>
      <c r="K10" s="23"/>
      <c r="L10" s="23"/>
      <c r="M10" s="23"/>
      <c r="N10" s="23"/>
      <c r="O10" s="23"/>
      <c r="P10" s="23"/>
      <c r="Q10" s="23"/>
      <c r="R10" s="23"/>
    </row>
    <row r="11" spans="1:18" x14ac:dyDescent="0.25">
      <c r="A11" s="4">
        <f t="shared" si="0"/>
        <v>0.05</v>
      </c>
      <c r="B11" s="32">
        <v>100</v>
      </c>
      <c r="C11" s="32">
        <v>5</v>
      </c>
      <c r="D11" s="25">
        <v>0.12</v>
      </c>
      <c r="J11" s="23"/>
      <c r="K11" s="23"/>
      <c r="L11" s="23"/>
      <c r="M11" s="23"/>
      <c r="N11" s="23"/>
      <c r="O11" s="23"/>
      <c r="P11" s="23"/>
      <c r="Q11" s="23"/>
      <c r="R11" s="23"/>
    </row>
    <row r="12" spans="1:18" x14ac:dyDescent="0.25">
      <c r="A12" s="4">
        <f t="shared" si="0"/>
        <v>6.0000000000000005E-2</v>
      </c>
      <c r="B12" s="32">
        <v>100</v>
      </c>
      <c r="C12" s="32">
        <v>6</v>
      </c>
      <c r="D12" s="25">
        <v>0.06</v>
      </c>
      <c r="J12" s="23"/>
      <c r="K12" s="23"/>
      <c r="L12" s="23"/>
      <c r="M12" s="23"/>
      <c r="N12" s="23"/>
      <c r="O12" s="23"/>
      <c r="P12" s="23"/>
      <c r="Q12" s="23"/>
      <c r="R12" s="23"/>
    </row>
    <row r="13" spans="1:18" x14ac:dyDescent="0.25">
      <c r="A13" s="4">
        <f t="shared" si="0"/>
        <v>7.0000000000000007E-2</v>
      </c>
      <c r="B13" s="32">
        <v>100</v>
      </c>
      <c r="C13" s="32">
        <v>7</v>
      </c>
      <c r="D13" s="25">
        <v>0.03</v>
      </c>
      <c r="J13" s="23"/>
      <c r="K13" s="23"/>
      <c r="L13" s="23"/>
      <c r="M13" s="23"/>
      <c r="N13" s="23"/>
      <c r="O13" s="23"/>
      <c r="P13" s="23"/>
      <c r="Q13" s="23"/>
      <c r="R13" s="23"/>
    </row>
    <row r="14" spans="1:18" x14ac:dyDescent="0.25">
      <c r="A14" s="4">
        <f t="shared" si="0"/>
        <v>0.08</v>
      </c>
      <c r="B14" s="32">
        <v>100</v>
      </c>
      <c r="C14" s="32">
        <v>8</v>
      </c>
      <c r="D14" s="25">
        <v>0.01</v>
      </c>
      <c r="J14" s="23"/>
      <c r="K14" s="23"/>
      <c r="L14" s="23"/>
      <c r="M14" s="23"/>
      <c r="N14" s="23"/>
      <c r="O14" s="23"/>
      <c r="P14" s="23"/>
      <c r="Q14" s="23"/>
      <c r="R14" s="23"/>
    </row>
    <row r="15" spans="1:18" x14ac:dyDescent="0.25">
      <c r="A15" s="4">
        <f t="shared" si="0"/>
        <v>0.09</v>
      </c>
      <c r="B15" s="32">
        <v>100</v>
      </c>
      <c r="C15" s="32">
        <v>9</v>
      </c>
      <c r="D15" s="25">
        <v>0</v>
      </c>
      <c r="J15" s="23"/>
      <c r="K15" s="23"/>
      <c r="L15" s="23"/>
      <c r="M15" s="23"/>
      <c r="N15" s="23"/>
      <c r="O15" s="23"/>
      <c r="P15" s="23"/>
      <c r="Q15" s="23"/>
      <c r="R15" s="23"/>
    </row>
    <row r="16" spans="1:18" x14ac:dyDescent="0.25">
      <c r="A16" s="4">
        <f t="shared" si="0"/>
        <v>9.9999999999999992E-2</v>
      </c>
      <c r="B16" s="32">
        <v>100</v>
      </c>
      <c r="C16" s="32">
        <v>10</v>
      </c>
      <c r="D16" s="25">
        <v>0</v>
      </c>
      <c r="J16" s="23"/>
      <c r="K16" s="23"/>
      <c r="L16" s="23"/>
      <c r="M16" s="23"/>
      <c r="N16" s="23"/>
      <c r="O16" s="23"/>
      <c r="P16" s="23"/>
      <c r="Q16" s="23"/>
      <c r="R16" s="23"/>
    </row>
    <row r="17" spans="1:18" x14ac:dyDescent="0.25">
      <c r="A17" s="4">
        <f t="shared" si="0"/>
        <v>0.10999999999999999</v>
      </c>
      <c r="B17" s="32">
        <v>100</v>
      </c>
      <c r="C17" s="32">
        <v>11</v>
      </c>
      <c r="D17" s="25">
        <v>0</v>
      </c>
      <c r="J17" s="23"/>
      <c r="K17" s="23"/>
      <c r="L17" s="23"/>
      <c r="M17" s="23"/>
      <c r="N17" s="23"/>
      <c r="O17" s="23"/>
      <c r="P17" s="23"/>
      <c r="Q17" s="23"/>
      <c r="R17" s="23"/>
    </row>
    <row r="18" spans="1:18" x14ac:dyDescent="0.25">
      <c r="A18" s="4">
        <f t="shared" si="0"/>
        <v>0.11999999999999998</v>
      </c>
      <c r="B18" s="32">
        <v>100</v>
      </c>
      <c r="C18" s="32">
        <v>12</v>
      </c>
      <c r="D18" s="25">
        <v>0</v>
      </c>
      <c r="J18" s="23"/>
      <c r="K18" s="23"/>
      <c r="L18" s="23"/>
      <c r="M18" s="23"/>
      <c r="N18" s="23"/>
      <c r="O18" s="23"/>
      <c r="P18" s="23"/>
      <c r="Q18" s="23"/>
      <c r="R18" s="23"/>
    </row>
    <row r="19" spans="1:18" x14ac:dyDescent="0.25">
      <c r="A19" s="4">
        <f t="shared" si="0"/>
        <v>0.12999999999999998</v>
      </c>
      <c r="B19" s="32">
        <v>100</v>
      </c>
      <c r="C19" s="32">
        <v>13</v>
      </c>
      <c r="D19" s="25">
        <v>0</v>
      </c>
      <c r="J19" s="23"/>
      <c r="K19" s="23"/>
      <c r="L19" s="23"/>
      <c r="M19" s="23"/>
      <c r="N19" s="23"/>
      <c r="O19" s="23"/>
      <c r="P19" s="23"/>
      <c r="Q19" s="23"/>
      <c r="R19" s="23"/>
    </row>
    <row r="20" spans="1:18" x14ac:dyDescent="0.25">
      <c r="A20" s="4">
        <f t="shared" si="0"/>
        <v>0.13999999999999999</v>
      </c>
      <c r="B20" s="32">
        <v>100</v>
      </c>
      <c r="C20" s="32">
        <v>14</v>
      </c>
      <c r="D20" s="25">
        <v>0</v>
      </c>
      <c r="J20" s="23"/>
      <c r="K20" s="23"/>
      <c r="L20" s="23"/>
      <c r="M20" s="23"/>
      <c r="N20" s="23"/>
      <c r="O20" s="23"/>
      <c r="P20" s="23"/>
      <c r="Q20" s="23"/>
      <c r="R20" s="23"/>
    </row>
    <row r="21" spans="1:18" x14ac:dyDescent="0.25">
      <c r="A21" s="4">
        <f t="shared" si="0"/>
        <v>0.15</v>
      </c>
      <c r="B21" s="32">
        <v>100</v>
      </c>
      <c r="C21" s="32">
        <v>15</v>
      </c>
      <c r="D21" s="25">
        <v>0</v>
      </c>
      <c r="J21" s="23"/>
      <c r="K21" s="23"/>
      <c r="L21" s="23"/>
      <c r="M21" s="23"/>
      <c r="N21" s="23"/>
      <c r="O21" s="23"/>
      <c r="P21" s="23"/>
      <c r="Q21" s="23"/>
      <c r="R21" s="23"/>
    </row>
    <row r="22" spans="1:18" x14ac:dyDescent="0.25">
      <c r="A22" s="4">
        <f t="shared" si="0"/>
        <v>0.16</v>
      </c>
      <c r="B22" s="32">
        <v>100</v>
      </c>
      <c r="C22" s="32">
        <v>16</v>
      </c>
      <c r="D22" s="25">
        <v>0</v>
      </c>
      <c r="J22" s="23"/>
      <c r="K22" s="23"/>
      <c r="L22" s="23"/>
      <c r="M22" s="23"/>
      <c r="N22" s="23"/>
      <c r="O22" s="23"/>
      <c r="P22" s="23"/>
      <c r="Q22" s="23"/>
      <c r="R22" s="23"/>
    </row>
    <row r="23" spans="1:18" x14ac:dyDescent="0.25">
      <c r="A23" s="4">
        <f t="shared" si="0"/>
        <v>0.17</v>
      </c>
      <c r="B23" s="32">
        <v>100</v>
      </c>
      <c r="C23" s="32">
        <v>17</v>
      </c>
      <c r="D23" s="25">
        <v>0</v>
      </c>
      <c r="J23" s="23"/>
      <c r="K23" s="23"/>
      <c r="L23" s="23"/>
      <c r="M23" s="23"/>
      <c r="N23" s="23"/>
      <c r="O23" s="23"/>
      <c r="P23" s="23"/>
      <c r="Q23" s="23"/>
      <c r="R23" s="23"/>
    </row>
    <row r="24" spans="1:18" x14ac:dyDescent="0.25">
      <c r="A24" s="4">
        <f t="shared" si="0"/>
        <v>0.18000000000000002</v>
      </c>
      <c r="B24" s="32">
        <v>100</v>
      </c>
      <c r="C24" s="32">
        <v>18</v>
      </c>
      <c r="D24" s="25">
        <v>0</v>
      </c>
      <c r="J24" s="23"/>
      <c r="K24" s="23"/>
      <c r="L24" s="23"/>
      <c r="M24" s="23"/>
      <c r="N24" s="23"/>
      <c r="O24" s="23"/>
      <c r="P24" s="23"/>
      <c r="Q24" s="23"/>
      <c r="R24" s="23"/>
    </row>
    <row r="25" spans="1:18" x14ac:dyDescent="0.25">
      <c r="A25" s="4">
        <f t="shared" si="0"/>
        <v>0.19000000000000003</v>
      </c>
      <c r="B25" s="32">
        <v>100</v>
      </c>
      <c r="C25" s="32">
        <v>19</v>
      </c>
      <c r="D25" s="25">
        <v>0</v>
      </c>
      <c r="J25" s="23"/>
      <c r="K25" s="23"/>
      <c r="L25" s="23"/>
      <c r="M25" s="23"/>
      <c r="N25" s="23"/>
      <c r="O25" s="23"/>
      <c r="P25" s="23"/>
      <c r="Q25" s="23"/>
      <c r="R25" s="23"/>
    </row>
    <row r="26" spans="1:18" ht="15.75" thickBot="1" x14ac:dyDescent="0.3">
      <c r="A26" s="6">
        <f t="shared" si="0"/>
        <v>0.20000000000000004</v>
      </c>
      <c r="B26" s="8">
        <v>100</v>
      </c>
      <c r="C26" s="8">
        <v>20</v>
      </c>
      <c r="D26" s="33">
        <v>0</v>
      </c>
      <c r="J26" s="23"/>
      <c r="K26" s="23"/>
      <c r="L26" s="23"/>
      <c r="M26" s="23"/>
      <c r="N26" s="23"/>
      <c r="O26" s="23"/>
      <c r="P26" s="23"/>
      <c r="Q26" s="23"/>
      <c r="R26" s="23"/>
    </row>
    <row r="30" spans="1:18" ht="36.75" customHeight="1" thickBot="1" x14ac:dyDescent="0.3">
      <c r="A30" s="9" t="s">
        <v>7</v>
      </c>
    </row>
    <row r="31" spans="1:18" ht="36.75" customHeight="1" x14ac:dyDescent="0.25">
      <c r="A31" s="17" t="s">
        <v>15</v>
      </c>
      <c r="B31" s="18"/>
      <c r="C31" s="18"/>
      <c r="D31" s="18"/>
      <c r="E31" s="18"/>
      <c r="F31" s="18"/>
      <c r="G31" s="18"/>
      <c r="H31" s="18"/>
      <c r="I31" s="18"/>
      <c r="J31" s="18"/>
      <c r="K31" s="18"/>
      <c r="L31" s="18"/>
      <c r="M31" s="19"/>
    </row>
    <row r="32" spans="1:18" ht="36.75" customHeight="1" x14ac:dyDescent="0.25">
      <c r="A32" s="34"/>
      <c r="B32" s="35"/>
      <c r="C32" s="35"/>
      <c r="D32" s="35"/>
      <c r="E32" s="35"/>
      <c r="F32" s="35"/>
      <c r="G32" s="35"/>
      <c r="H32" s="35"/>
      <c r="I32" s="35"/>
      <c r="J32" s="35"/>
      <c r="K32" s="35"/>
      <c r="L32" s="35"/>
      <c r="M32" s="36"/>
    </row>
    <row r="33" spans="1:13" ht="36.75" customHeight="1" x14ac:dyDescent="0.25">
      <c r="A33" s="34"/>
      <c r="B33" s="35"/>
      <c r="C33" s="35"/>
      <c r="D33" s="35"/>
      <c r="E33" s="35"/>
      <c r="F33" s="35"/>
      <c r="G33" s="35"/>
      <c r="H33" s="35"/>
      <c r="I33" s="35"/>
      <c r="J33" s="35"/>
      <c r="K33" s="35"/>
      <c r="L33" s="35"/>
      <c r="M33" s="36"/>
    </row>
    <row r="34" spans="1:13" ht="36.75" customHeight="1" thickBot="1" x14ac:dyDescent="0.3">
      <c r="A34" s="20"/>
      <c r="B34" s="21"/>
      <c r="C34" s="21"/>
      <c r="D34" s="21"/>
      <c r="E34" s="21"/>
      <c r="F34" s="21"/>
      <c r="G34" s="21"/>
      <c r="H34" s="21"/>
      <c r="I34" s="21"/>
      <c r="J34" s="21"/>
      <c r="K34" s="21"/>
      <c r="L34" s="21"/>
      <c r="M34" s="22"/>
    </row>
    <row r="35" spans="1:13" ht="36.75" customHeight="1" x14ac:dyDescent="0.25"/>
    <row r="36" spans="1:13" ht="15.75" thickBot="1" x14ac:dyDescent="0.3">
      <c r="A36" s="9" t="s">
        <v>9</v>
      </c>
    </row>
    <row r="37" spans="1:13" ht="26.25" customHeight="1" x14ac:dyDescent="0.25">
      <c r="A37" s="17" t="s">
        <v>16</v>
      </c>
      <c r="B37" s="37"/>
      <c r="C37" s="37"/>
      <c r="D37" s="37"/>
      <c r="E37" s="37"/>
      <c r="F37" s="37"/>
      <c r="G37" s="37"/>
      <c r="H37" s="37"/>
      <c r="I37" s="37"/>
      <c r="J37" s="37"/>
      <c r="K37" s="37"/>
      <c r="L37" s="37"/>
      <c r="M37" s="38"/>
    </row>
    <row r="38" spans="1:13" ht="26.25" customHeight="1" x14ac:dyDescent="0.25">
      <c r="A38" s="39"/>
      <c r="B38" s="40"/>
      <c r="C38" s="40"/>
      <c r="D38" s="40"/>
      <c r="E38" s="40"/>
      <c r="F38" s="40"/>
      <c r="G38" s="40"/>
      <c r="H38" s="40"/>
      <c r="I38" s="40"/>
      <c r="J38" s="40"/>
      <c r="K38" s="40"/>
      <c r="L38" s="40"/>
      <c r="M38" s="41"/>
    </row>
    <row r="39" spans="1:13" ht="26.25" customHeight="1" x14ac:dyDescent="0.25">
      <c r="A39" s="39"/>
      <c r="B39" s="40"/>
      <c r="C39" s="40"/>
      <c r="D39" s="40"/>
      <c r="E39" s="40"/>
      <c r="F39" s="40"/>
      <c r="G39" s="40"/>
      <c r="H39" s="40"/>
      <c r="I39" s="40"/>
      <c r="J39" s="40"/>
      <c r="K39" s="40"/>
      <c r="L39" s="40"/>
      <c r="M39" s="41"/>
    </row>
    <row r="40" spans="1:13" ht="15.75" thickBot="1" x14ac:dyDescent="0.3">
      <c r="A40" s="42"/>
      <c r="B40" s="43"/>
      <c r="C40" s="43"/>
      <c r="D40" s="43"/>
      <c r="E40" s="43"/>
      <c r="F40" s="43"/>
      <c r="G40" s="43"/>
      <c r="H40" s="43"/>
      <c r="I40" s="43"/>
      <c r="J40" s="43"/>
      <c r="K40" s="43"/>
      <c r="L40" s="43"/>
      <c r="M40" s="44"/>
    </row>
  </sheetData>
  <mergeCells count="5">
    <mergeCell ref="A1:N2"/>
    <mergeCell ref="J10:R26"/>
    <mergeCell ref="A31:M34"/>
    <mergeCell ref="A37:M40"/>
    <mergeCell ref="F5:K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46348-2E51-4782-AB59-93A26C2FCD61}">
  <sheetPr>
    <tabColor theme="9" tint="0.59999389629810485"/>
  </sheetPr>
  <dimension ref="A1:S32"/>
  <sheetViews>
    <sheetView tabSelected="1" topLeftCell="A3" workbookViewId="0">
      <selection activeCell="H31" sqref="H31"/>
    </sheetView>
  </sheetViews>
  <sheetFormatPr defaultRowHeight="15" x14ac:dyDescent="0.25"/>
  <cols>
    <col min="1" max="1" width="12.140625" customWidth="1"/>
    <col min="2" max="2" width="11.5703125" customWidth="1"/>
  </cols>
  <sheetData>
    <row r="1" spans="1:19" x14ac:dyDescent="0.25">
      <c r="A1" s="17" t="s">
        <v>12</v>
      </c>
      <c r="B1" s="18"/>
      <c r="C1" s="18"/>
      <c r="D1" s="18"/>
      <c r="E1" s="18"/>
      <c r="F1" s="18"/>
      <c r="G1" s="18"/>
      <c r="H1" s="18"/>
      <c r="I1" s="18"/>
      <c r="J1" s="18"/>
      <c r="K1" s="18"/>
      <c r="L1" s="18"/>
      <c r="M1" s="18"/>
      <c r="N1" s="19"/>
    </row>
    <row r="2" spans="1:19" ht="38.25" customHeight="1" thickBot="1" x14ac:dyDescent="0.3">
      <c r="A2" s="20"/>
      <c r="B2" s="21"/>
      <c r="C2" s="21"/>
      <c r="D2" s="21"/>
      <c r="E2" s="21"/>
      <c r="F2" s="21"/>
      <c r="G2" s="21"/>
      <c r="H2" s="21"/>
      <c r="I2" s="21"/>
      <c r="J2" s="21"/>
      <c r="K2" s="21"/>
      <c r="L2" s="21"/>
      <c r="M2" s="21"/>
      <c r="N2" s="22"/>
    </row>
    <row r="4" spans="1:19" ht="15.75" thickBot="1" x14ac:dyDescent="0.3"/>
    <row r="5" spans="1:19" ht="15.75" thickBot="1" x14ac:dyDescent="0.3">
      <c r="A5" s="15" t="s">
        <v>10</v>
      </c>
      <c r="B5" s="16" t="s">
        <v>11</v>
      </c>
      <c r="D5">
        <f>AVERAGE(B6:B32)</f>
        <v>28.814814814814813</v>
      </c>
      <c r="E5" t="s">
        <v>17</v>
      </c>
      <c r="K5" s="9" t="s">
        <v>6</v>
      </c>
    </row>
    <row r="6" spans="1:19" x14ac:dyDescent="0.25">
      <c r="A6" s="13">
        <v>46508</v>
      </c>
      <c r="B6" s="5">
        <v>62</v>
      </c>
      <c r="D6">
        <f>_xlfn.STDEV.S(B6:B32)</f>
        <v>15.855203069890475</v>
      </c>
      <c r="E6" t="s">
        <v>18</v>
      </c>
      <c r="K6" s="23"/>
      <c r="L6" s="23"/>
      <c r="M6" s="23"/>
      <c r="N6" s="23"/>
      <c r="O6" s="23"/>
      <c r="P6" s="23"/>
      <c r="Q6" s="23"/>
      <c r="R6" s="23"/>
      <c r="S6" s="23"/>
    </row>
    <row r="7" spans="1:19" x14ac:dyDescent="0.25">
      <c r="A7" s="13">
        <f>A6+7</f>
        <v>46515</v>
      </c>
      <c r="B7" s="5">
        <v>46</v>
      </c>
      <c r="D7">
        <f>D5+2*D6</f>
        <v>60.525220954595767</v>
      </c>
      <c r="E7" t="s">
        <v>19</v>
      </c>
      <c r="K7" s="23"/>
      <c r="L7" s="23"/>
      <c r="M7" s="23"/>
      <c r="N7" s="23"/>
      <c r="O7" s="23"/>
      <c r="P7" s="23"/>
      <c r="Q7" s="23"/>
      <c r="R7" s="23"/>
      <c r="S7" s="23"/>
    </row>
    <row r="8" spans="1:19" x14ac:dyDescent="0.25">
      <c r="A8" s="13">
        <f t="shared" ref="A8:A32" si="0">A7+7</f>
        <v>46522</v>
      </c>
      <c r="B8" s="5">
        <v>47</v>
      </c>
      <c r="D8">
        <f>MAX(0,D5-2*D6)</f>
        <v>0</v>
      </c>
      <c r="E8" t="s">
        <v>20</v>
      </c>
      <c r="K8" s="23"/>
      <c r="L8" s="23"/>
      <c r="M8" s="23"/>
      <c r="N8" s="23"/>
      <c r="O8" s="23"/>
      <c r="P8" s="23"/>
      <c r="Q8" s="23"/>
      <c r="R8" s="23"/>
      <c r="S8" s="23"/>
    </row>
    <row r="9" spans="1:19" x14ac:dyDescent="0.25">
      <c r="A9" s="13">
        <f t="shared" si="0"/>
        <v>46529</v>
      </c>
      <c r="B9" s="5">
        <v>39</v>
      </c>
      <c r="K9" s="23"/>
      <c r="L9" s="23"/>
      <c r="M9" s="23"/>
      <c r="N9" s="23"/>
      <c r="O9" s="23"/>
      <c r="P9" s="23"/>
      <c r="Q9" s="23"/>
      <c r="R9" s="23"/>
      <c r="S9" s="23"/>
    </row>
    <row r="10" spans="1:19" x14ac:dyDescent="0.25">
      <c r="A10" s="13">
        <f t="shared" si="0"/>
        <v>46536</v>
      </c>
      <c r="B10" s="5">
        <v>22</v>
      </c>
      <c r="K10" s="23"/>
      <c r="L10" s="23"/>
      <c r="M10" s="23"/>
      <c r="N10" s="23"/>
      <c r="O10" s="23"/>
      <c r="P10" s="23"/>
      <c r="Q10" s="23"/>
      <c r="R10" s="23"/>
      <c r="S10" s="23"/>
    </row>
    <row r="11" spans="1:19" x14ac:dyDescent="0.25">
      <c r="A11" s="13">
        <f t="shared" si="0"/>
        <v>46543</v>
      </c>
      <c r="B11" s="5">
        <v>13</v>
      </c>
      <c r="K11" s="23"/>
      <c r="L11" s="23"/>
      <c r="M11" s="23"/>
      <c r="N11" s="23"/>
      <c r="O11" s="23"/>
      <c r="P11" s="23"/>
      <c r="Q11" s="23"/>
      <c r="R11" s="23"/>
      <c r="S11" s="23"/>
    </row>
    <row r="12" spans="1:19" x14ac:dyDescent="0.25">
      <c r="A12" s="13">
        <f t="shared" si="0"/>
        <v>46550</v>
      </c>
      <c r="B12" s="5">
        <v>5</v>
      </c>
      <c r="K12" s="23"/>
      <c r="L12" s="23"/>
      <c r="M12" s="23"/>
      <c r="N12" s="23"/>
      <c r="O12" s="23"/>
      <c r="P12" s="23"/>
      <c r="Q12" s="23"/>
      <c r="R12" s="23"/>
      <c r="S12" s="23"/>
    </row>
    <row r="13" spans="1:19" x14ac:dyDescent="0.25">
      <c r="A13" s="13">
        <f t="shared" si="0"/>
        <v>46557</v>
      </c>
      <c r="B13" s="5">
        <v>45</v>
      </c>
      <c r="K13" s="23"/>
      <c r="L13" s="23"/>
      <c r="M13" s="23"/>
      <c r="N13" s="23"/>
      <c r="O13" s="23"/>
      <c r="P13" s="23"/>
      <c r="Q13" s="23"/>
      <c r="R13" s="23"/>
      <c r="S13" s="23"/>
    </row>
    <row r="14" spans="1:19" x14ac:dyDescent="0.25">
      <c r="A14" s="13">
        <f t="shared" si="0"/>
        <v>46564</v>
      </c>
      <c r="B14" s="5">
        <v>18</v>
      </c>
      <c r="K14" s="23"/>
      <c r="L14" s="23"/>
      <c r="M14" s="23"/>
      <c r="N14" s="23"/>
      <c r="O14" s="23"/>
      <c r="P14" s="23"/>
      <c r="Q14" s="23"/>
      <c r="R14" s="23"/>
      <c r="S14" s="23"/>
    </row>
    <row r="15" spans="1:19" x14ac:dyDescent="0.25">
      <c r="A15" s="13">
        <f t="shared" si="0"/>
        <v>46571</v>
      </c>
      <c r="B15" s="5">
        <v>44</v>
      </c>
      <c r="K15" s="23"/>
      <c r="L15" s="23"/>
      <c r="M15" s="23"/>
      <c r="N15" s="23"/>
      <c r="O15" s="23"/>
      <c r="P15" s="23"/>
      <c r="Q15" s="23"/>
      <c r="R15" s="23"/>
      <c r="S15" s="23"/>
    </row>
    <row r="16" spans="1:19" x14ac:dyDescent="0.25">
      <c r="A16" s="13">
        <f t="shared" si="0"/>
        <v>46578</v>
      </c>
      <c r="B16" s="5">
        <v>9</v>
      </c>
      <c r="K16" s="23"/>
      <c r="L16" s="23"/>
      <c r="M16" s="23"/>
      <c r="N16" s="23"/>
      <c r="O16" s="23"/>
      <c r="P16" s="23"/>
      <c r="Q16" s="23"/>
      <c r="R16" s="23"/>
      <c r="S16" s="23"/>
    </row>
    <row r="17" spans="1:19" x14ac:dyDescent="0.25">
      <c r="A17" s="13">
        <f t="shared" si="0"/>
        <v>46585</v>
      </c>
      <c r="B17" s="5">
        <v>14</v>
      </c>
      <c r="K17" s="23"/>
      <c r="L17" s="23"/>
      <c r="M17" s="23"/>
      <c r="N17" s="23"/>
      <c r="O17" s="23"/>
      <c r="P17" s="23"/>
      <c r="Q17" s="23"/>
      <c r="R17" s="23"/>
      <c r="S17" s="23"/>
    </row>
    <row r="18" spans="1:19" x14ac:dyDescent="0.25">
      <c r="A18" s="13">
        <f t="shared" si="0"/>
        <v>46592</v>
      </c>
      <c r="B18" s="5">
        <v>29</v>
      </c>
      <c r="K18" s="23"/>
      <c r="L18" s="23"/>
      <c r="M18" s="23"/>
      <c r="N18" s="23"/>
      <c r="O18" s="23"/>
      <c r="P18" s="23"/>
      <c r="Q18" s="23"/>
      <c r="R18" s="23"/>
      <c r="S18" s="23"/>
    </row>
    <row r="19" spans="1:19" x14ac:dyDescent="0.25">
      <c r="A19" s="13">
        <f t="shared" si="0"/>
        <v>46599</v>
      </c>
      <c r="B19" s="5">
        <v>23</v>
      </c>
      <c r="K19" s="23"/>
      <c r="L19" s="23"/>
      <c r="M19" s="23"/>
      <c r="N19" s="23"/>
      <c r="O19" s="23"/>
      <c r="P19" s="23"/>
      <c r="Q19" s="23"/>
      <c r="R19" s="23"/>
      <c r="S19" s="23"/>
    </row>
    <row r="20" spans="1:19" x14ac:dyDescent="0.25">
      <c r="A20" s="13">
        <f t="shared" si="0"/>
        <v>46606</v>
      </c>
      <c r="B20" s="5">
        <v>49</v>
      </c>
      <c r="K20" s="23"/>
      <c r="L20" s="23"/>
      <c r="M20" s="23"/>
      <c r="N20" s="23"/>
      <c r="O20" s="23"/>
      <c r="P20" s="23"/>
      <c r="Q20" s="23"/>
      <c r="R20" s="23"/>
      <c r="S20" s="23"/>
    </row>
    <row r="21" spans="1:19" x14ac:dyDescent="0.25">
      <c r="A21" s="13">
        <f>A20+7</f>
        <v>46613</v>
      </c>
      <c r="B21" s="5">
        <v>23</v>
      </c>
      <c r="K21" s="23"/>
      <c r="L21" s="23"/>
      <c r="M21" s="23"/>
      <c r="N21" s="23"/>
      <c r="O21" s="23"/>
      <c r="P21" s="23"/>
      <c r="Q21" s="23"/>
      <c r="R21" s="23"/>
      <c r="S21" s="23"/>
    </row>
    <row r="22" spans="1:19" x14ac:dyDescent="0.25">
      <c r="A22" s="13">
        <f t="shared" si="0"/>
        <v>46620</v>
      </c>
      <c r="B22" s="5">
        <v>22</v>
      </c>
      <c r="K22" s="23"/>
      <c r="L22" s="23"/>
      <c r="M22" s="23"/>
      <c r="N22" s="23"/>
      <c r="O22" s="23"/>
      <c r="P22" s="23"/>
      <c r="Q22" s="23"/>
      <c r="R22" s="23"/>
      <c r="S22" s="23"/>
    </row>
    <row r="23" spans="1:19" x14ac:dyDescent="0.25">
      <c r="A23" s="13">
        <f t="shared" si="0"/>
        <v>46627</v>
      </c>
      <c r="B23" s="5">
        <v>38</v>
      </c>
    </row>
    <row r="24" spans="1:19" x14ac:dyDescent="0.25">
      <c r="A24" s="13">
        <f t="shared" si="0"/>
        <v>46634</v>
      </c>
      <c r="B24" s="5">
        <v>15</v>
      </c>
    </row>
    <row r="25" spans="1:19" x14ac:dyDescent="0.25">
      <c r="A25" s="13">
        <f t="shared" si="0"/>
        <v>46641</v>
      </c>
      <c r="B25" s="5">
        <v>7</v>
      </c>
    </row>
    <row r="26" spans="1:19" x14ac:dyDescent="0.25">
      <c r="A26" s="13">
        <f t="shared" si="0"/>
        <v>46648</v>
      </c>
      <c r="B26" s="5">
        <v>48</v>
      </c>
    </row>
    <row r="27" spans="1:19" x14ac:dyDescent="0.25">
      <c r="A27" s="13">
        <f t="shared" si="0"/>
        <v>46655</v>
      </c>
      <c r="B27" s="5">
        <v>27</v>
      </c>
    </row>
    <row r="28" spans="1:19" x14ac:dyDescent="0.25">
      <c r="A28" s="13">
        <f t="shared" si="0"/>
        <v>46662</v>
      </c>
      <c r="B28" s="5">
        <v>34</v>
      </c>
    </row>
    <row r="29" spans="1:19" x14ac:dyDescent="0.25">
      <c r="A29" s="13">
        <f t="shared" si="0"/>
        <v>46669</v>
      </c>
      <c r="B29" s="5">
        <v>10</v>
      </c>
    </row>
    <row r="30" spans="1:19" x14ac:dyDescent="0.25">
      <c r="A30" s="13">
        <f t="shared" si="0"/>
        <v>46676</v>
      </c>
      <c r="B30" s="5">
        <v>10</v>
      </c>
    </row>
    <row r="31" spans="1:19" x14ac:dyDescent="0.25">
      <c r="A31" s="13">
        <f>A30+7</f>
        <v>46683</v>
      </c>
      <c r="B31" s="5">
        <v>42</v>
      </c>
    </row>
    <row r="32" spans="1:19" ht="15.75" thickBot="1" x14ac:dyDescent="0.3">
      <c r="A32" s="14">
        <f t="shared" si="0"/>
        <v>46690</v>
      </c>
      <c r="B32" s="7">
        <v>37</v>
      </c>
    </row>
  </sheetData>
  <mergeCells count="2">
    <mergeCell ref="A1:N2"/>
    <mergeCell ref="K6:S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OC</vt:lpstr>
      <vt:lpstr>Control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JG</dc:creator>
  <cp:lastModifiedBy>Gordon Williams</cp:lastModifiedBy>
  <dcterms:created xsi:type="dcterms:W3CDTF">2024-02-11T14:05:44Z</dcterms:created>
  <dcterms:modified xsi:type="dcterms:W3CDTF">2025-02-27T00:40:08Z</dcterms:modified>
</cp:coreProperties>
</file>