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/>
  <mc:AlternateContent xmlns:mc="http://schemas.openxmlformats.org/markup-compatibility/2006">
    <mc:Choice Requires="x15">
      <x15ac:absPath xmlns:x15ac="http://schemas.microsoft.com/office/spreadsheetml/2010/11/ac" url="C:\Users\gelli\Desktop\IT Stuff, Books, Cheatsheets\GRADUATE POST\BUS522 FINANCIAL TOOLS FOR MANAGERS\"/>
    </mc:Choice>
  </mc:AlternateContent>
  <xr:revisionPtr revIDLastSave="0" documentId="13_ncr:1_{19D71860-53F1-4251-8290-BE63457FA5D7}" xr6:coauthVersionLast="47" xr6:coauthVersionMax="47" xr10:uidLastSave="{00000000-0000-0000-0000-000000000000}"/>
  <bookViews>
    <workbookView xWindow="25230" yWindow="0" windowWidth="16185" windowHeight="15585" xr2:uid="{00000000-000D-0000-FFFF-FFFF00000000}"/>
  </bookViews>
  <sheets>
    <sheet name="Build a Mode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0" i="1" l="1"/>
  <c r="F110" i="1"/>
  <c r="G110" i="1"/>
  <c r="H110" i="1"/>
  <c r="I110" i="1"/>
  <c r="J110" i="1"/>
  <c r="D110" i="1"/>
  <c r="C110" i="1"/>
  <c r="C109" i="1"/>
  <c r="E97" i="1"/>
  <c r="F97" i="1"/>
  <c r="G97" i="1"/>
  <c r="H97" i="1"/>
  <c r="I97" i="1"/>
  <c r="J97" i="1"/>
  <c r="D97" i="1"/>
  <c r="C97" i="1"/>
  <c r="G90" i="1"/>
  <c r="H90" i="1"/>
  <c r="I90" i="1"/>
  <c r="J90" i="1"/>
  <c r="F90" i="1"/>
  <c r="E90" i="1"/>
  <c r="D90" i="1"/>
  <c r="C90" i="1"/>
  <c r="C83" i="1"/>
  <c r="C82" i="1"/>
  <c r="F83" i="1"/>
  <c r="F82" i="1"/>
  <c r="F70" i="1"/>
  <c r="B69" i="1"/>
  <c r="B70" i="1"/>
  <c r="B71" i="1"/>
  <c r="B72" i="1"/>
  <c r="B73" i="1"/>
  <c r="B74" i="1"/>
  <c r="B75" i="1"/>
  <c r="B68" i="1"/>
  <c r="B62" i="1"/>
  <c r="B61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E28" i="1"/>
  <c r="E26" i="1"/>
  <c r="B28" i="1"/>
  <c r="B26" i="1"/>
  <c r="J89" i="1"/>
  <c r="I89" i="1"/>
  <c r="H89" i="1"/>
  <c r="G89" i="1"/>
  <c r="F89" i="1"/>
  <c r="E89" i="1"/>
  <c r="D89" i="1"/>
  <c r="C89" i="1"/>
  <c r="D12" i="1"/>
  <c r="J108" i="1"/>
  <c r="C108" i="1"/>
  <c r="D108" i="1"/>
  <c r="E108" i="1"/>
  <c r="F108" i="1"/>
  <c r="G108" i="1"/>
  <c r="H108" i="1"/>
  <c r="I108" i="1"/>
  <c r="J96" i="1"/>
  <c r="C96" i="1"/>
  <c r="D96" i="1"/>
  <c r="E96" i="1"/>
  <c r="D13" i="1"/>
  <c r="F96" i="1"/>
  <c r="D14" i="1"/>
  <c r="G96" i="1"/>
  <c r="D15" i="1"/>
  <c r="D16" i="1"/>
  <c r="H96" i="1"/>
  <c r="I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DII Labs</author>
  </authors>
  <commentList>
    <comment ref="B2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Net Present Value of "A" discounted at a WACC of 12%</t>
        </r>
      </text>
    </comment>
    <comment ref="E2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Net Present Value of "A" discounted at a WACC of 18%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68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The difference in cash flows between Project "A" and Project "B".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The IRR for the Cash Flow Differential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<sst xmlns="http://schemas.openxmlformats.org/spreadsheetml/2006/main" count="80" uniqueCount="49">
  <si>
    <t>Project A</t>
  </si>
  <si>
    <t>Project B</t>
  </si>
  <si>
    <t>Time</t>
  </si>
  <si>
    <t>WACC  =</t>
  </si>
  <si>
    <t>differential</t>
  </si>
  <si>
    <t>Cash flow</t>
  </si>
  <si>
    <t>f.   What is the regular payback period for these two projects?</t>
  </si>
  <si>
    <t>g.    At a cost of capital of 12%, what is the discounted payback period for these two projects?</t>
  </si>
  <si>
    <t>WACC   =</t>
  </si>
  <si>
    <t>b.   Construct NPV profiles for Projects A and B.</t>
  </si>
  <si>
    <t>c.   What is each project's IRR?</t>
  </si>
  <si>
    <t>We find the internal rate of return with Excel's  IRR function:</t>
  </si>
  <si>
    <t>Note in the graph above that the X-axis intercepts are equal to the two projects' IRRs.</t>
  </si>
  <si>
    <t>Crossover rate  =</t>
  </si>
  <si>
    <t>At a cost of capital of 12%, Project A should be selected.  However, if the cost of capital rises to 18%, then the choice is reversed, and Project B should be accepted.</t>
  </si>
  <si>
    <t>PV of future cash flows for A:</t>
  </si>
  <si>
    <t>PI of A:</t>
  </si>
  <si>
    <t>PV of future cash flows for B:</t>
  </si>
  <si>
    <t>PI of B:</t>
  </si>
  <si>
    <t>Use Excel's NPV function as explained in this chapter's Tool Kit.  Note that the range does not include the costs, which are added separately.</t>
  </si>
  <si>
    <t>Expected Net Cash Flows</t>
  </si>
  <si>
    <t xml:space="preserve"> @ 12% cost of capital</t>
  </si>
  <si>
    <t xml:space="preserve"> @ 18% cost of capital</t>
  </si>
  <si>
    <t>Before we can graph the NPV profiles for these projects, we must create a data table of project NPVs relative to differing costs of capital.</t>
  </si>
  <si>
    <t>d.   What is the crossover rate, and what is its significance?</t>
  </si>
  <si>
    <t>Time period</t>
  </si>
  <si>
    <t>Cumulative cash flow</t>
  </si>
  <si>
    <t>Disc. cash flow</t>
  </si>
  <si>
    <t>Disc. cum. cash flow</t>
  </si>
  <si>
    <t>h.   What is the profitability index for each project if the cost of capital is 12%?</t>
  </si>
  <si>
    <r>
      <t xml:space="preserve">Gardial Fisheries is considering two </t>
    </r>
    <r>
      <rPr>
        <b/>
        <u/>
        <sz val="10"/>
        <color indexed="12"/>
        <rFont val="Arial"/>
        <family val="2"/>
      </rPr>
      <t>mutually exclusive</t>
    </r>
    <r>
      <rPr>
        <b/>
        <sz val="10"/>
        <color indexed="12"/>
        <rFont val="Arial"/>
        <family val="2"/>
      </rPr>
      <t xml:space="preserve"> investments.  The projects' expected net cash flows are as follows:</t>
    </r>
  </si>
  <si>
    <r>
      <t xml:space="preserve">NPV </t>
    </r>
    <r>
      <rPr>
        <b/>
        <vertAlign val="subscript"/>
        <sz val="10"/>
        <rFont val="Arial"/>
        <family val="2"/>
      </rPr>
      <t>A</t>
    </r>
    <r>
      <rPr>
        <b/>
        <sz val="10"/>
        <rFont val="Arial"/>
        <family val="2"/>
      </rPr>
      <t xml:space="preserve"> =</t>
    </r>
  </si>
  <si>
    <r>
      <t xml:space="preserve">NPV 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 xml:space="preserve"> =</t>
    </r>
  </si>
  <si>
    <r>
      <t xml:space="preserve">IRR </t>
    </r>
    <r>
      <rPr>
        <b/>
        <vertAlign val="subscript"/>
        <sz val="10"/>
        <rFont val="Arial"/>
        <family val="2"/>
      </rPr>
      <t>A</t>
    </r>
    <r>
      <rPr>
        <b/>
        <sz val="10"/>
        <rFont val="Arial"/>
        <family val="2"/>
      </rPr>
      <t xml:space="preserve"> =</t>
    </r>
  </si>
  <si>
    <r>
      <t xml:space="preserve">IRR 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 xml:space="preserve"> =</t>
    </r>
  </si>
  <si>
    <r>
      <t xml:space="preserve">MIRR </t>
    </r>
    <r>
      <rPr>
        <b/>
        <vertAlign val="subscript"/>
        <sz val="10"/>
        <rFont val="Arial"/>
        <family val="2"/>
      </rPr>
      <t>A</t>
    </r>
    <r>
      <rPr>
        <b/>
        <sz val="10"/>
        <rFont val="Arial"/>
        <family val="2"/>
      </rPr>
      <t xml:space="preserve"> =</t>
    </r>
  </si>
  <si>
    <r>
      <t xml:space="preserve">MIRR 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 xml:space="preserve"> =</t>
    </r>
  </si>
  <si>
    <t>The crossover rate represents the cost of capital at which the two projects value, at a cost of capital of 13.14% is:
have the same net present value.  In this scenario, that common net present</t>
  </si>
  <si>
    <t>e.   What is each project's MIRR at a cost of capital of 12%?  At r = 18%? Hint: note that B is a 6-year project.</t>
  </si>
  <si>
    <t>a.   If each project's cost of capital is 12%, which project should be selected?  If the cost of capital is 18%, what project is the proper choice?</t>
  </si>
  <si>
    <t>Chapter:</t>
  </si>
  <si>
    <t>Problem:</t>
  </si>
  <si>
    <t>Intermediate calculation for payback</t>
  </si>
  <si>
    <t>Payback using intermediate calculations</t>
  </si>
  <si>
    <t>Payback using PERCENTRANK</t>
  </si>
  <si>
    <t>Discounted Payback using PERCENTRANK</t>
  </si>
  <si>
    <t>Ok because cash flows follow normal pattern.</t>
  </si>
  <si>
    <t>Build a Model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</si>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</sst>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#,##0.000_);\(#,##0.000\)"/>
    <numFmt numFmtId="166" formatCode="&quot;$&quot;#,##0"/>
    <numFmt numFmtId="167" formatCode="0.000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b/>
      <u/>
      <sz val="10"/>
      <color indexed="12"/>
      <name val="Arial"/>
      <family val="2"/>
    </font>
    <font>
      <b/>
      <vertAlign val="subscript"/>
      <sz val="10"/>
      <name val="Arial"/>
      <family val="2"/>
    </font>
    <font>
      <b/>
      <sz val="10"/>
      <color indexed="20"/>
      <name val="Arial"/>
      <family val="2"/>
    </font>
    <font>
      <b/>
      <sz val="10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rgb="FF0000FF"/>
      <name val="Arial"/>
      <family val="2"/>
    </font>
    <font>
      <b/>
      <sz val="10"/>
      <name val="Cambria"/>
      <family val="1"/>
    </font>
    <font>
      <b/>
      <i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80"/>
      <name val="Arial"/>
      <family val="2"/>
    </font>
    <font>
      <b/>
      <sz val="10"/>
      <color rgb="FFFF000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5" fillId="3" borderId="0" applyNumberFormat="0" applyFont="0" applyBorder="0" applyAlignment="0">
      <alignment horizontal="center"/>
    </xf>
    <xf numFmtId="44" fontId="20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Fill="1"/>
    <xf numFmtId="0" fontId="5" fillId="0" borderId="0" xfId="0" applyFont="1"/>
    <xf numFmtId="22" fontId="6" fillId="0" borderId="0" xfId="0" applyNumberFormat="1" applyFont="1"/>
    <xf numFmtId="14" fontId="5" fillId="0" borderId="0" xfId="0" applyNumberFormat="1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5" fillId="0" borderId="0" xfId="0" applyFont="1" applyBorder="1"/>
    <xf numFmtId="0" fontId="5" fillId="0" borderId="9" xfId="0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5" fontId="8" fillId="0" borderId="0" xfId="0" applyNumberFormat="1" applyFont="1" applyBorder="1" applyAlignment="1">
      <alignment horizontal="center"/>
    </xf>
    <xf numFmtId="5" fontId="5" fillId="0" borderId="0" xfId="0" applyNumberFormat="1" applyFont="1" applyBorder="1" applyAlignment="1">
      <alignment horizontal="center"/>
    </xf>
    <xf numFmtId="0" fontId="5" fillId="0" borderId="0" xfId="0" applyFont="1" applyAlignment="1">
      <alignment vertical="center" wrapText="1"/>
    </xf>
    <xf numFmtId="9" fontId="8" fillId="0" borderId="0" xfId="0" applyNumberFormat="1" applyFont="1" applyBorder="1"/>
    <xf numFmtId="7" fontId="5" fillId="2" borderId="0" xfId="0" applyNumberFormat="1" applyFont="1" applyFill="1" applyBorder="1"/>
    <xf numFmtId="7" fontId="5" fillId="0" borderId="0" xfId="0" applyNumberFormat="1" applyFont="1" applyBorder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7" fontId="5" fillId="0" borderId="0" xfId="0" applyNumberFormat="1" applyFont="1" applyBorder="1" applyAlignment="1">
      <alignment horizontal="center"/>
    </xf>
    <xf numFmtId="10" fontId="5" fillId="2" borderId="11" xfId="0" applyNumberFormat="1" applyFont="1" applyFill="1" applyBorder="1"/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5" fontId="5" fillId="2" borderId="8" xfId="0" applyNumberFormat="1" applyFont="1" applyFill="1" applyBorder="1" applyAlignment="1">
      <alignment horizontal="center"/>
    </xf>
    <xf numFmtId="5" fontId="5" fillId="2" borderId="11" xfId="0" applyNumberFormat="1" applyFont="1" applyFill="1" applyBorder="1" applyAlignment="1">
      <alignment horizontal="center"/>
    </xf>
    <xf numFmtId="5" fontId="5" fillId="2" borderId="1" xfId="0" applyNumberFormat="1" applyFont="1" applyFill="1" applyBorder="1" applyAlignment="1">
      <alignment horizontal="center"/>
    </xf>
    <xf numFmtId="0" fontId="5" fillId="0" borderId="6" xfId="0" applyFont="1" applyBorder="1"/>
    <xf numFmtId="37" fontId="5" fillId="0" borderId="0" xfId="0" applyNumberFormat="1" applyFont="1"/>
    <xf numFmtId="37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37" fontId="5" fillId="0" borderId="0" xfId="0" applyNumberFormat="1" applyFont="1" applyAlignment="1" applyProtection="1">
      <alignment horizontal="center"/>
    </xf>
    <xf numFmtId="0" fontId="5" fillId="0" borderId="0" xfId="0" applyFont="1" applyAlignment="1" applyProtection="1">
      <alignment horizontal="right"/>
    </xf>
    <xf numFmtId="165" fontId="12" fillId="0" borderId="0" xfId="0" applyNumberFormat="1" applyFont="1"/>
    <xf numFmtId="164" fontId="5" fillId="0" borderId="0" xfId="0" applyNumberFormat="1" applyFont="1" applyAlignment="1" applyProtection="1">
      <alignment horizontal="center"/>
    </xf>
    <xf numFmtId="9" fontId="13" fillId="0" borderId="0" xfId="2" applyFont="1" applyAlignment="1">
      <alignment horizontal="center"/>
    </xf>
    <xf numFmtId="8" fontId="5" fillId="2" borderId="0" xfId="0" applyNumberFormat="1" applyFont="1" applyFill="1"/>
    <xf numFmtId="43" fontId="5" fillId="2" borderId="0" xfId="1" applyNumberFormat="1" applyFont="1" applyFill="1"/>
    <xf numFmtId="0" fontId="7" fillId="0" borderId="0" xfId="0" applyFont="1" applyAlignment="1"/>
    <xf numFmtId="0" fontId="14" fillId="0" borderId="0" xfId="0" applyFont="1"/>
    <xf numFmtId="0" fontId="14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2" borderId="0" xfId="0" applyNumberFormat="1" applyFont="1" applyFill="1" applyAlignment="1" applyProtection="1">
      <alignment horizontal="center"/>
    </xf>
    <xf numFmtId="166" fontId="5" fillId="2" borderId="0" xfId="0" applyNumberFormat="1" applyFont="1" applyFill="1" applyAlignment="1">
      <alignment horizontal="center"/>
    </xf>
    <xf numFmtId="167" fontId="5" fillId="4" borderId="0" xfId="3" applyNumberFormat="1" applyFont="1" applyFill="1" applyBorder="1" applyAlignment="1">
      <alignment horizontal="center"/>
    </xf>
    <xf numFmtId="167" fontId="5" fillId="2" borderId="0" xfId="0" applyNumberFormat="1" applyFont="1" applyFill="1" applyAlignment="1" applyProtection="1">
      <alignment horizontal="center"/>
    </xf>
    <xf numFmtId="165" fontId="5" fillId="2" borderId="11" xfId="0" applyNumberFormat="1" applyFont="1" applyFill="1" applyBorder="1" applyAlignment="1" applyProtection="1">
      <alignment horizontal="left" indent="1"/>
    </xf>
    <xf numFmtId="5" fontId="5" fillId="0" borderId="0" xfId="0" applyNumberFormat="1" applyFont="1"/>
    <xf numFmtId="165" fontId="5" fillId="0" borderId="0" xfId="0" applyNumberFormat="1" applyFont="1" applyAlignment="1" applyProtection="1">
      <alignment horizontal="left"/>
    </xf>
    <xf numFmtId="37" fontId="16" fillId="0" borderId="0" xfId="0" applyNumberFormat="1" applyFont="1"/>
    <xf numFmtId="37" fontId="17" fillId="0" borderId="0" xfId="0" applyNumberFormat="1" applyFont="1"/>
    <xf numFmtId="37" fontId="17" fillId="0" borderId="0" xfId="0" applyNumberFormat="1" applyFont="1" applyAlignment="1">
      <alignment horizontal="right"/>
    </xf>
    <xf numFmtId="0" fontId="17" fillId="0" borderId="0" xfId="0" applyFont="1" applyAlignment="1" applyProtection="1">
      <alignment horizontal="right"/>
    </xf>
    <xf numFmtId="0" fontId="18" fillId="0" borderId="3" xfId="0" applyFont="1" applyBorder="1" applyAlignment="1">
      <alignment horizontal="center"/>
    </xf>
    <xf numFmtId="7" fontId="18" fillId="2" borderId="5" xfId="0" applyNumberFormat="1" applyFont="1" applyFill="1" applyBorder="1" applyAlignment="1">
      <alignment horizontal="center"/>
    </xf>
    <xf numFmtId="7" fontId="18" fillId="2" borderId="12" xfId="0" applyNumberFormat="1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7" fontId="19" fillId="2" borderId="10" xfId="0" applyNumberFormat="1" applyFont="1" applyFill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9" fontId="5" fillId="0" borderId="8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 applyFill="1"/>
    <xf numFmtId="0" fontId="17" fillId="0" borderId="0" xfId="0" applyFont="1" applyAlignment="1" applyProtection="1">
      <alignment horizontal="right" wrapText="1"/>
    </xf>
    <xf numFmtId="167" fontId="17" fillId="0" borderId="0" xfId="0" applyNumberFormat="1" applyFont="1" applyAlignment="1" applyProtection="1">
      <alignment horizontal="right" wrapText="1"/>
    </xf>
    <xf numFmtId="167" fontId="17" fillId="0" borderId="0" xfId="0" applyNumberFormat="1" applyFont="1" applyBorder="1" applyAlignment="1" applyProtection="1">
      <alignment horizontal="right" wrapText="1"/>
    </xf>
    <xf numFmtId="0" fontId="8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44" fontId="5" fillId="0" borderId="0" xfId="4" applyFont="1"/>
    <xf numFmtId="44" fontId="5" fillId="2" borderId="0" xfId="4" applyFont="1" applyFill="1" applyAlignment="1" applyProtection="1">
      <alignment horizontal="center"/>
    </xf>
    <xf numFmtId="44" fontId="5" fillId="4" borderId="0" xfId="4" applyFont="1" applyFill="1" applyBorder="1" applyAlignment="1">
      <alignment horizontal="center"/>
    </xf>
    <xf numFmtId="44" fontId="5" fillId="0" borderId="0" xfId="4" applyFont="1" applyAlignment="1">
      <alignment horizontal="center"/>
    </xf>
    <xf numFmtId="9" fontId="5" fillId="2" borderId="0" xfId="2" applyFont="1" applyFill="1" applyAlignment="1" applyProtection="1">
      <alignment horizontal="center"/>
    </xf>
    <xf numFmtId="9" fontId="0" fillId="0" borderId="0" xfId="0" applyNumberFormat="1"/>
    <xf numFmtId="44" fontId="5" fillId="2" borderId="0" xfId="4" applyFont="1" applyFill="1" applyAlignment="1">
      <alignment horizontal="center"/>
    </xf>
  </cellXfs>
  <cellStyles count="5">
    <cellStyle name="Comma" xfId="1" builtinId="3"/>
    <cellStyle name="Currency" xfId="4" builtinId="4"/>
    <cellStyle name="Normal" xfId="0" builtinId="0"/>
    <cellStyle name="Percent" xfId="2" builtinId="5"/>
    <cellStyle name="Yellow fill" xfId="3" xr:uid="{00000000-0005-0000-0000-000003000000}"/>
  </cellStyles>
  <dxfs count="0"/>
  <tableStyles count="0" defaultTableStyle="TableStyleMedium9" defaultPivotStyle="PivotStyleLight16"/>
  <colors>
    <mruColors>
      <color rgb="FF0000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Profiles</a:t>
            </a:r>
          </a:p>
        </c:rich>
      </c:tx>
      <c:layout>
        <c:manualLayout>
          <c:xMode val="edge"/>
          <c:yMode val="edge"/>
          <c:x val="0.37016636486330701"/>
          <c:y val="2.229787750519628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0617129557061"/>
          <c:y val="9.4545454545454613E-2"/>
          <c:w val="0.8083126933077025"/>
          <c:h val="0.86100600788329062"/>
        </c:manualLayout>
      </c:layout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'Build a Model'!$A$40:$A$55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xVal>
          <c:yVal>
            <c:numRef>
              <c:f>'Build a Model'!$B$40:$B$55</c:f>
              <c:numCache>
                <c:formatCode>"$"#,##0.00_);\("$"#,##0.00\)</c:formatCode>
                <c:ptCount val="16"/>
                <c:pt idx="0">
                  <c:v>951</c:v>
                </c:pt>
                <c:pt idx="1">
                  <c:v>790.311568934364</c:v>
                </c:pt>
                <c:pt idx="2">
                  <c:v>648.61404992696862</c:v>
                </c:pt>
                <c:pt idx="3">
                  <c:v>523.41305515451302</c:v>
                </c:pt>
                <c:pt idx="4">
                  <c:v>412.5780593993004</c:v>
                </c:pt>
                <c:pt idx="5">
                  <c:v>314.28409362241393</c:v>
                </c:pt>
                <c:pt idx="6">
                  <c:v>226.96359246819031</c:v>
                </c:pt>
                <c:pt idx="7">
                  <c:v>149.26649163635489</c:v>
                </c:pt>
                <c:pt idx="8">
                  <c:v>80.027052550791893</c:v>
                </c:pt>
                <c:pt idx="9">
                  <c:v>18.23619211236246</c:v>
                </c:pt>
                <c:pt idx="10">
                  <c:v>-36.981667238225839</c:v>
                </c:pt>
                <c:pt idx="11">
                  <c:v>-86.388023484165331</c:v>
                </c:pt>
                <c:pt idx="12">
                  <c:v>-130.64664324055951</c:v>
                </c:pt>
                <c:pt idx="13">
                  <c:v>-170.33735838938171</c:v>
                </c:pt>
                <c:pt idx="14">
                  <c:v>-205.96774099976764</c:v>
                </c:pt>
                <c:pt idx="15">
                  <c:v>-237.98300882553144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9D-4B2C-A959-FFBF8673B23E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'Build a Model'!$A$40:$A$55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xVal>
          <c:yVal>
            <c:numRef>
              <c:f>'Build a Model'!$C$40:$C$55</c:f>
              <c:numCache>
                <c:formatCode>"$"#,##0.00_);\("$"#,##0.00\)</c:formatCode>
                <c:ptCount val="16"/>
                <c:pt idx="0">
                  <c:v>565</c:v>
                </c:pt>
                <c:pt idx="1">
                  <c:v>489.27186923117551</c:v>
                </c:pt>
                <c:pt idx="2">
                  <c:v>421.0060027818065</c:v>
                </c:pt>
                <c:pt idx="3">
                  <c:v>359.29162194102389</c:v>
                </c:pt>
                <c:pt idx="4">
                  <c:v>303.34713615262604</c:v>
                </c:pt>
                <c:pt idx="5">
                  <c:v>252.49953289782275</c:v>
                </c:pt>
                <c:pt idx="6">
                  <c:v>206.16739146924169</c:v>
                </c:pt>
                <c:pt idx="7">
                  <c:v>163.84682814307632</c:v>
                </c:pt>
                <c:pt idx="8">
                  <c:v>125.09982258244395</c:v>
                </c:pt>
                <c:pt idx="9">
                  <c:v>89.544486422847967</c:v>
                </c:pt>
                <c:pt idx="10">
                  <c:v>56.846922153635205</c:v>
                </c:pt>
                <c:pt idx="11">
                  <c:v>26.714389093547879</c:v>
                </c:pt>
                <c:pt idx="12">
                  <c:v>-1.1104523801968753</c:v>
                </c:pt>
                <c:pt idx="13">
                  <c:v>-26.854403981760811</c:v>
                </c:pt>
                <c:pt idx="14">
                  <c:v>-50.717851193621755</c:v>
                </c:pt>
                <c:pt idx="15">
                  <c:v>-72.878266987568907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9D-4B2C-A959-FFBF8673B2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528000"/>
        <c:axId val="54089216"/>
      </c:scatterChart>
      <c:valAx>
        <c:axId val="48528000"/>
        <c:scaling>
          <c:orientation val="minMax"/>
          <c:max val="0.30000000000000021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Capital</a:t>
                </a:r>
              </a:p>
            </c:rich>
          </c:tx>
          <c:layout>
            <c:manualLayout>
              <c:xMode val="edge"/>
              <c:yMode val="edge"/>
              <c:x val="0.67886983119358235"/>
              <c:y val="0.86545446270083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9216"/>
        <c:crosses val="autoZero"/>
        <c:crossBetween val="midCat"/>
      </c:valAx>
      <c:valAx>
        <c:axId val="5408921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NPV</a:t>
                </a:r>
              </a:p>
            </c:rich>
          </c:tx>
          <c:layout>
            <c:manualLayout>
              <c:xMode val="edge"/>
              <c:yMode val="edge"/>
              <c:x val="7.9479134875582419E-2"/>
              <c:y val="7.488052432752273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2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36</xdr:row>
      <xdr:rowOff>19050</xdr:rowOff>
    </xdr:from>
    <xdr:to>
      <xdr:col>11</xdr:col>
      <xdr:colOff>247650</xdr:colOff>
      <xdr:row>58</xdr:row>
      <xdr:rowOff>0</xdr:rowOff>
    </xdr:to>
    <xdr:graphicFrame macro="">
      <xdr:nvGraphicFramePr>
        <xdr:cNvPr id="1100" name="Chart 2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333375</xdr:colOff>
      <xdr:row>53</xdr:row>
      <xdr:rowOff>142875</xdr:rowOff>
    </xdr:from>
    <xdr:to>
      <xdr:col>8</xdr:col>
      <xdr:colOff>409575</xdr:colOff>
      <xdr:row>55</xdr:row>
      <xdr:rowOff>19050</xdr:rowOff>
    </xdr:to>
    <xdr:sp macro="" textlink="">
      <xdr:nvSpPr>
        <xdr:cNvPr id="1101" name="Text Box 3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5314950" y="89725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4</xdr:col>
      <xdr:colOff>600075</xdr:colOff>
      <xdr:row>41</xdr:row>
      <xdr:rowOff>114300</xdr:rowOff>
    </xdr:from>
    <xdr:ext cx="571500" cy="180975"/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3295650" y="6848475"/>
          <a:ext cx="6286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Project A</a:t>
          </a:r>
        </a:p>
      </xdr:txBody>
    </xdr:sp>
    <xdr:clientData/>
  </xdr:oneCellAnchor>
  <xdr:oneCellAnchor>
    <xdr:from>
      <xdr:col>7</xdr:col>
      <xdr:colOff>219075</xdr:colOff>
      <xdr:row>47</xdr:row>
      <xdr:rowOff>85725</xdr:rowOff>
    </xdr:from>
    <xdr:ext cx="571500" cy="180975"/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4714875" y="7791450"/>
          <a:ext cx="6286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strike="noStrike">
              <a:solidFill>
                <a:srgbClr val="FF0000"/>
              </a:solidFill>
              <a:latin typeface="Arial"/>
              <a:cs typeface="Arial"/>
            </a:rPr>
            <a:t>Project 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topLeftCell="A91" zoomScaleNormal="100" zoomScaleSheetLayoutView="100" workbookViewId="0">
      <selection activeCell="G110" sqref="G110"/>
    </sheetView>
  </sheetViews>
  <sheetFormatPr defaultColWidth="9.42578125" defaultRowHeight="12.75" x14ac:dyDescent="0.2"/>
  <cols>
    <col min="1" max="1" width="21.42578125" style="1" customWidth="1"/>
    <col min="2" max="2" width="18.140625" style="1" customWidth="1"/>
    <col min="3" max="10" width="12.140625" style="1" customWidth="1"/>
    <col min="11" max="11" width="8.5703125" style="1" customWidth="1"/>
    <col min="12" max="16384" width="9.42578125" style="1"/>
  </cols>
  <sheetData>
    <row r="1" spans="1:11" ht="15.75" x14ac:dyDescent="0.25">
      <c r="A1" s="46" t="s">
        <v>47</v>
      </c>
      <c r="B1" s="3"/>
      <c r="C1" s="3"/>
      <c r="D1" s="3"/>
      <c r="E1" s="4"/>
      <c r="F1" s="3"/>
      <c r="G1" s="3"/>
      <c r="H1" s="3"/>
      <c r="I1" s="73">
        <v>43430</v>
      </c>
      <c r="J1" s="73"/>
      <c r="K1" s="5"/>
    </row>
    <row r="2" spans="1:11" ht="15.75" x14ac:dyDescent="0.25">
      <c r="A2" s="46" t="s">
        <v>40</v>
      </c>
      <c r="B2" s="47">
        <v>10</v>
      </c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46" t="s">
        <v>41</v>
      </c>
      <c r="B3" s="47">
        <v>23</v>
      </c>
      <c r="C3" s="45"/>
      <c r="D3" s="45"/>
      <c r="E3" s="45"/>
      <c r="F3" s="45"/>
      <c r="G3" s="45"/>
      <c r="H3" s="45"/>
      <c r="I3" s="45"/>
      <c r="J3" s="45"/>
      <c r="K3" s="3"/>
    </row>
    <row r="4" spans="1:1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24.75" customHeight="1" x14ac:dyDescent="0.2">
      <c r="A6" s="72" t="s">
        <v>30</v>
      </c>
      <c r="B6" s="72"/>
      <c r="C6" s="72"/>
      <c r="D6" s="72"/>
      <c r="E6" s="72"/>
      <c r="F6" s="72"/>
      <c r="G6" s="72"/>
      <c r="H6" s="72"/>
      <c r="I6" s="72"/>
      <c r="J6" s="72"/>
      <c r="K6" s="6"/>
    </row>
    <row r="7" spans="1:11" x14ac:dyDescent="0.2">
      <c r="A7" s="7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3.5" thickBot="1" x14ac:dyDescent="0.25">
      <c r="A8" s="3"/>
      <c r="B8" s="8"/>
      <c r="C8" s="9" t="s">
        <v>20</v>
      </c>
      <c r="D8" s="9"/>
      <c r="E8" s="3"/>
      <c r="F8" s="3"/>
      <c r="G8" s="3"/>
      <c r="H8" s="3"/>
      <c r="I8" s="3"/>
      <c r="J8" s="3"/>
      <c r="K8" s="3"/>
    </row>
    <row r="9" spans="1:11" x14ac:dyDescent="0.2">
      <c r="A9" s="3"/>
      <c r="B9" s="10" t="s">
        <v>2</v>
      </c>
      <c r="C9" s="10" t="s">
        <v>0</v>
      </c>
      <c r="D9" s="10" t="s">
        <v>1</v>
      </c>
      <c r="E9" s="3"/>
      <c r="F9" s="3"/>
      <c r="G9" s="3"/>
      <c r="H9" s="3"/>
      <c r="I9" s="3"/>
      <c r="J9" s="3"/>
      <c r="K9" s="3"/>
    </row>
    <row r="10" spans="1:11" x14ac:dyDescent="0.2">
      <c r="A10" s="3"/>
      <c r="B10" s="11">
        <v>0</v>
      </c>
      <c r="C10" s="12">
        <v>-375</v>
      </c>
      <c r="D10" s="12">
        <v>-575</v>
      </c>
      <c r="E10" s="3"/>
      <c r="F10" s="3"/>
      <c r="G10" s="3"/>
      <c r="H10" s="3"/>
      <c r="I10" s="3"/>
      <c r="J10" s="3"/>
      <c r="K10" s="3"/>
    </row>
    <row r="11" spans="1:11" x14ac:dyDescent="0.2">
      <c r="A11" s="3"/>
      <c r="B11" s="11">
        <v>1</v>
      </c>
      <c r="C11" s="12">
        <v>-300</v>
      </c>
      <c r="D11" s="12">
        <v>190</v>
      </c>
      <c r="E11" s="3"/>
      <c r="F11" s="3"/>
      <c r="G11" s="3"/>
      <c r="H11" s="3"/>
      <c r="I11" s="3"/>
      <c r="J11" s="3"/>
      <c r="K11" s="3"/>
    </row>
    <row r="12" spans="1:11" x14ac:dyDescent="0.2">
      <c r="A12" s="3"/>
      <c r="B12" s="11">
        <v>2</v>
      </c>
      <c r="C12" s="12">
        <v>-200</v>
      </c>
      <c r="D12" s="12">
        <f>D11</f>
        <v>190</v>
      </c>
      <c r="E12" s="3"/>
      <c r="F12" s="3"/>
      <c r="G12" s="3"/>
      <c r="H12" s="3"/>
      <c r="I12" s="3"/>
      <c r="J12" s="3"/>
      <c r="K12" s="3"/>
    </row>
    <row r="13" spans="1:11" x14ac:dyDescent="0.2">
      <c r="A13" s="3"/>
      <c r="B13" s="11">
        <v>3</v>
      </c>
      <c r="C13" s="12">
        <v>-100</v>
      </c>
      <c r="D13" s="12">
        <f>D12</f>
        <v>190</v>
      </c>
      <c r="E13" s="3"/>
      <c r="F13" s="3"/>
      <c r="G13" s="3"/>
      <c r="H13" s="3"/>
      <c r="I13" s="3"/>
      <c r="J13" s="3"/>
      <c r="K13" s="3"/>
    </row>
    <row r="14" spans="1:11" x14ac:dyDescent="0.2">
      <c r="A14" s="3"/>
      <c r="B14" s="11">
        <v>4</v>
      </c>
      <c r="C14" s="12">
        <v>600</v>
      </c>
      <c r="D14" s="12">
        <f>D13</f>
        <v>190</v>
      </c>
      <c r="E14" s="3"/>
      <c r="F14" s="3"/>
      <c r="G14" s="3"/>
      <c r="H14" s="3"/>
      <c r="I14" s="3"/>
      <c r="J14" s="3"/>
      <c r="K14" s="3"/>
    </row>
    <row r="15" spans="1:11" x14ac:dyDescent="0.2">
      <c r="A15" s="3"/>
      <c r="B15" s="11">
        <v>5</v>
      </c>
      <c r="C15" s="12">
        <v>600</v>
      </c>
      <c r="D15" s="12">
        <f>D14</f>
        <v>190</v>
      </c>
      <c r="E15" s="3"/>
      <c r="F15" s="3"/>
      <c r="G15" s="3"/>
      <c r="H15" s="3"/>
      <c r="I15" s="3"/>
      <c r="J15" s="3"/>
      <c r="K15" s="3"/>
    </row>
    <row r="16" spans="1:11" x14ac:dyDescent="0.2">
      <c r="A16" s="3"/>
      <c r="B16" s="11">
        <v>6</v>
      </c>
      <c r="C16" s="12">
        <v>926</v>
      </c>
      <c r="D16" s="12">
        <f>D15</f>
        <v>190</v>
      </c>
      <c r="E16" s="3"/>
      <c r="F16" s="3"/>
      <c r="G16" s="3"/>
      <c r="H16" s="3"/>
      <c r="I16" s="3"/>
      <c r="J16" s="3"/>
      <c r="K16" s="3"/>
    </row>
    <row r="17" spans="1:11" x14ac:dyDescent="0.2">
      <c r="A17" s="3"/>
      <c r="B17" s="11">
        <v>7</v>
      </c>
      <c r="C17" s="12">
        <v>-200</v>
      </c>
      <c r="D17" s="12">
        <v>0</v>
      </c>
      <c r="E17" s="3"/>
      <c r="F17" s="3"/>
      <c r="G17" s="3"/>
      <c r="H17" s="3"/>
      <c r="I17" s="3"/>
      <c r="J17" s="3"/>
      <c r="K17" s="3"/>
    </row>
    <row r="18" spans="1:11" x14ac:dyDescent="0.2">
      <c r="A18" s="3"/>
      <c r="B18" s="11"/>
      <c r="C18" s="13"/>
      <c r="D18" s="13"/>
      <c r="E18" s="3"/>
      <c r="F18" s="3"/>
      <c r="G18" s="3"/>
      <c r="H18" s="3"/>
      <c r="I18" s="3"/>
      <c r="J18" s="3"/>
      <c r="K18" s="3"/>
    </row>
    <row r="19" spans="1:11" x14ac:dyDescent="0.2">
      <c r="A19" s="72" t="s">
        <v>39</v>
      </c>
      <c r="B19" s="72"/>
      <c r="C19" s="72"/>
      <c r="D19" s="72"/>
      <c r="E19" s="72"/>
      <c r="F19" s="72"/>
      <c r="G19" s="72"/>
      <c r="H19" s="72"/>
      <c r="I19" s="72"/>
      <c r="J19" s="72"/>
      <c r="K19" s="6"/>
    </row>
    <row r="20" spans="1:11" x14ac:dyDescent="0.2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6"/>
    </row>
    <row r="21" spans="1:1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3.5" thickBot="1" x14ac:dyDescent="0.25">
      <c r="A22" s="9" t="s">
        <v>21</v>
      </c>
      <c r="B22" s="9"/>
      <c r="C22" s="3"/>
      <c r="D22" s="9" t="s">
        <v>22</v>
      </c>
      <c r="E22" s="9"/>
      <c r="F22" s="3"/>
      <c r="G22" s="3"/>
      <c r="H22" s="3"/>
      <c r="I22" s="3"/>
      <c r="J22" s="3"/>
      <c r="K22" s="3"/>
    </row>
    <row r="23" spans="1:11" ht="12.75" customHeight="1" x14ac:dyDescent="0.2">
      <c r="A23" s="8"/>
      <c r="B23" s="8"/>
      <c r="C23" s="3"/>
      <c r="D23" s="8"/>
      <c r="E23" s="8"/>
      <c r="F23" s="74" t="s">
        <v>19</v>
      </c>
      <c r="G23" s="74"/>
      <c r="H23" s="74"/>
      <c r="I23" s="74"/>
      <c r="J23" s="74"/>
      <c r="K23" s="14"/>
    </row>
    <row r="24" spans="1:11" x14ac:dyDescent="0.2">
      <c r="A24" s="8" t="s">
        <v>3</v>
      </c>
      <c r="B24" s="15">
        <v>0.12</v>
      </c>
      <c r="C24" s="3"/>
      <c r="D24" s="8" t="s">
        <v>3</v>
      </c>
      <c r="E24" s="15">
        <v>0.18</v>
      </c>
      <c r="F24" s="74"/>
      <c r="G24" s="74"/>
      <c r="H24" s="74"/>
      <c r="I24" s="74"/>
      <c r="J24" s="74"/>
      <c r="K24" s="14"/>
    </row>
    <row r="25" spans="1:11" x14ac:dyDescent="0.2">
      <c r="A25" s="8"/>
      <c r="B25" s="8"/>
      <c r="C25" s="3"/>
      <c r="D25" s="8"/>
      <c r="E25" s="8"/>
      <c r="F25" s="74"/>
      <c r="G25" s="74"/>
      <c r="H25" s="74"/>
      <c r="I25" s="74"/>
      <c r="J25" s="74"/>
      <c r="K25" s="14"/>
    </row>
    <row r="26" spans="1:11" ht="14.25" x14ac:dyDescent="0.25">
      <c r="A26" s="8" t="s">
        <v>31</v>
      </c>
      <c r="B26" s="16">
        <f>NPV(B24,C11:C17)+C10</f>
        <v>226.96359246819031</v>
      </c>
      <c r="C26" s="3"/>
      <c r="D26" s="8" t="s">
        <v>31</v>
      </c>
      <c r="E26" s="16">
        <f>NPV(E24,C11:C17)+C10</f>
        <v>18.23619211236246</v>
      </c>
      <c r="F26" s="74"/>
      <c r="G26" s="74"/>
      <c r="H26" s="74"/>
      <c r="I26" s="74"/>
      <c r="J26" s="74"/>
      <c r="K26" s="14"/>
    </row>
    <row r="27" spans="1:11" x14ac:dyDescent="0.2">
      <c r="A27" s="8"/>
      <c r="B27" s="17"/>
      <c r="C27" s="3"/>
      <c r="D27" s="8"/>
      <c r="E27" s="17"/>
      <c r="F27" s="14"/>
      <c r="G27" s="14"/>
      <c r="H27" s="14"/>
      <c r="I27" s="14"/>
      <c r="J27" s="14"/>
      <c r="K27" s="14"/>
    </row>
    <row r="28" spans="1:11" ht="14.25" x14ac:dyDescent="0.25">
      <c r="A28" s="8" t="s">
        <v>32</v>
      </c>
      <c r="B28" s="16">
        <f>NPV(B24,D11:D17)+D10</f>
        <v>206.16739146924169</v>
      </c>
      <c r="C28" s="3"/>
      <c r="D28" s="8" t="s">
        <v>32</v>
      </c>
      <c r="E28" s="16">
        <f>NPV(E24,D11:D17)+D10</f>
        <v>89.544486422847967</v>
      </c>
      <c r="F28" s="14"/>
      <c r="G28" s="14"/>
      <c r="H28" s="14"/>
      <c r="I28" s="14"/>
      <c r="J28" s="14"/>
      <c r="K28" s="3"/>
    </row>
    <row r="29" spans="1:1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2.75" customHeight="1" x14ac:dyDescent="0.2">
      <c r="A30" s="74" t="s">
        <v>14</v>
      </c>
      <c r="B30" s="74"/>
      <c r="C30" s="74"/>
      <c r="D30" s="74"/>
      <c r="E30" s="74"/>
      <c r="F30" s="74"/>
      <c r="G30" s="74"/>
      <c r="H30" s="74"/>
      <c r="I30" s="74"/>
      <c r="J30" s="74"/>
      <c r="K30" s="18"/>
    </row>
    <row r="31" spans="1:11" x14ac:dyDescent="0.2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18"/>
    </row>
    <row r="32" spans="1:1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3" x14ac:dyDescent="0.2">
      <c r="A33" s="7" t="s">
        <v>9</v>
      </c>
      <c r="B33" s="3"/>
      <c r="C33" s="3"/>
      <c r="D33" s="3"/>
      <c r="E33" s="3"/>
      <c r="F33" s="3"/>
      <c r="G33" s="3"/>
      <c r="H33" s="3"/>
      <c r="I33" s="3"/>
      <c r="J33" s="3"/>
      <c r="K33" s="3"/>
      <c r="M33" s="2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3" ht="12.75" customHeight="1" x14ac:dyDescent="0.2">
      <c r="A35" s="74" t="s">
        <v>23</v>
      </c>
      <c r="B35" s="74"/>
      <c r="C35" s="74"/>
      <c r="D35" s="74"/>
      <c r="E35" s="74"/>
      <c r="F35" s="74"/>
      <c r="G35" s="74"/>
      <c r="H35" s="74"/>
      <c r="I35" s="74"/>
      <c r="J35" s="74"/>
      <c r="K35" s="14"/>
    </row>
    <row r="36" spans="1:13" x14ac:dyDescent="0.2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14"/>
    </row>
    <row r="37" spans="1:13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3" x14ac:dyDescent="0.2">
      <c r="A38" s="3"/>
      <c r="B38" s="60" t="s">
        <v>0</v>
      </c>
      <c r="C38" s="63" t="s">
        <v>1</v>
      </c>
      <c r="D38" s="68"/>
      <c r="E38" s="68"/>
      <c r="F38" s="68"/>
      <c r="G38" s="68"/>
      <c r="H38" s="68"/>
      <c r="I38" s="68"/>
      <c r="J38" s="68"/>
      <c r="K38" s="3"/>
    </row>
    <row r="39" spans="1:13" x14ac:dyDescent="0.2">
      <c r="A39" s="19"/>
      <c r="B39" s="61"/>
      <c r="C39" s="64"/>
      <c r="D39" s="68"/>
      <c r="E39" s="68"/>
      <c r="F39" s="68"/>
      <c r="G39" s="68"/>
      <c r="H39" s="68"/>
      <c r="I39" s="68"/>
      <c r="J39" s="68"/>
      <c r="K39" s="3"/>
    </row>
    <row r="40" spans="1:13" x14ac:dyDescent="0.2">
      <c r="A40" s="65">
        <v>0</v>
      </c>
      <c r="B40" s="62">
        <f>NPV(A40,C11:C17)+C10</f>
        <v>951</v>
      </c>
      <c r="C40" s="62">
        <f>NPV(A40,D11:D17)+D10</f>
        <v>565</v>
      </c>
      <c r="D40" s="68"/>
      <c r="E40" s="68"/>
      <c r="F40" s="68"/>
      <c r="G40" s="68"/>
      <c r="H40" s="68"/>
      <c r="I40" s="68"/>
      <c r="J40" s="68"/>
      <c r="K40" s="3"/>
    </row>
    <row r="41" spans="1:13" x14ac:dyDescent="0.2">
      <c r="A41" s="66">
        <v>0.02</v>
      </c>
      <c r="B41" s="62">
        <f>NPV(A41,C11:C17)+C10</f>
        <v>790.311568934364</v>
      </c>
      <c r="C41" s="62">
        <f>NPV(A41,D11:D17)+D10</f>
        <v>489.27186923117551</v>
      </c>
      <c r="D41" s="68"/>
      <c r="E41" s="68"/>
      <c r="F41" s="68"/>
      <c r="G41" s="68"/>
      <c r="H41" s="68"/>
      <c r="I41" s="68"/>
      <c r="J41" s="68"/>
      <c r="K41" s="3"/>
    </row>
    <row r="42" spans="1:13" x14ac:dyDescent="0.2">
      <c r="A42" s="66">
        <v>0.04</v>
      </c>
      <c r="B42" s="62">
        <f>NPV(A42,C11:C17)+C10</f>
        <v>648.61404992696862</v>
      </c>
      <c r="C42" s="62">
        <f>NPV(A42,D11:D17)+D10</f>
        <v>421.0060027818065</v>
      </c>
      <c r="D42" s="68"/>
      <c r="E42" s="68"/>
      <c r="F42" s="68"/>
      <c r="G42" s="68"/>
      <c r="H42" s="68"/>
      <c r="I42" s="68"/>
      <c r="J42" s="68"/>
      <c r="K42" s="3"/>
    </row>
    <row r="43" spans="1:13" x14ac:dyDescent="0.2">
      <c r="A43" s="66">
        <v>0.06</v>
      </c>
      <c r="B43" s="62">
        <f>NPV(A43,C11:C17)+C10</f>
        <v>523.41305515451302</v>
      </c>
      <c r="C43" s="62">
        <f>NPV(A43,D11:D17)+D10</f>
        <v>359.29162194102389</v>
      </c>
      <c r="D43" s="68"/>
      <c r="E43" s="68"/>
      <c r="F43" s="68"/>
      <c r="G43" s="68"/>
      <c r="H43" s="68"/>
      <c r="I43" s="68"/>
      <c r="J43" s="68"/>
      <c r="K43" s="3"/>
    </row>
    <row r="44" spans="1:13" x14ac:dyDescent="0.2">
      <c r="A44" s="66">
        <v>0.08</v>
      </c>
      <c r="B44" s="62">
        <f>NPV(A44,C11:C17)+C10</f>
        <v>412.5780593993004</v>
      </c>
      <c r="C44" s="62">
        <f>NPV(A44,D11:D17)+D10</f>
        <v>303.34713615262604</v>
      </c>
      <c r="D44" s="68"/>
      <c r="E44" s="68"/>
      <c r="F44" s="68"/>
      <c r="G44" s="68"/>
      <c r="H44" s="68"/>
      <c r="I44" s="68"/>
      <c r="J44" s="68"/>
      <c r="K44" s="3"/>
    </row>
    <row r="45" spans="1:13" x14ac:dyDescent="0.2">
      <c r="A45" s="66">
        <v>0.1</v>
      </c>
      <c r="B45" s="62">
        <f>NPV(A45,C11:C17)+C10</f>
        <v>314.28409362241393</v>
      </c>
      <c r="C45" s="62">
        <f>NPV(A45,D11:D17)+D10</f>
        <v>252.49953289782275</v>
      </c>
      <c r="D45" s="68"/>
      <c r="E45" s="68"/>
      <c r="F45" s="68"/>
      <c r="G45" s="68"/>
      <c r="H45" s="68"/>
      <c r="I45" s="68"/>
      <c r="J45" s="68"/>
      <c r="K45" s="3"/>
    </row>
    <row r="46" spans="1:13" x14ac:dyDescent="0.2">
      <c r="A46" s="66">
        <v>0.12</v>
      </c>
      <c r="B46" s="62">
        <f>NPV(A46,C11:C17)+C10</f>
        <v>226.96359246819031</v>
      </c>
      <c r="C46" s="62">
        <f>NPV(A46,D11:D17)+D10</f>
        <v>206.16739146924169</v>
      </c>
      <c r="D46" s="68"/>
      <c r="E46" s="68"/>
      <c r="F46" s="68"/>
      <c r="G46" s="68"/>
      <c r="H46" s="68"/>
      <c r="I46" s="68"/>
      <c r="J46" s="68"/>
      <c r="K46" s="3"/>
    </row>
    <row r="47" spans="1:13" x14ac:dyDescent="0.2">
      <c r="A47" s="66">
        <v>0.14000000000000001</v>
      </c>
      <c r="B47" s="62">
        <f>NPV(A47,C11:C17)+C10</f>
        <v>149.26649163635489</v>
      </c>
      <c r="C47" s="62">
        <f>NPV(A47,D11:D17)+D10</f>
        <v>163.84682814307632</v>
      </c>
      <c r="D47" s="68"/>
      <c r="E47" s="68"/>
      <c r="F47" s="68"/>
      <c r="G47" s="68"/>
      <c r="H47" s="68"/>
      <c r="I47" s="68"/>
      <c r="J47" s="68"/>
      <c r="K47" s="3"/>
    </row>
    <row r="48" spans="1:13" x14ac:dyDescent="0.2">
      <c r="A48" s="66">
        <v>0.16</v>
      </c>
      <c r="B48" s="62">
        <f>NPV(A48,C11:C17)+C10</f>
        <v>80.027052550791893</v>
      </c>
      <c r="C48" s="62">
        <f>NPV(A48,D11:D17)+D10</f>
        <v>125.09982258244395</v>
      </c>
      <c r="D48" s="68"/>
      <c r="E48" s="68"/>
      <c r="F48" s="68"/>
      <c r="G48" s="68"/>
      <c r="H48" s="68"/>
      <c r="I48" s="68"/>
      <c r="J48" s="68"/>
      <c r="K48" s="3"/>
    </row>
    <row r="49" spans="1:15" x14ac:dyDescent="0.2">
      <c r="A49" s="66">
        <v>0.18</v>
      </c>
      <c r="B49" s="62">
        <f>NPV(A49,C11:C17)+C10</f>
        <v>18.23619211236246</v>
      </c>
      <c r="C49" s="62">
        <f>NPV(A49,D11:D17)+D10</f>
        <v>89.544486422847967</v>
      </c>
      <c r="D49" s="68"/>
      <c r="E49" s="68"/>
      <c r="F49" s="68"/>
      <c r="G49" s="68"/>
      <c r="H49" s="68"/>
      <c r="I49" s="68"/>
      <c r="J49" s="68"/>
      <c r="K49" s="3"/>
    </row>
    <row r="50" spans="1:15" x14ac:dyDescent="0.2">
      <c r="A50" s="66">
        <v>0.2</v>
      </c>
      <c r="B50" s="62">
        <f>NPV(A50,C11:C17)+C10</f>
        <v>-36.981667238225839</v>
      </c>
      <c r="C50" s="62">
        <f>NPV(A50,D11:D17)+D10</f>
        <v>56.846922153635205</v>
      </c>
      <c r="D50" s="68"/>
      <c r="E50" s="68"/>
      <c r="F50" s="68"/>
      <c r="G50" s="68"/>
      <c r="H50" s="68"/>
      <c r="I50" s="68"/>
      <c r="J50" s="68"/>
      <c r="K50" s="3"/>
    </row>
    <row r="51" spans="1:15" x14ac:dyDescent="0.2">
      <c r="A51" s="66">
        <v>0.22</v>
      </c>
      <c r="B51" s="62">
        <f>NPV(A51,C11:C17)+C10</f>
        <v>-86.388023484165331</v>
      </c>
      <c r="C51" s="62">
        <f>NPV(A51,D11:D17)+D10</f>
        <v>26.714389093547879</v>
      </c>
      <c r="D51" s="68"/>
      <c r="E51" s="68"/>
      <c r="F51" s="68"/>
      <c r="G51" s="68"/>
      <c r="H51" s="68"/>
      <c r="I51" s="68"/>
      <c r="J51" s="68"/>
      <c r="K51" s="3"/>
      <c r="O51" s="2"/>
    </row>
    <row r="52" spans="1:15" x14ac:dyDescent="0.2">
      <c r="A52" s="66">
        <v>0.24</v>
      </c>
      <c r="B52" s="62">
        <f>NPV(A52,C11:C17)+C10</f>
        <v>-130.64664324055951</v>
      </c>
      <c r="C52" s="62">
        <f>NPV(A52,D11:D17)+D10</f>
        <v>-1.1104523801968753</v>
      </c>
      <c r="D52" s="68"/>
      <c r="E52" s="68"/>
      <c r="F52" s="68"/>
      <c r="G52" s="68"/>
      <c r="H52" s="68"/>
      <c r="I52" s="68"/>
      <c r="J52" s="68"/>
      <c r="K52" s="3"/>
    </row>
    <row r="53" spans="1:15" x14ac:dyDescent="0.2">
      <c r="A53" s="66">
        <v>0.26</v>
      </c>
      <c r="B53" s="62">
        <f>NPV(A53,C11:C17)+C10</f>
        <v>-170.33735838938171</v>
      </c>
      <c r="C53" s="62">
        <f>NPV(A53,D11:D17)+D10</f>
        <v>-26.854403981760811</v>
      </c>
      <c r="D53" s="68"/>
      <c r="E53" s="68"/>
      <c r="F53" s="68"/>
      <c r="G53" s="68"/>
      <c r="H53" s="68"/>
      <c r="I53" s="68"/>
      <c r="J53" s="68"/>
      <c r="K53" s="3"/>
    </row>
    <row r="54" spans="1:15" x14ac:dyDescent="0.2">
      <c r="A54" s="66">
        <v>0.28000000000000003</v>
      </c>
      <c r="B54" s="62">
        <f>NPV(A54,C11:C17)+C10</f>
        <v>-205.96774099976764</v>
      </c>
      <c r="C54" s="62">
        <f>NPV(A54,D11:D17)+D10</f>
        <v>-50.717851193621755</v>
      </c>
      <c r="D54" s="68"/>
      <c r="E54" s="68"/>
      <c r="F54" s="68"/>
      <c r="G54" s="68"/>
      <c r="H54" s="68"/>
      <c r="I54" s="68"/>
      <c r="J54" s="68"/>
      <c r="K54" s="3"/>
    </row>
    <row r="55" spans="1:15" x14ac:dyDescent="0.2">
      <c r="A55" s="67">
        <v>0.3</v>
      </c>
      <c r="B55" s="62">
        <f>NPV(A55,C11:C17)+C10</f>
        <v>-237.98300882553144</v>
      </c>
      <c r="C55" s="62">
        <f>NPV(A55,D11:D17)+D10</f>
        <v>-72.878266987568907</v>
      </c>
      <c r="D55" s="3"/>
      <c r="E55" s="3"/>
      <c r="F55" s="3"/>
      <c r="G55" s="3"/>
      <c r="H55" s="3"/>
      <c r="I55" s="3"/>
      <c r="J55" s="3"/>
      <c r="K55" s="3"/>
    </row>
    <row r="56" spans="1:15" x14ac:dyDescent="0.2">
      <c r="A56" s="20"/>
      <c r="B56" s="21"/>
      <c r="C56" s="21"/>
      <c r="D56" s="3"/>
      <c r="E56" s="3"/>
      <c r="F56" s="3"/>
      <c r="G56" s="3"/>
      <c r="H56" s="3"/>
      <c r="I56" s="3"/>
      <c r="J56" s="3"/>
      <c r="K56" s="3"/>
      <c r="N56" s="2"/>
    </row>
    <row r="57" spans="1:15" x14ac:dyDescent="0.2">
      <c r="A57" s="7" t="s">
        <v>10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5" x14ac:dyDescent="0.2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5" x14ac:dyDescent="0.2">
      <c r="A59" s="3" t="s">
        <v>11</v>
      </c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5" x14ac:dyDescent="0.2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5" ht="14.25" customHeight="1" x14ac:dyDescent="0.25">
      <c r="A61" s="3" t="s">
        <v>33</v>
      </c>
      <c r="B61" s="22">
        <f>IRR(C10:C17)</f>
        <v>0.18636090540398409</v>
      </c>
      <c r="C61" s="75" t="s">
        <v>12</v>
      </c>
      <c r="D61" s="76"/>
      <c r="E61" s="76"/>
      <c r="F61" s="76"/>
      <c r="G61" s="76"/>
      <c r="H61" s="76"/>
      <c r="I61" s="76"/>
      <c r="J61" s="76"/>
      <c r="K61" s="23"/>
    </row>
    <row r="62" spans="1:15" ht="14.25" x14ac:dyDescent="0.25">
      <c r="A62" s="3" t="s">
        <v>34</v>
      </c>
      <c r="B62" s="22">
        <f>IRR(D10:D17)</f>
        <v>0.23917105869027599</v>
      </c>
      <c r="C62" s="24"/>
      <c r="D62" s="25"/>
      <c r="E62" s="25"/>
      <c r="F62" s="25"/>
      <c r="G62" s="25"/>
      <c r="H62" s="25"/>
      <c r="I62" s="25"/>
      <c r="J62" s="25"/>
      <c r="K62" s="3"/>
    </row>
    <row r="63" spans="1:15" x14ac:dyDescent="0.2">
      <c r="A63" s="7"/>
      <c r="B63" s="3"/>
      <c r="C63" s="3"/>
      <c r="D63" s="3" t="s">
        <v>48</v>
      </c>
      <c r="E63" s="3"/>
      <c r="F63" s="3"/>
      <c r="G63" s="3"/>
      <c r="H63" s="3"/>
      <c r="I63" s="3"/>
      <c r="J63" s="3"/>
      <c r="K63" s="3"/>
    </row>
    <row r="64" spans="1:15" x14ac:dyDescent="0.2">
      <c r="A64" s="7" t="s">
        <v>24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">
      <c r="A66" s="26"/>
      <c r="B66" s="27" t="s">
        <v>5</v>
      </c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2">
      <c r="A67" s="28" t="s">
        <v>2</v>
      </c>
      <c r="B67" s="29" t="s">
        <v>4</v>
      </c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2">
      <c r="A68" s="30">
        <v>0</v>
      </c>
      <c r="B68" s="31">
        <f>C10-D10</f>
        <v>200</v>
      </c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2">
      <c r="A69" s="30">
        <v>1</v>
      </c>
      <c r="B69" s="31">
        <f t="shared" ref="B69:B75" si="0">C11-D11</f>
        <v>-490</v>
      </c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">
      <c r="A70" s="30">
        <v>2</v>
      </c>
      <c r="B70" s="31">
        <f t="shared" si="0"/>
        <v>-390</v>
      </c>
      <c r="C70" s="3"/>
      <c r="D70" s="3" t="s">
        <v>13</v>
      </c>
      <c r="E70" s="3"/>
      <c r="F70" s="22">
        <f>IRR(B68:B75)</f>
        <v>0.13139600205536861</v>
      </c>
      <c r="G70" s="3"/>
      <c r="H70" s="3"/>
      <c r="I70" s="3"/>
      <c r="J70" s="3"/>
      <c r="K70" s="3"/>
    </row>
    <row r="71" spans="1:11" x14ac:dyDescent="0.2">
      <c r="A71" s="30">
        <v>3</v>
      </c>
      <c r="B71" s="31">
        <f t="shared" si="0"/>
        <v>-290</v>
      </c>
      <c r="C71" s="3"/>
      <c r="D71" s="3"/>
      <c r="E71" s="3"/>
      <c r="F71" s="3"/>
      <c r="G71" s="3"/>
      <c r="H71" s="3"/>
      <c r="I71" s="3"/>
      <c r="J71" s="3"/>
      <c r="K71" s="3"/>
    </row>
    <row r="72" spans="1:11" ht="12.75" customHeight="1" x14ac:dyDescent="0.2">
      <c r="A72" s="30">
        <v>4</v>
      </c>
      <c r="B72" s="31">
        <f t="shared" si="0"/>
        <v>410</v>
      </c>
      <c r="C72" s="3"/>
      <c r="D72" s="77" t="s">
        <v>37</v>
      </c>
      <c r="E72" s="77"/>
      <c r="F72" s="77"/>
      <c r="G72" s="77"/>
      <c r="H72" s="23"/>
      <c r="I72" s="23"/>
      <c r="J72" s="23"/>
      <c r="K72" s="23"/>
    </row>
    <row r="73" spans="1:11" x14ac:dyDescent="0.2">
      <c r="A73" s="30">
        <v>5</v>
      </c>
      <c r="B73" s="31">
        <f t="shared" si="0"/>
        <v>410</v>
      </c>
      <c r="C73" s="3"/>
      <c r="D73" s="77"/>
      <c r="E73" s="77"/>
      <c r="F73" s="77"/>
      <c r="G73" s="77"/>
      <c r="H73" s="23"/>
      <c r="I73" s="23"/>
      <c r="J73" s="23"/>
      <c r="K73" s="23"/>
    </row>
    <row r="74" spans="1:11" x14ac:dyDescent="0.2">
      <c r="A74" s="30">
        <v>6</v>
      </c>
      <c r="B74" s="31">
        <f t="shared" si="0"/>
        <v>736</v>
      </c>
      <c r="C74" s="3"/>
      <c r="D74" s="77"/>
      <c r="E74" s="77"/>
      <c r="F74" s="77"/>
      <c r="G74" s="77"/>
      <c r="H74" s="32"/>
      <c r="I74" s="23"/>
      <c r="J74" s="23"/>
      <c r="K74" s="3"/>
    </row>
    <row r="75" spans="1:11" x14ac:dyDescent="0.2">
      <c r="A75" s="28">
        <v>7</v>
      </c>
      <c r="B75" s="33">
        <f t="shared" si="0"/>
        <v>-200</v>
      </c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customHeight="1" x14ac:dyDescent="0.2">
      <c r="A77" s="72" t="s">
        <v>38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</row>
    <row r="78" spans="1:11" x14ac:dyDescent="0.2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</row>
    <row r="79" spans="1:11" x14ac:dyDescent="0.2">
      <c r="A79" s="8"/>
      <c r="B79" s="8"/>
      <c r="C79" s="8"/>
      <c r="D79" s="8"/>
      <c r="E79" s="8"/>
      <c r="F79" s="8"/>
      <c r="G79" s="3"/>
      <c r="H79" s="3"/>
      <c r="I79" s="3"/>
      <c r="J79" s="3"/>
      <c r="K79" s="3"/>
    </row>
    <row r="80" spans="1:11" x14ac:dyDescent="0.2">
      <c r="A80" s="8"/>
      <c r="B80" s="34" t="s">
        <v>21</v>
      </c>
      <c r="C80" s="34"/>
      <c r="D80" s="8"/>
      <c r="E80" s="34" t="s">
        <v>22</v>
      </c>
      <c r="F80" s="34"/>
      <c r="G80" s="3"/>
      <c r="H80" s="3"/>
      <c r="I80" s="3"/>
      <c r="J80" s="3"/>
      <c r="K80" s="3"/>
    </row>
    <row r="81" spans="1:11" x14ac:dyDescent="0.2">
      <c r="A81" s="8"/>
      <c r="B81" s="8"/>
      <c r="C81" s="8"/>
      <c r="D81" s="8"/>
      <c r="E81" s="8"/>
      <c r="F81" s="8"/>
      <c r="G81" s="3"/>
      <c r="H81" s="3"/>
      <c r="I81" s="3"/>
      <c r="J81" s="3"/>
      <c r="K81" s="3"/>
    </row>
    <row r="82" spans="1:11" ht="14.25" x14ac:dyDescent="0.25">
      <c r="A82" s="8"/>
      <c r="B82" s="8" t="s">
        <v>35</v>
      </c>
      <c r="C82" s="22">
        <f>MIRR(C10:C17,0.12,0.12)</f>
        <v>0.15434615947784436</v>
      </c>
      <c r="D82" s="8"/>
      <c r="E82" s="8" t="s">
        <v>35</v>
      </c>
      <c r="F82" s="22">
        <f>MIRR(C10:C17,0.18,0.18)</f>
        <v>0.1833993966983507</v>
      </c>
      <c r="G82" s="3"/>
      <c r="H82" s="3"/>
      <c r="I82" s="3"/>
      <c r="J82" s="3"/>
      <c r="K82" s="3"/>
    </row>
    <row r="83" spans="1:11" ht="14.25" x14ac:dyDescent="0.25">
      <c r="A83" s="8"/>
      <c r="B83" s="8" t="s">
        <v>36</v>
      </c>
      <c r="C83" s="22">
        <f>MIRR(D10:D17,0.12,0.12)</f>
        <v>0.17011599808309619</v>
      </c>
      <c r="D83" s="8"/>
      <c r="E83" s="8" t="s">
        <v>36</v>
      </c>
      <c r="F83" s="22">
        <f>MIRR(D10:D17,0.18,0.18)</f>
        <v>0.20465161310103497</v>
      </c>
      <c r="G83" s="3"/>
      <c r="H83" s="3"/>
      <c r="I83" s="3"/>
      <c r="J83" s="3"/>
      <c r="K83" s="3"/>
    </row>
    <row r="84" spans="1:11" x14ac:dyDescent="0.2">
      <c r="A84" s="8"/>
      <c r="B84" s="8"/>
      <c r="C84" s="8"/>
      <c r="D84" s="8"/>
      <c r="E84" s="8"/>
      <c r="F84" s="8"/>
      <c r="G84" s="3"/>
      <c r="H84" s="3"/>
      <c r="I84" s="3"/>
      <c r="J84" s="3"/>
      <c r="K84" s="3"/>
    </row>
    <row r="85" spans="1:11" x14ac:dyDescent="0.2">
      <c r="A85" s="7" t="s">
        <v>6</v>
      </c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x14ac:dyDescent="0.2">
      <c r="A87" s="56" t="s">
        <v>0</v>
      </c>
      <c r="B87" s="57"/>
      <c r="C87" s="35"/>
      <c r="D87" s="35"/>
      <c r="E87" s="35"/>
      <c r="F87" s="35"/>
      <c r="G87" s="35"/>
      <c r="H87" s="54"/>
      <c r="I87" s="54"/>
      <c r="J87" s="54"/>
      <c r="K87" s="3"/>
    </row>
    <row r="88" spans="1:11" x14ac:dyDescent="0.2">
      <c r="A88" s="57"/>
      <c r="B88" s="58" t="s">
        <v>25</v>
      </c>
      <c r="C88" s="36">
        <v>0</v>
      </c>
      <c r="D88" s="36">
        <v>1</v>
      </c>
      <c r="E88" s="36">
        <v>2</v>
      </c>
      <c r="F88" s="36">
        <v>3</v>
      </c>
      <c r="G88" s="36">
        <v>4</v>
      </c>
      <c r="H88" s="37">
        <v>5</v>
      </c>
      <c r="I88" s="37">
        <v>6</v>
      </c>
      <c r="J88" s="37">
        <v>7</v>
      </c>
      <c r="K88" s="3"/>
    </row>
    <row r="89" spans="1:11" x14ac:dyDescent="0.2">
      <c r="A89" s="57"/>
      <c r="B89" s="58" t="s">
        <v>5</v>
      </c>
      <c r="C89" s="78">
        <f>C$10</f>
        <v>-375</v>
      </c>
      <c r="D89" s="78">
        <f>C$11</f>
        <v>-300</v>
      </c>
      <c r="E89" s="78">
        <f>C$12</f>
        <v>-200</v>
      </c>
      <c r="F89" s="78">
        <f>C$13</f>
        <v>-100</v>
      </c>
      <c r="G89" s="78">
        <f>C$14</f>
        <v>600</v>
      </c>
      <c r="H89" s="78">
        <f>C$15</f>
        <v>600</v>
      </c>
      <c r="I89" s="78">
        <f>C$16</f>
        <v>926</v>
      </c>
      <c r="J89" s="78">
        <f>C$17</f>
        <v>-200</v>
      </c>
      <c r="K89" s="3"/>
    </row>
    <row r="90" spans="1:11" x14ac:dyDescent="0.2">
      <c r="A90" s="57"/>
      <c r="B90" s="59" t="s">
        <v>26</v>
      </c>
      <c r="C90" s="79">
        <f>C89</f>
        <v>-375</v>
      </c>
      <c r="D90" s="79">
        <f>C90+D89</f>
        <v>-675</v>
      </c>
      <c r="E90" s="79">
        <f>D90+E89</f>
        <v>-875</v>
      </c>
      <c r="F90" s="79">
        <f>E90+F89</f>
        <v>-975</v>
      </c>
      <c r="G90" s="79">
        <f t="shared" ref="G90:J90" si="1">F90+G89</f>
        <v>-375</v>
      </c>
      <c r="H90" s="79">
        <f t="shared" si="1"/>
        <v>225</v>
      </c>
      <c r="I90" s="79">
        <f t="shared" si="1"/>
        <v>1151</v>
      </c>
      <c r="J90" s="79">
        <f t="shared" si="1"/>
        <v>951</v>
      </c>
      <c r="K90" s="3"/>
    </row>
    <row r="91" spans="1:11" ht="28.15" customHeight="1" x14ac:dyDescent="0.2">
      <c r="A91" s="70" t="s">
        <v>42</v>
      </c>
      <c r="B91" s="71"/>
      <c r="C91" s="80"/>
      <c r="D91" s="79"/>
      <c r="E91" s="79"/>
      <c r="F91" s="79"/>
      <c r="G91" s="79"/>
      <c r="H91" s="79"/>
      <c r="I91" s="79"/>
      <c r="J91" s="79"/>
      <c r="K91" s="3"/>
    </row>
    <row r="92" spans="1:11" ht="27.6" customHeight="1" x14ac:dyDescent="0.2">
      <c r="A92" s="69" t="s">
        <v>43</v>
      </c>
      <c r="B92" s="69"/>
      <c r="C92" s="53"/>
      <c r="D92"/>
      <c r="E92"/>
      <c r="F92"/>
      <c r="G92"/>
      <c r="H92"/>
      <c r="I92"/>
      <c r="J92"/>
      <c r="K92" s="3"/>
    </row>
    <row r="93" spans="1:11" x14ac:dyDescent="0.2">
      <c r="A93" s="57"/>
      <c r="B93" s="59"/>
      <c r="C93" s="40"/>
      <c r="D93" s="3"/>
      <c r="E93" s="41"/>
      <c r="F93" s="41"/>
      <c r="G93" s="41"/>
      <c r="H93" s="19"/>
      <c r="I93" s="19"/>
      <c r="J93" s="19"/>
      <c r="K93" s="3"/>
    </row>
    <row r="94" spans="1:11" x14ac:dyDescent="0.2">
      <c r="A94" s="56" t="s">
        <v>1</v>
      </c>
      <c r="B94" s="57"/>
      <c r="C94" s="35"/>
      <c r="D94" s="35"/>
      <c r="E94" s="35"/>
      <c r="F94" s="35"/>
      <c r="G94" s="35"/>
      <c r="H94" s="19"/>
      <c r="I94" s="19"/>
      <c r="J94" s="19"/>
      <c r="K94" s="3"/>
    </row>
    <row r="95" spans="1:11" x14ac:dyDescent="0.2">
      <c r="A95" s="57"/>
      <c r="B95" s="58" t="s">
        <v>25</v>
      </c>
      <c r="C95" s="36">
        <v>0</v>
      </c>
      <c r="D95" s="36">
        <v>1</v>
      </c>
      <c r="E95" s="36">
        <v>2</v>
      </c>
      <c r="F95" s="36">
        <v>3</v>
      </c>
      <c r="G95" s="36">
        <v>4</v>
      </c>
      <c r="H95" s="37">
        <v>5</v>
      </c>
      <c r="I95" s="37">
        <v>6</v>
      </c>
      <c r="J95" s="37">
        <v>7</v>
      </c>
      <c r="K95" s="3"/>
    </row>
    <row r="96" spans="1:11" x14ac:dyDescent="0.2">
      <c r="A96" s="57"/>
      <c r="B96" s="58" t="s">
        <v>5</v>
      </c>
      <c r="C96" s="81">
        <f>D10</f>
        <v>-575</v>
      </c>
      <c r="D96" s="81">
        <f>D11</f>
        <v>190</v>
      </c>
      <c r="E96" s="81">
        <f>D12</f>
        <v>190</v>
      </c>
      <c r="F96" s="81">
        <f>D13</f>
        <v>190</v>
      </c>
      <c r="G96" s="81">
        <f>D14</f>
        <v>190</v>
      </c>
      <c r="H96" s="81">
        <f>D15</f>
        <v>190</v>
      </c>
      <c r="I96" s="81">
        <f>D16</f>
        <v>190</v>
      </c>
      <c r="J96" s="81">
        <f>D17</f>
        <v>0</v>
      </c>
      <c r="K96" s="3"/>
    </row>
    <row r="97" spans="1:11" x14ac:dyDescent="0.2">
      <c r="A97" s="57"/>
      <c r="B97" s="59" t="s">
        <v>26</v>
      </c>
      <c r="C97" s="79">
        <f>C96</f>
        <v>-575</v>
      </c>
      <c r="D97" s="79">
        <f>C97+D96</f>
        <v>-385</v>
      </c>
      <c r="E97" s="79">
        <f t="shared" ref="E97:J97" si="2">D97+E96</f>
        <v>-195</v>
      </c>
      <c r="F97" s="79">
        <f t="shared" si="2"/>
        <v>-5</v>
      </c>
      <c r="G97" s="79">
        <f t="shared" si="2"/>
        <v>185</v>
      </c>
      <c r="H97" s="79">
        <f t="shared" si="2"/>
        <v>375</v>
      </c>
      <c r="I97" s="79">
        <f t="shared" si="2"/>
        <v>565</v>
      </c>
      <c r="J97" s="79">
        <f t="shared" si="2"/>
        <v>565</v>
      </c>
      <c r="K97" s="3"/>
    </row>
    <row r="98" spans="1:11" x14ac:dyDescent="0.2">
      <c r="A98" s="70" t="s">
        <v>42</v>
      </c>
      <c r="B98" s="71"/>
      <c r="C98" s="51"/>
      <c r="D98" s="52"/>
      <c r="E98" s="52"/>
      <c r="F98" s="52"/>
      <c r="G98" s="52"/>
      <c r="H98" s="52"/>
      <c r="I98" s="52"/>
      <c r="J98" s="52"/>
      <c r="K98" s="3"/>
    </row>
    <row r="99" spans="1:11" x14ac:dyDescent="0.2">
      <c r="A99" s="69" t="s">
        <v>43</v>
      </c>
      <c r="B99" s="69"/>
      <c r="C99" s="53"/>
      <c r="D99"/>
      <c r="E99"/>
      <c r="F99"/>
      <c r="G99"/>
      <c r="H99"/>
      <c r="I99"/>
      <c r="J99"/>
      <c r="K99" s="3"/>
    </row>
    <row r="100" spans="1:11" x14ac:dyDescent="0.2">
      <c r="A100" s="57"/>
      <c r="B100" s="59" t="s">
        <v>44</v>
      </c>
      <c r="C100" s="53"/>
      <c r="D100" s="55" t="s">
        <v>46</v>
      </c>
      <c r="E100" s="41"/>
      <c r="F100" s="41"/>
      <c r="G100" s="41"/>
      <c r="H100" s="3"/>
      <c r="I100" s="3"/>
      <c r="J100" s="3"/>
      <c r="K100" s="3"/>
    </row>
    <row r="101" spans="1:11" x14ac:dyDescent="0.2">
      <c r="A101" s="35"/>
      <c r="B101" s="39"/>
      <c r="C101" s="40"/>
      <c r="D101" s="3"/>
      <c r="E101" s="41"/>
      <c r="F101" s="41"/>
      <c r="G101" s="41"/>
      <c r="H101" s="3"/>
      <c r="I101" s="3"/>
      <c r="J101" s="3"/>
      <c r="K101" s="3"/>
    </row>
    <row r="102" spans="1:11" x14ac:dyDescent="0.2">
      <c r="A102" s="7" t="s">
        <v>7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2">
      <c r="A104" s="35" t="s">
        <v>8</v>
      </c>
      <c r="B104" s="42">
        <v>0.12</v>
      </c>
      <c r="C104" s="35"/>
      <c r="D104" s="35"/>
      <c r="E104" s="35"/>
      <c r="F104" s="35"/>
      <c r="G104" s="35"/>
      <c r="H104" s="3"/>
      <c r="I104" s="3"/>
      <c r="J104" s="3"/>
      <c r="K104" s="3"/>
    </row>
    <row r="105" spans="1:11" x14ac:dyDescent="0.2">
      <c r="A105" s="35"/>
      <c r="B105" s="35"/>
      <c r="C105" s="35"/>
      <c r="D105" s="35"/>
      <c r="E105" s="35"/>
      <c r="F105" s="35"/>
      <c r="G105" s="35"/>
      <c r="H105" s="3"/>
      <c r="I105" s="3"/>
      <c r="J105" s="3"/>
      <c r="K105" s="3"/>
    </row>
    <row r="106" spans="1:11" x14ac:dyDescent="0.2">
      <c r="A106" s="56" t="s">
        <v>0</v>
      </c>
      <c r="B106" s="57"/>
      <c r="C106" s="35"/>
      <c r="D106" s="35"/>
      <c r="E106" s="35"/>
      <c r="F106" s="35"/>
      <c r="G106" s="35"/>
      <c r="H106" s="3"/>
      <c r="I106" s="3"/>
      <c r="J106" s="3"/>
      <c r="K106" s="3"/>
    </row>
    <row r="107" spans="1:11" x14ac:dyDescent="0.2">
      <c r="A107" s="57"/>
      <c r="B107" s="58" t="s">
        <v>25</v>
      </c>
      <c r="C107" s="36">
        <v>0</v>
      </c>
      <c r="D107" s="36">
        <v>1</v>
      </c>
      <c r="E107" s="36">
        <v>2</v>
      </c>
      <c r="F107" s="36">
        <v>3</v>
      </c>
      <c r="G107" s="36">
        <v>4</v>
      </c>
      <c r="H107" s="37">
        <v>5</v>
      </c>
      <c r="I107" s="37">
        <v>6</v>
      </c>
      <c r="J107" s="37">
        <v>7</v>
      </c>
      <c r="K107" s="3"/>
    </row>
    <row r="108" spans="1:11" x14ac:dyDescent="0.2">
      <c r="A108" s="57"/>
      <c r="B108" s="58" t="s">
        <v>5</v>
      </c>
      <c r="C108" s="48">
        <f>C10</f>
        <v>-375</v>
      </c>
      <c r="D108" s="48">
        <f>C11</f>
        <v>-300</v>
      </c>
      <c r="E108" s="48">
        <f>C12</f>
        <v>-200</v>
      </c>
      <c r="F108" s="48">
        <f>C13</f>
        <v>-100</v>
      </c>
      <c r="G108" s="48">
        <f>C14</f>
        <v>600</v>
      </c>
      <c r="H108" s="48">
        <f>C15</f>
        <v>600</v>
      </c>
      <c r="I108" s="48">
        <f>C16</f>
        <v>926</v>
      </c>
      <c r="J108" s="48">
        <f>C17</f>
        <v>-200</v>
      </c>
      <c r="K108" s="3"/>
    </row>
    <row r="109" spans="1:11" x14ac:dyDescent="0.2">
      <c r="A109" s="57"/>
      <c r="B109" s="58" t="s">
        <v>27</v>
      </c>
      <c r="C109" s="50">
        <f>C108</f>
        <v>-375</v>
      </c>
      <c r="D109" s="50">
        <v>-268</v>
      </c>
      <c r="E109" s="50">
        <v>-159</v>
      </c>
      <c r="F109" s="50">
        <v>-71</v>
      </c>
      <c r="G109" s="50">
        <v>381</v>
      </c>
      <c r="H109" s="50">
        <v>340</v>
      </c>
      <c r="I109" s="50">
        <v>469</v>
      </c>
      <c r="J109" s="50">
        <v>-90</v>
      </c>
      <c r="K109" s="3"/>
    </row>
    <row r="110" spans="1:11" x14ac:dyDescent="0.2">
      <c r="A110" s="57"/>
      <c r="B110" s="59" t="s">
        <v>28</v>
      </c>
      <c r="C110" s="50">
        <f>C109</f>
        <v>-375</v>
      </c>
      <c r="D110" s="49">
        <f>C110+D109</f>
        <v>-643</v>
      </c>
      <c r="E110" s="49">
        <f t="shared" ref="E110:J110" si="3">D110+E109</f>
        <v>-802</v>
      </c>
      <c r="F110" s="49">
        <f t="shared" si="3"/>
        <v>-873</v>
      </c>
      <c r="G110" s="49">
        <f t="shared" si="3"/>
        <v>-492</v>
      </c>
      <c r="H110" s="49">
        <f t="shared" si="3"/>
        <v>-152</v>
      </c>
      <c r="I110" s="49">
        <f t="shared" si="3"/>
        <v>317</v>
      </c>
      <c r="J110" s="49">
        <f t="shared" si="3"/>
        <v>227</v>
      </c>
      <c r="K110" s="3"/>
    </row>
    <row r="111" spans="1:11" x14ac:dyDescent="0.2">
      <c r="A111" s="70" t="s">
        <v>42</v>
      </c>
      <c r="B111" s="71"/>
      <c r="C111" s="51"/>
      <c r="D111" s="82"/>
      <c r="E111" s="82"/>
      <c r="F111" s="82"/>
      <c r="G111" s="82"/>
      <c r="H111" s="82"/>
      <c r="I111" s="82">
        <v>0.32</v>
      </c>
      <c r="J111" s="82"/>
      <c r="K111" s="3"/>
    </row>
    <row r="112" spans="1:11" ht="13.15" customHeight="1" x14ac:dyDescent="0.2">
      <c r="A112" s="69" t="s">
        <v>43</v>
      </c>
      <c r="B112" s="69"/>
      <c r="C112" s="53"/>
      <c r="D112" s="83"/>
      <c r="E112"/>
      <c r="F112"/>
      <c r="G112"/>
      <c r="H112"/>
      <c r="I112"/>
      <c r="J112"/>
      <c r="K112" s="3"/>
    </row>
    <row r="113" spans="1:11" x14ac:dyDescent="0.2">
      <c r="A113" s="57"/>
      <c r="B113" s="59"/>
      <c r="C113" s="38"/>
      <c r="D113" s="3"/>
      <c r="E113" s="38"/>
      <c r="F113" s="38"/>
      <c r="G113" s="38"/>
      <c r="H113" s="19"/>
      <c r="I113" s="19"/>
      <c r="J113" s="19"/>
      <c r="K113" s="3"/>
    </row>
    <row r="114" spans="1:11" x14ac:dyDescent="0.2">
      <c r="A114" s="56" t="s">
        <v>1</v>
      </c>
      <c r="B114" s="57"/>
      <c r="C114" s="35"/>
      <c r="D114" s="35"/>
      <c r="E114" s="35"/>
      <c r="F114" s="35"/>
      <c r="G114" s="35"/>
      <c r="H114" s="19"/>
      <c r="I114" s="19"/>
      <c r="J114" s="19"/>
      <c r="K114" s="3"/>
    </row>
    <row r="115" spans="1:11" x14ac:dyDescent="0.2">
      <c r="A115" s="57"/>
      <c r="B115" s="58" t="s">
        <v>25</v>
      </c>
      <c r="C115" s="36">
        <v>0</v>
      </c>
      <c r="D115" s="36">
        <v>1</v>
      </c>
      <c r="E115" s="36">
        <v>2</v>
      </c>
      <c r="F115" s="36">
        <v>3</v>
      </c>
      <c r="G115" s="36">
        <v>4</v>
      </c>
      <c r="H115" s="37">
        <v>5</v>
      </c>
      <c r="I115" s="37">
        <v>6</v>
      </c>
      <c r="J115" s="37">
        <v>7</v>
      </c>
      <c r="K115" s="3"/>
    </row>
    <row r="116" spans="1:11" x14ac:dyDescent="0.2">
      <c r="A116" s="57"/>
      <c r="B116" s="58" t="s">
        <v>5</v>
      </c>
      <c r="C116" s="81">
        <v>-575</v>
      </c>
      <c r="D116" s="81">
        <v>190</v>
      </c>
      <c r="E116" s="81">
        <v>190</v>
      </c>
      <c r="F116" s="81">
        <v>190</v>
      </c>
      <c r="G116" s="81">
        <v>190</v>
      </c>
      <c r="H116" s="81">
        <v>190</v>
      </c>
      <c r="I116" s="81">
        <v>190</v>
      </c>
      <c r="J116" s="81">
        <v>0</v>
      </c>
      <c r="K116" s="3"/>
    </row>
    <row r="117" spans="1:11" x14ac:dyDescent="0.2">
      <c r="A117" s="57"/>
      <c r="B117" s="58" t="s">
        <v>27</v>
      </c>
      <c r="C117" s="81">
        <v>-575</v>
      </c>
      <c r="D117" s="84">
        <v>170</v>
      </c>
      <c r="E117" s="84">
        <v>151</v>
      </c>
      <c r="F117" s="84">
        <v>135</v>
      </c>
      <c r="G117" s="84">
        <v>121</v>
      </c>
      <c r="H117" s="84">
        <v>108</v>
      </c>
      <c r="I117" s="84">
        <v>96</v>
      </c>
      <c r="J117" s="84">
        <v>0</v>
      </c>
      <c r="K117" s="3"/>
    </row>
    <row r="118" spans="1:11" x14ac:dyDescent="0.2">
      <c r="A118" s="57"/>
      <c r="B118" s="59" t="s">
        <v>28</v>
      </c>
      <c r="C118" s="81">
        <v>-575</v>
      </c>
      <c r="D118" s="79">
        <v>-405</v>
      </c>
      <c r="E118" s="79">
        <v>-254</v>
      </c>
      <c r="F118" s="79">
        <v>-119</v>
      </c>
      <c r="G118" s="79">
        <v>2</v>
      </c>
      <c r="H118" s="79">
        <v>110</v>
      </c>
      <c r="I118" s="79">
        <v>206</v>
      </c>
      <c r="J118" s="79">
        <v>206</v>
      </c>
      <c r="K118" s="3"/>
    </row>
    <row r="119" spans="1:11" x14ac:dyDescent="0.2">
      <c r="A119" s="70" t="s">
        <v>42</v>
      </c>
      <c r="B119" s="71"/>
      <c r="C119" s="51"/>
      <c r="D119" s="52"/>
      <c r="E119" s="52"/>
      <c r="F119" s="52"/>
      <c r="G119" s="52">
        <v>98</v>
      </c>
      <c r="H119" s="52"/>
      <c r="I119" s="52"/>
      <c r="J119" s="52"/>
      <c r="K119" s="3"/>
    </row>
    <row r="120" spans="1:11" x14ac:dyDescent="0.2">
      <c r="A120" s="69" t="s">
        <v>43</v>
      </c>
      <c r="B120" s="69"/>
      <c r="C120" s="53"/>
      <c r="D120"/>
      <c r="E120"/>
      <c r="F120"/>
      <c r="G120"/>
      <c r="H120"/>
      <c r="I120"/>
      <c r="J120"/>
      <c r="K120" s="3"/>
    </row>
    <row r="121" spans="1:11" x14ac:dyDescent="0.2">
      <c r="A121" s="57"/>
      <c r="B121" s="59" t="s">
        <v>45</v>
      </c>
      <c r="C121" s="53"/>
      <c r="D121" s="55" t="s">
        <v>46</v>
      </c>
      <c r="E121" s="38"/>
      <c r="F121" s="38"/>
      <c r="G121" s="38"/>
      <c r="H121" s="19"/>
      <c r="I121" s="19"/>
      <c r="J121" s="19"/>
      <c r="K121" s="3"/>
    </row>
    <row r="122" spans="1:1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x14ac:dyDescent="0.2">
      <c r="A123" s="7" t="s">
        <v>29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x14ac:dyDescent="0.2">
      <c r="A125" s="3" t="s">
        <v>15</v>
      </c>
      <c r="B125" s="3"/>
      <c r="C125" s="3"/>
      <c r="D125" s="43">
        <v>601.96</v>
      </c>
      <c r="E125" s="3"/>
      <c r="F125" s="3"/>
      <c r="G125" s="3"/>
      <c r="H125" s="3"/>
      <c r="I125" s="3"/>
      <c r="J125" s="3"/>
      <c r="K125" s="3"/>
    </row>
    <row r="126" spans="1:11" x14ac:dyDescent="0.2">
      <c r="A126" s="3" t="s">
        <v>16</v>
      </c>
      <c r="B126" s="3"/>
      <c r="C126" s="3"/>
      <c r="D126" s="44">
        <v>1.61</v>
      </c>
      <c r="E126" s="3"/>
      <c r="F126" s="3"/>
      <c r="G126" s="3"/>
      <c r="H126" s="3"/>
      <c r="I126" s="3"/>
      <c r="J126" s="3"/>
      <c r="K126" s="3"/>
    </row>
    <row r="127" spans="1:1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2">
      <c r="A128" s="3" t="s">
        <v>17</v>
      </c>
      <c r="B128" s="3"/>
      <c r="C128" s="3"/>
      <c r="D128" s="43">
        <v>781.17</v>
      </c>
      <c r="E128" s="3"/>
      <c r="F128" s="3"/>
      <c r="G128" s="3"/>
      <c r="H128" s="3"/>
      <c r="I128" s="3"/>
      <c r="J128" s="3"/>
      <c r="K128" s="3"/>
    </row>
    <row r="129" spans="1:11" x14ac:dyDescent="0.2">
      <c r="A129" s="3" t="s">
        <v>18</v>
      </c>
      <c r="B129" s="3"/>
      <c r="C129" s="3"/>
      <c r="D129" s="44">
        <v>1.36</v>
      </c>
      <c r="E129" s="3"/>
      <c r="F129" s="3"/>
      <c r="G129" s="3"/>
      <c r="H129" s="3"/>
      <c r="I129" s="3"/>
      <c r="J129" s="3"/>
      <c r="K129" s="3"/>
    </row>
    <row r="130" spans="1:1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</sheetData>
  <mergeCells count="17">
    <mergeCell ref="A91:B91"/>
    <mergeCell ref="A92:B92"/>
    <mergeCell ref="A77:K78"/>
    <mergeCell ref="I1:J1"/>
    <mergeCell ref="A30:J31"/>
    <mergeCell ref="A35:J36"/>
    <mergeCell ref="C61:J61"/>
    <mergeCell ref="A6:J6"/>
    <mergeCell ref="A19:J20"/>
    <mergeCell ref="F23:J26"/>
    <mergeCell ref="D72:G74"/>
    <mergeCell ref="A120:B120"/>
    <mergeCell ref="A98:B98"/>
    <mergeCell ref="A99:B99"/>
    <mergeCell ref="A112:B112"/>
    <mergeCell ref="A111:B111"/>
    <mergeCell ref="A119:B119"/>
  </mergeCells>
  <phoneticPr fontId="0" type="noConversion"/>
  <pageMargins left="0.5" right="0.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Capital Budgeting Basics, Build a Model</dc:title>
  <dc:subject>Build a Model</dc:subject>
  <dc:creator>Christopher Buzzard and Mike Ehrhardt</dc:creator>
  <cp:lastModifiedBy>Gordon Elliott Williams</cp:lastModifiedBy>
  <cp:lastPrinted>1999-10-26T19:10:15Z</cp:lastPrinted>
  <dcterms:created xsi:type="dcterms:W3CDTF">1999-10-15T03:29:36Z</dcterms:created>
  <dcterms:modified xsi:type="dcterms:W3CDTF">2021-11-20T20:13:35Z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