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lli\Desktop\GRADUATE POST\BUS 632 ADVANCED FINANCIAL STATEMENT ANALYSIS\"/>
    </mc:Choice>
  </mc:AlternateContent>
  <xr:revisionPtr revIDLastSave="0" documentId="8_{DE7962A3-1296-4444-A968-9B25A2739A29}" xr6:coauthVersionLast="47" xr6:coauthVersionMax="47" xr10:uidLastSave="{00000000-0000-0000-0000-000000000000}"/>
  <bookViews>
    <workbookView xWindow="2340" yWindow="1035" windowWidth="24180" windowHeight="15165" xr2:uid="{24989EEC-EA69-4369-B2D6-64B551D8A7EC}"/>
  </bookViews>
  <sheets>
    <sheet name="Ratio" sheetId="1" r:id="rId1"/>
    <sheet name="Income Statement" sheetId="2" r:id="rId2"/>
    <sheet name="Balance Sheet" sheetId="3" r:id="rId3"/>
    <sheet name="Cash Flow Statement" sheetId="8" r:id="rId4"/>
    <sheet name="Segment Review " sheetId="9" r:id="rId5"/>
    <sheet name="White Paper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9" i="2" l="1"/>
  <c r="L47" i="2"/>
  <c r="L36" i="3"/>
  <c r="L17" i="3" l="1"/>
  <c r="L10" i="3"/>
  <c r="K6" i="3"/>
  <c r="K25" i="3"/>
  <c r="L7" i="3"/>
  <c r="L8" i="3"/>
  <c r="E24" i="9" l="1"/>
  <c r="H29" i="3"/>
  <c r="I29" i="3"/>
  <c r="L29" i="3"/>
  <c r="M29" i="3"/>
  <c r="O29" i="3"/>
  <c r="P29" i="3"/>
  <c r="Q29" i="3" s="1"/>
  <c r="R29" i="3" s="1"/>
  <c r="S29" i="3" s="1"/>
  <c r="M19" i="1"/>
  <c r="N19" i="1" s="1"/>
  <c r="O19" i="1" s="1"/>
  <c r="P19" i="1" s="1"/>
  <c r="Q19" i="1" s="1"/>
  <c r="M17" i="1"/>
  <c r="N17" i="1" s="1"/>
  <c r="O17" i="1" s="1"/>
  <c r="M12" i="1"/>
  <c r="M11" i="1"/>
  <c r="N11" i="1" s="1"/>
  <c r="O11" i="1" s="1"/>
  <c r="P11" i="1" s="1"/>
  <c r="Q22" i="9"/>
  <c r="R22" i="9" s="1"/>
  <c r="S22" i="9" s="1"/>
  <c r="T22" i="9" s="1"/>
  <c r="U22" i="9" s="1"/>
  <c r="K24" i="9"/>
  <c r="L24" i="9" s="1"/>
  <c r="M24" i="9" s="1"/>
  <c r="N24" i="9" s="1"/>
  <c r="O24" i="9" s="1"/>
  <c r="M10" i="8"/>
  <c r="N10" i="8" s="1"/>
  <c r="O10" i="8" s="1"/>
  <c r="P10" i="8" s="1"/>
  <c r="Q10" i="8" s="1"/>
  <c r="M11" i="8"/>
  <c r="N11" i="8" s="1"/>
  <c r="O11" i="8" s="1"/>
  <c r="P11" i="8" s="1"/>
  <c r="Q11" i="8" s="1"/>
  <c r="M12" i="8"/>
  <c r="N12" i="8" s="1"/>
  <c r="O12" i="8" s="1"/>
  <c r="P12" i="8" s="1"/>
  <c r="Q12" i="8" s="1"/>
  <c r="M18" i="8"/>
  <c r="N18" i="8" s="1"/>
  <c r="O18" i="8" s="1"/>
  <c r="P18" i="8" s="1"/>
  <c r="Q18" i="8" s="1"/>
  <c r="M19" i="8"/>
  <c r="N19" i="8" s="1"/>
  <c r="O19" i="8" s="1"/>
  <c r="P19" i="8" s="1"/>
  <c r="Q19" i="8" s="1"/>
  <c r="M20" i="8"/>
  <c r="N20" i="8" s="1"/>
  <c r="O20" i="8" s="1"/>
  <c r="P20" i="8" s="1"/>
  <c r="Q20" i="8" s="1"/>
  <c r="M26" i="8"/>
  <c r="N26" i="8" s="1"/>
  <c r="O26" i="8" s="1"/>
  <c r="P26" i="8" s="1"/>
  <c r="Q26" i="8" s="1"/>
  <c r="M27" i="8"/>
  <c r="N27" i="8" s="1"/>
  <c r="O27" i="8" s="1"/>
  <c r="P27" i="8" s="1"/>
  <c r="Q27" i="8" s="1"/>
  <c r="M28" i="8"/>
  <c r="N28" i="8" s="1"/>
  <c r="O28" i="8" s="1"/>
  <c r="P28" i="8" s="1"/>
  <c r="Q28" i="8" s="1"/>
  <c r="M34" i="8"/>
  <c r="N34" i="8" s="1"/>
  <c r="O34" i="8" s="1"/>
  <c r="P34" i="8" s="1"/>
  <c r="Q34" i="8" s="1"/>
  <c r="M36" i="8"/>
  <c r="N36" i="8" s="1"/>
  <c r="O36" i="8" s="1"/>
  <c r="P36" i="8" s="1"/>
  <c r="Q36" i="8" s="1"/>
  <c r="M42" i="8"/>
  <c r="N42" i="8" s="1"/>
  <c r="O42" i="8" s="1"/>
  <c r="P42" i="8" s="1"/>
  <c r="Q42" i="8" s="1"/>
  <c r="P5" i="2"/>
  <c r="P44" i="2"/>
  <c r="P45" i="2"/>
  <c r="P56" i="2"/>
  <c r="Q56" i="2" s="1"/>
  <c r="R56" i="2" s="1"/>
  <c r="S56" i="2" s="1"/>
  <c r="T56" i="2" s="1"/>
  <c r="U56" i="2" s="1"/>
  <c r="I49" i="2"/>
  <c r="J49" i="2" s="1"/>
  <c r="I47" i="2"/>
  <c r="J47" i="2" s="1"/>
  <c r="I9" i="2"/>
  <c r="L23" i="2"/>
  <c r="M23" i="2" s="1"/>
  <c r="M21" i="2"/>
  <c r="L21" i="2"/>
  <c r="M19" i="2"/>
  <c r="L19" i="2"/>
  <c r="R38" i="9"/>
  <c r="Q38" i="9" s="1"/>
  <c r="L38" i="9"/>
  <c r="K38" i="9" s="1"/>
  <c r="R37" i="9"/>
  <c r="Q37" i="9" s="1"/>
  <c r="L37" i="9"/>
  <c r="K37" i="9" s="1"/>
  <c r="R36" i="9"/>
  <c r="Q36" i="9" s="1"/>
  <c r="L36" i="9"/>
  <c r="K36" i="9" s="1"/>
  <c r="F36" i="9"/>
  <c r="E36" i="9" s="1"/>
  <c r="R35" i="9"/>
  <c r="Q35" i="9" s="1"/>
  <c r="L35" i="9"/>
  <c r="K35" i="9" s="1"/>
  <c r="R34" i="9"/>
  <c r="Q34" i="9" s="1"/>
  <c r="L34" i="9"/>
  <c r="K34" i="9" s="1"/>
  <c r="F34" i="9"/>
  <c r="E34" i="9" s="1"/>
  <c r="Q33" i="9"/>
  <c r="K33" i="9"/>
  <c r="E33" i="9"/>
  <c r="R32" i="9"/>
  <c r="Q32" i="9" s="1"/>
  <c r="L32" i="9"/>
  <c r="K32" i="9" s="1"/>
  <c r="F32" i="9"/>
  <c r="E32" i="9" s="1"/>
  <c r="R31" i="9"/>
  <c r="Q31" i="9" s="1"/>
  <c r="L31" i="9"/>
  <c r="K31" i="9" s="1"/>
  <c r="F31" i="9"/>
  <c r="E31" i="9" s="1"/>
  <c r="K36" i="1"/>
  <c r="F36" i="1"/>
  <c r="I23" i="2"/>
  <c r="J23" i="2" s="1"/>
  <c r="P23" i="2" s="1"/>
  <c r="Q23" i="2" s="1"/>
  <c r="R23" i="2" s="1"/>
  <c r="S23" i="2" s="1"/>
  <c r="T23" i="2" s="1"/>
  <c r="U23" i="2" s="1"/>
  <c r="J21" i="2"/>
  <c r="P21" i="2" s="1"/>
  <c r="Q21" i="2" s="1"/>
  <c r="R21" i="2" s="1"/>
  <c r="S21" i="2" s="1"/>
  <c r="T21" i="2" s="1"/>
  <c r="U21" i="2" s="1"/>
  <c r="I21" i="2"/>
  <c r="J19" i="2"/>
  <c r="P19" i="2" s="1"/>
  <c r="Q19" i="2" s="1"/>
  <c r="R19" i="2" s="1"/>
  <c r="S19" i="2" s="1"/>
  <c r="T19" i="2" s="1"/>
  <c r="U19" i="2" s="1"/>
  <c r="I19" i="2"/>
  <c r="I17" i="2"/>
  <c r="J17" i="2" s="1"/>
  <c r="L17" i="2" s="1"/>
  <c r="M17" i="2" s="1"/>
  <c r="J9" i="2"/>
  <c r="L9" i="2" s="1"/>
  <c r="M9" i="2" s="1"/>
  <c r="R6" i="9"/>
  <c r="Q6" i="9" s="1"/>
  <c r="R7" i="9"/>
  <c r="Q7" i="9" s="1"/>
  <c r="Q20" i="9" s="1"/>
  <c r="R20" i="9" s="1"/>
  <c r="S20" i="9" s="1"/>
  <c r="T20" i="9" s="1"/>
  <c r="U20" i="9" s="1"/>
  <c r="R8" i="9"/>
  <c r="Q8" i="9" s="1"/>
  <c r="Q21" i="9" s="1"/>
  <c r="R21" i="9" s="1"/>
  <c r="S21" i="9" s="1"/>
  <c r="T21" i="9" s="1"/>
  <c r="U21" i="9" s="1"/>
  <c r="R9" i="9"/>
  <c r="Q9" i="9" s="1"/>
  <c r="R10" i="9"/>
  <c r="Q10" i="9" s="1"/>
  <c r="R11" i="9"/>
  <c r="Q11" i="9" s="1"/>
  <c r="R12" i="9"/>
  <c r="Q12" i="9" s="1"/>
  <c r="Q25" i="9" s="1"/>
  <c r="R25" i="9" s="1"/>
  <c r="S25" i="9" s="1"/>
  <c r="T25" i="9" s="1"/>
  <c r="U25" i="9" s="1"/>
  <c r="R5" i="9"/>
  <c r="Q5" i="9" s="1"/>
  <c r="Q18" i="9" s="1"/>
  <c r="R18" i="9" s="1"/>
  <c r="S18" i="9" s="1"/>
  <c r="T18" i="9" s="1"/>
  <c r="U18" i="9" s="1"/>
  <c r="L6" i="9"/>
  <c r="K6" i="9" s="1"/>
  <c r="K19" i="9" s="1"/>
  <c r="L19" i="9" s="1"/>
  <c r="M19" i="9" s="1"/>
  <c r="N19" i="9" s="1"/>
  <c r="O19" i="9" s="1"/>
  <c r="L7" i="9"/>
  <c r="K7" i="9" s="1"/>
  <c r="K20" i="9" s="1"/>
  <c r="L20" i="9" s="1"/>
  <c r="M20" i="9" s="1"/>
  <c r="N20" i="9" s="1"/>
  <c r="O20" i="9" s="1"/>
  <c r="L8" i="9"/>
  <c r="K8" i="9" s="1"/>
  <c r="K21" i="9" s="1"/>
  <c r="L21" i="9" s="1"/>
  <c r="M21" i="9" s="1"/>
  <c r="N21" i="9" s="1"/>
  <c r="O21" i="9" s="1"/>
  <c r="L9" i="9"/>
  <c r="K9" i="9" s="1"/>
  <c r="K22" i="9" s="1"/>
  <c r="L22" i="9" s="1"/>
  <c r="M22" i="9" s="1"/>
  <c r="N22" i="9" s="1"/>
  <c r="O22" i="9" s="1"/>
  <c r="L10" i="9"/>
  <c r="K10" i="9" s="1"/>
  <c r="K23" i="9" s="1"/>
  <c r="L23" i="9" s="1"/>
  <c r="M23" i="9" s="1"/>
  <c r="N23" i="9" s="1"/>
  <c r="O23" i="9" s="1"/>
  <c r="L11" i="9"/>
  <c r="K11" i="9" s="1"/>
  <c r="L12" i="9"/>
  <c r="K12" i="9" s="1"/>
  <c r="K25" i="9" s="1"/>
  <c r="L25" i="9" s="1"/>
  <c r="M25" i="9" s="1"/>
  <c r="N25" i="9" s="1"/>
  <c r="O25" i="9" s="1"/>
  <c r="L5" i="9"/>
  <c r="K5" i="9" s="1"/>
  <c r="K18" i="9" s="1"/>
  <c r="L18" i="9" s="1"/>
  <c r="M18" i="9" s="1"/>
  <c r="N18" i="9" s="1"/>
  <c r="O18" i="9" s="1"/>
  <c r="F6" i="9"/>
  <c r="E6" i="9" s="1"/>
  <c r="E19" i="9" s="1"/>
  <c r="F19" i="9" s="1"/>
  <c r="G19" i="9" s="1"/>
  <c r="H19" i="9" s="1"/>
  <c r="I19" i="9" s="1"/>
  <c r="F7" i="9"/>
  <c r="E7" i="9" s="1"/>
  <c r="E20" i="9" s="1"/>
  <c r="F20" i="9" s="1"/>
  <c r="G20" i="9" s="1"/>
  <c r="H20" i="9" s="1"/>
  <c r="I20" i="9" s="1"/>
  <c r="F8" i="9"/>
  <c r="E8" i="9" s="1"/>
  <c r="E21" i="9" s="1"/>
  <c r="F21" i="9" s="1"/>
  <c r="G21" i="9" s="1"/>
  <c r="H21" i="9" s="1"/>
  <c r="I21" i="9" s="1"/>
  <c r="F9" i="9"/>
  <c r="E9" i="9" s="1"/>
  <c r="E22" i="9" s="1"/>
  <c r="F22" i="9" s="1"/>
  <c r="G22" i="9" s="1"/>
  <c r="H22" i="9" s="1"/>
  <c r="I22" i="9" s="1"/>
  <c r="F10" i="9"/>
  <c r="E10" i="9" s="1"/>
  <c r="E23" i="9" s="1"/>
  <c r="F23" i="9" s="1"/>
  <c r="G23" i="9" s="1"/>
  <c r="H23" i="9" s="1"/>
  <c r="I23" i="9" s="1"/>
  <c r="F24" i="9"/>
  <c r="G24" i="9" s="1"/>
  <c r="H24" i="9" s="1"/>
  <c r="I24" i="9" s="1"/>
  <c r="F12" i="9"/>
  <c r="E12" i="9" s="1"/>
  <c r="E25" i="9" s="1"/>
  <c r="F25" i="9" s="1"/>
  <c r="G25" i="9" s="1"/>
  <c r="H25" i="9" s="1"/>
  <c r="I25" i="9" s="1"/>
  <c r="F5" i="9"/>
  <c r="E5" i="9" s="1"/>
  <c r="E18" i="9" s="1"/>
  <c r="F18" i="9" s="1"/>
  <c r="G18" i="9" s="1"/>
  <c r="H18" i="9" s="1"/>
  <c r="I18" i="9" s="1"/>
  <c r="I38" i="1"/>
  <c r="K37" i="1"/>
  <c r="M7" i="3"/>
  <c r="M8" i="3"/>
  <c r="L9" i="3"/>
  <c r="M9" i="3" s="1"/>
  <c r="L11" i="3"/>
  <c r="M11" i="3" s="1"/>
  <c r="L12" i="3"/>
  <c r="M12" i="3" s="1"/>
  <c r="L13" i="3"/>
  <c r="M13" i="3" s="1"/>
  <c r="L14" i="3"/>
  <c r="M14" i="3" s="1"/>
  <c r="L15" i="3"/>
  <c r="M15" i="3" s="1"/>
  <c r="L16" i="3"/>
  <c r="M16" i="3" s="1"/>
  <c r="L20" i="3"/>
  <c r="M20" i="3" s="1"/>
  <c r="L21" i="3"/>
  <c r="M21" i="3" s="1"/>
  <c r="L22" i="3"/>
  <c r="M22" i="3" s="1"/>
  <c r="L23" i="3"/>
  <c r="M23" i="3" s="1"/>
  <c r="L24" i="3"/>
  <c r="M24" i="3" s="1"/>
  <c r="L26" i="3"/>
  <c r="M26" i="3" s="1"/>
  <c r="L27" i="3"/>
  <c r="M27" i="3" s="1"/>
  <c r="L30" i="3"/>
  <c r="M30" i="3" s="1"/>
  <c r="L33" i="3"/>
  <c r="M33" i="3" s="1"/>
  <c r="L34" i="3"/>
  <c r="M34" i="3" s="1"/>
  <c r="L35" i="3"/>
  <c r="M35" i="3" s="1"/>
  <c r="M36" i="3"/>
  <c r="L37" i="3"/>
  <c r="M37" i="3" s="1"/>
  <c r="L38" i="3"/>
  <c r="M38" i="3" s="1"/>
  <c r="L40" i="3"/>
  <c r="M40" i="3" s="1"/>
  <c r="M39" i="3"/>
  <c r="K28" i="3"/>
  <c r="K10" i="3"/>
  <c r="K17" i="3" s="1"/>
  <c r="M17" i="3" s="1"/>
  <c r="J12" i="1"/>
  <c r="K12" i="1" s="1"/>
  <c r="J18" i="1"/>
  <c r="K18" i="1" s="1"/>
  <c r="J19" i="1"/>
  <c r="K19" i="1" s="1"/>
  <c r="I20" i="1"/>
  <c r="I32" i="1"/>
  <c r="K31" i="1"/>
  <c r="J30" i="1"/>
  <c r="K30" i="1" s="1"/>
  <c r="K43" i="1"/>
  <c r="F48" i="1"/>
  <c r="G48" i="1" s="1"/>
  <c r="F54" i="1"/>
  <c r="G54" i="1" s="1"/>
  <c r="F55" i="1"/>
  <c r="G55" i="1" s="1"/>
  <c r="F49" i="1"/>
  <c r="F43" i="1"/>
  <c r="F42" i="1"/>
  <c r="G42" i="1" s="1"/>
  <c r="M42" i="1" s="1"/>
  <c r="N42" i="1" s="1"/>
  <c r="F37" i="1"/>
  <c r="G37" i="1" s="1"/>
  <c r="M37" i="1" s="1"/>
  <c r="N37" i="1" s="1"/>
  <c r="O37" i="1" s="1"/>
  <c r="P37" i="1" s="1"/>
  <c r="Q37" i="1" s="1"/>
  <c r="F31" i="1"/>
  <c r="G31" i="1" s="1"/>
  <c r="M31" i="1" s="1"/>
  <c r="N31" i="1" s="1"/>
  <c r="O31" i="1" s="1"/>
  <c r="P31" i="1" s="1"/>
  <c r="Q31" i="1" s="1"/>
  <c r="F30" i="1"/>
  <c r="F25" i="1"/>
  <c r="G25" i="1" s="1"/>
  <c r="F24" i="1"/>
  <c r="F18" i="1"/>
  <c r="G18" i="1" s="1"/>
  <c r="M18" i="1" s="1"/>
  <c r="N18" i="1" s="1"/>
  <c r="O18" i="1" s="1"/>
  <c r="P18" i="1" s="1"/>
  <c r="Q18" i="1" s="1"/>
  <c r="F19" i="1"/>
  <c r="G19" i="1" s="1"/>
  <c r="F17" i="1"/>
  <c r="G17" i="1" s="1"/>
  <c r="F12" i="1"/>
  <c r="G12" i="1" s="1"/>
  <c r="F11" i="1"/>
  <c r="G11" i="1" s="1"/>
  <c r="J7" i="8"/>
  <c r="K7" i="8" s="1"/>
  <c r="M7" i="8" s="1"/>
  <c r="N7" i="8" s="1"/>
  <c r="O7" i="8" s="1"/>
  <c r="P7" i="8" s="1"/>
  <c r="Q7" i="8" s="1"/>
  <c r="K8" i="8"/>
  <c r="M8" i="8" s="1"/>
  <c r="N8" i="8" s="1"/>
  <c r="O8" i="8" s="1"/>
  <c r="P8" i="8" s="1"/>
  <c r="Q8" i="8" s="1"/>
  <c r="J9" i="8"/>
  <c r="K9" i="8" s="1"/>
  <c r="M9" i="8" s="1"/>
  <c r="N9" i="8" s="1"/>
  <c r="O9" i="8" s="1"/>
  <c r="P9" i="8" s="1"/>
  <c r="Q9" i="8" s="1"/>
  <c r="J10" i="8"/>
  <c r="K10" i="8" s="1"/>
  <c r="J11" i="8"/>
  <c r="K11" i="8" s="1"/>
  <c r="J12" i="8"/>
  <c r="K12" i="8" s="1"/>
  <c r="J14" i="8"/>
  <c r="K14" i="8" s="1"/>
  <c r="M14" i="8" s="1"/>
  <c r="N14" i="8" s="1"/>
  <c r="O14" i="8" s="1"/>
  <c r="P14" i="8" s="1"/>
  <c r="Q14" i="8" s="1"/>
  <c r="J15" i="8"/>
  <c r="K15" i="8" s="1"/>
  <c r="M15" i="8" s="1"/>
  <c r="N15" i="8" s="1"/>
  <c r="O15" i="8" s="1"/>
  <c r="P15" i="8" s="1"/>
  <c r="Q15" i="8" s="1"/>
  <c r="J16" i="8"/>
  <c r="K16" i="8" s="1"/>
  <c r="M16" i="8" s="1"/>
  <c r="N16" i="8" s="1"/>
  <c r="O16" i="8" s="1"/>
  <c r="P16" i="8" s="1"/>
  <c r="Q16" i="8" s="1"/>
  <c r="J17" i="8"/>
  <c r="K17" i="8" s="1"/>
  <c r="M17" i="8" s="1"/>
  <c r="N17" i="8" s="1"/>
  <c r="O17" i="8" s="1"/>
  <c r="P17" i="8" s="1"/>
  <c r="Q17" i="8" s="1"/>
  <c r="J18" i="8"/>
  <c r="K18" i="8" s="1"/>
  <c r="J19" i="8"/>
  <c r="K19" i="8" s="1"/>
  <c r="J20" i="8"/>
  <c r="K20" i="8" s="1"/>
  <c r="J22" i="8"/>
  <c r="K22" i="8" s="1"/>
  <c r="M22" i="8" s="1"/>
  <c r="N22" i="8" s="1"/>
  <c r="O22" i="8" s="1"/>
  <c r="P22" i="8" s="1"/>
  <c r="Q22" i="8" s="1"/>
  <c r="J23" i="8"/>
  <c r="K23" i="8" s="1"/>
  <c r="M23" i="8" s="1"/>
  <c r="N23" i="8" s="1"/>
  <c r="O23" i="8" s="1"/>
  <c r="P23" i="8" s="1"/>
  <c r="Q23" i="8" s="1"/>
  <c r="J24" i="8"/>
  <c r="K24" i="8" s="1"/>
  <c r="M24" i="8" s="1"/>
  <c r="N24" i="8" s="1"/>
  <c r="O24" i="8" s="1"/>
  <c r="P24" i="8" s="1"/>
  <c r="Q24" i="8" s="1"/>
  <c r="J25" i="8"/>
  <c r="K25" i="8" s="1"/>
  <c r="M25" i="8" s="1"/>
  <c r="N25" i="8" s="1"/>
  <c r="O25" i="8" s="1"/>
  <c r="P25" i="8" s="1"/>
  <c r="Q25" i="8" s="1"/>
  <c r="J26" i="8"/>
  <c r="K26" i="8" s="1"/>
  <c r="J27" i="8"/>
  <c r="K27" i="8" s="1"/>
  <c r="J28" i="8"/>
  <c r="K28" i="8" s="1"/>
  <c r="J29" i="8"/>
  <c r="K29" i="8" s="1"/>
  <c r="M29" i="8" s="1"/>
  <c r="N29" i="8" s="1"/>
  <c r="O29" i="8" s="1"/>
  <c r="P29" i="8" s="1"/>
  <c r="Q29" i="8" s="1"/>
  <c r="J30" i="8"/>
  <c r="K30" i="8" s="1"/>
  <c r="M30" i="8" s="1"/>
  <c r="N30" i="8" s="1"/>
  <c r="O30" i="8" s="1"/>
  <c r="P30" i="8" s="1"/>
  <c r="Q30" i="8" s="1"/>
  <c r="J32" i="8"/>
  <c r="K32" i="8" s="1"/>
  <c r="M32" i="8" s="1"/>
  <c r="N32" i="8" s="1"/>
  <c r="O32" i="8" s="1"/>
  <c r="P32" i="8" s="1"/>
  <c r="Q32" i="8" s="1"/>
  <c r="J33" i="8"/>
  <c r="K33" i="8" s="1"/>
  <c r="M33" i="8" s="1"/>
  <c r="N33" i="8" s="1"/>
  <c r="O33" i="8" s="1"/>
  <c r="P33" i="8" s="1"/>
  <c r="Q33" i="8" s="1"/>
  <c r="J34" i="8"/>
  <c r="K34" i="8" s="1"/>
  <c r="J35" i="8"/>
  <c r="K35" i="8" s="1"/>
  <c r="M35" i="8" s="1"/>
  <c r="N35" i="8" s="1"/>
  <c r="O35" i="8" s="1"/>
  <c r="P35" i="8" s="1"/>
  <c r="Q35" i="8" s="1"/>
  <c r="J36" i="8"/>
  <c r="K36" i="8" s="1"/>
  <c r="J37" i="8"/>
  <c r="K37" i="8" s="1"/>
  <c r="M37" i="8" s="1"/>
  <c r="N37" i="8" s="1"/>
  <c r="O37" i="8" s="1"/>
  <c r="P37" i="8" s="1"/>
  <c r="Q37" i="8" s="1"/>
  <c r="J38" i="8"/>
  <c r="K38" i="8" s="1"/>
  <c r="M38" i="8" s="1"/>
  <c r="N38" i="8" s="1"/>
  <c r="O38" i="8" s="1"/>
  <c r="P38" i="8" s="1"/>
  <c r="Q38" i="8" s="1"/>
  <c r="J39" i="8"/>
  <c r="K39" i="8" s="1"/>
  <c r="M39" i="8" s="1"/>
  <c r="N39" i="8" s="1"/>
  <c r="O39" i="8" s="1"/>
  <c r="P39" i="8" s="1"/>
  <c r="Q39" i="8" s="1"/>
  <c r="J40" i="8"/>
  <c r="K40" i="8" s="1"/>
  <c r="M40" i="8" s="1"/>
  <c r="N40" i="8" s="1"/>
  <c r="O40" i="8" s="1"/>
  <c r="P40" i="8" s="1"/>
  <c r="Q40" i="8" s="1"/>
  <c r="J42" i="8"/>
  <c r="K42" i="8" s="1"/>
  <c r="J43" i="8"/>
  <c r="K43" i="8" s="1"/>
  <c r="M43" i="8" s="1"/>
  <c r="N43" i="8" s="1"/>
  <c r="O43" i="8" s="1"/>
  <c r="P43" i="8" s="1"/>
  <c r="Q43" i="8" s="1"/>
  <c r="J44" i="8"/>
  <c r="K44" i="8" s="1"/>
  <c r="M44" i="8" s="1"/>
  <c r="N44" i="8" s="1"/>
  <c r="O44" i="8" s="1"/>
  <c r="P44" i="8" s="1"/>
  <c r="Q44" i="8" s="1"/>
  <c r="J45" i="8"/>
  <c r="K45" i="8" s="1"/>
  <c r="M45" i="8" s="1"/>
  <c r="N45" i="8" s="1"/>
  <c r="O45" i="8" s="1"/>
  <c r="P45" i="8" s="1"/>
  <c r="Q45" i="8" s="1"/>
  <c r="J46" i="8"/>
  <c r="K46" i="8" s="1"/>
  <c r="M46" i="8" s="1"/>
  <c r="N46" i="8" s="1"/>
  <c r="O46" i="8" s="1"/>
  <c r="P46" i="8" s="1"/>
  <c r="Q46" i="8" s="1"/>
  <c r="J47" i="8"/>
  <c r="K47" i="8" s="1"/>
  <c r="M47" i="8" s="1"/>
  <c r="N47" i="8" s="1"/>
  <c r="O47" i="8" s="1"/>
  <c r="P47" i="8" s="1"/>
  <c r="Q47" i="8" s="1"/>
  <c r="J48" i="8"/>
  <c r="K48" i="8" s="1"/>
  <c r="M48" i="8" s="1"/>
  <c r="N48" i="8" s="1"/>
  <c r="O48" i="8" s="1"/>
  <c r="P48" i="8" s="1"/>
  <c r="Q48" i="8" s="1"/>
  <c r="J49" i="8"/>
  <c r="K49" i="8" s="1"/>
  <c r="M49" i="8" s="1"/>
  <c r="N49" i="8" s="1"/>
  <c r="O49" i="8" s="1"/>
  <c r="P49" i="8" s="1"/>
  <c r="Q49" i="8" s="1"/>
  <c r="J50" i="8"/>
  <c r="K50" i="8" s="1"/>
  <c r="M50" i="8" s="1"/>
  <c r="N50" i="8" s="1"/>
  <c r="O50" i="8" s="1"/>
  <c r="P50" i="8" s="1"/>
  <c r="Q50" i="8" s="1"/>
  <c r="J51" i="8"/>
  <c r="K51" i="8" s="1"/>
  <c r="M51" i="8" s="1"/>
  <c r="N51" i="8" s="1"/>
  <c r="O51" i="8" s="1"/>
  <c r="P51" i="8" s="1"/>
  <c r="Q51" i="8" s="1"/>
  <c r="J52" i="8"/>
  <c r="K52" i="8" s="1"/>
  <c r="M52" i="8" s="1"/>
  <c r="N52" i="8" s="1"/>
  <c r="O52" i="8" s="1"/>
  <c r="P52" i="8" s="1"/>
  <c r="Q52" i="8" s="1"/>
  <c r="J54" i="8"/>
  <c r="K54" i="8" s="1"/>
  <c r="M54" i="8" s="1"/>
  <c r="N54" i="8" s="1"/>
  <c r="O54" i="8" s="1"/>
  <c r="P54" i="8" s="1"/>
  <c r="Q54" i="8" s="1"/>
  <c r="J55" i="8"/>
  <c r="K55" i="8" s="1"/>
  <c r="M55" i="8" s="1"/>
  <c r="N55" i="8" s="1"/>
  <c r="O55" i="8" s="1"/>
  <c r="P55" i="8" s="1"/>
  <c r="Q55" i="8" s="1"/>
  <c r="J57" i="8"/>
  <c r="K57" i="8" s="1"/>
  <c r="M57" i="8" s="1"/>
  <c r="N57" i="8" s="1"/>
  <c r="O57" i="8" s="1"/>
  <c r="P57" i="8" s="1"/>
  <c r="Q57" i="8" s="1"/>
  <c r="J6" i="8"/>
  <c r="K6" i="8" s="1"/>
  <c r="M6" i="8" s="1"/>
  <c r="N6" i="8" s="1"/>
  <c r="O6" i="8" s="1"/>
  <c r="P6" i="8" s="1"/>
  <c r="Q6" i="8" s="1"/>
  <c r="H7" i="3"/>
  <c r="I7" i="3" s="1"/>
  <c r="O7" i="3" s="1"/>
  <c r="P7" i="3" s="1"/>
  <c r="Q7" i="3" s="1"/>
  <c r="R7" i="3" s="1"/>
  <c r="S7" i="3" s="1"/>
  <c r="H8" i="3"/>
  <c r="I8" i="3" s="1"/>
  <c r="O8" i="3" s="1"/>
  <c r="P8" i="3" s="1"/>
  <c r="Q8" i="3" s="1"/>
  <c r="R8" i="3" s="1"/>
  <c r="S8" i="3" s="1"/>
  <c r="H9" i="3"/>
  <c r="I9" i="3" s="1"/>
  <c r="O9" i="3" s="1"/>
  <c r="P9" i="3" s="1"/>
  <c r="Q9" i="3" s="1"/>
  <c r="R9" i="3" s="1"/>
  <c r="S9" i="3" s="1"/>
  <c r="H10" i="3"/>
  <c r="I10" i="3" s="1"/>
  <c r="O10" i="3" s="1"/>
  <c r="P10" i="3" s="1"/>
  <c r="Q10" i="3" s="1"/>
  <c r="R10" i="3" s="1"/>
  <c r="S10" i="3" s="1"/>
  <c r="H11" i="3"/>
  <c r="I11" i="3" s="1"/>
  <c r="O11" i="3" s="1"/>
  <c r="P11" i="3" s="1"/>
  <c r="Q11" i="3" s="1"/>
  <c r="R11" i="3" s="1"/>
  <c r="S11" i="3" s="1"/>
  <c r="H12" i="3"/>
  <c r="I12" i="3" s="1"/>
  <c r="O12" i="3" s="1"/>
  <c r="P12" i="3" s="1"/>
  <c r="Q12" i="3" s="1"/>
  <c r="R12" i="3" s="1"/>
  <c r="S12" i="3" s="1"/>
  <c r="H13" i="3"/>
  <c r="I13" i="3" s="1"/>
  <c r="O13" i="3" s="1"/>
  <c r="P13" i="3" s="1"/>
  <c r="Q13" i="3" s="1"/>
  <c r="R13" i="3" s="1"/>
  <c r="S13" i="3" s="1"/>
  <c r="H14" i="3"/>
  <c r="I14" i="3" s="1"/>
  <c r="O14" i="3" s="1"/>
  <c r="P14" i="3" s="1"/>
  <c r="Q14" i="3" s="1"/>
  <c r="R14" i="3" s="1"/>
  <c r="S14" i="3" s="1"/>
  <c r="H15" i="3"/>
  <c r="I15" i="3" s="1"/>
  <c r="O15" i="3" s="1"/>
  <c r="P15" i="3" s="1"/>
  <c r="Q15" i="3" s="1"/>
  <c r="R15" i="3" s="1"/>
  <c r="S15" i="3" s="1"/>
  <c r="H16" i="3"/>
  <c r="I16" i="3" s="1"/>
  <c r="O16" i="3" s="1"/>
  <c r="P16" i="3" s="1"/>
  <c r="Q16" i="3" s="1"/>
  <c r="R16" i="3" s="1"/>
  <c r="S16" i="3" s="1"/>
  <c r="H17" i="3"/>
  <c r="I17" i="3" s="1"/>
  <c r="O17" i="3" s="1"/>
  <c r="P17" i="3" s="1"/>
  <c r="Q17" i="3" s="1"/>
  <c r="R17" i="3" s="1"/>
  <c r="S17" i="3" s="1"/>
  <c r="H20" i="3"/>
  <c r="I20" i="3" s="1"/>
  <c r="O20" i="3" s="1"/>
  <c r="P20" i="3" s="1"/>
  <c r="Q20" i="3" s="1"/>
  <c r="R20" i="3" s="1"/>
  <c r="S20" i="3" s="1"/>
  <c r="H21" i="3"/>
  <c r="I21" i="3" s="1"/>
  <c r="O21" i="3" s="1"/>
  <c r="P21" i="3" s="1"/>
  <c r="Q21" i="3" s="1"/>
  <c r="R21" i="3" s="1"/>
  <c r="S21" i="3" s="1"/>
  <c r="H22" i="3"/>
  <c r="I22" i="3" s="1"/>
  <c r="O22" i="3" s="1"/>
  <c r="P22" i="3" s="1"/>
  <c r="Q22" i="3" s="1"/>
  <c r="R22" i="3" s="1"/>
  <c r="S22" i="3" s="1"/>
  <c r="H23" i="3"/>
  <c r="I23" i="3" s="1"/>
  <c r="O23" i="3" s="1"/>
  <c r="P23" i="3" s="1"/>
  <c r="Q23" i="3" s="1"/>
  <c r="R23" i="3" s="1"/>
  <c r="S23" i="3" s="1"/>
  <c r="H24" i="3"/>
  <c r="I24" i="3" s="1"/>
  <c r="O24" i="3" s="1"/>
  <c r="P24" i="3" s="1"/>
  <c r="Q24" i="3" s="1"/>
  <c r="R24" i="3" s="1"/>
  <c r="S24" i="3" s="1"/>
  <c r="H25" i="3"/>
  <c r="I25" i="3" s="1"/>
  <c r="O25" i="3" s="1"/>
  <c r="P25" i="3" s="1"/>
  <c r="Q25" i="3" s="1"/>
  <c r="R25" i="3" s="1"/>
  <c r="S25" i="3" s="1"/>
  <c r="H26" i="3"/>
  <c r="I26" i="3" s="1"/>
  <c r="O26" i="3" s="1"/>
  <c r="P26" i="3" s="1"/>
  <c r="Q26" i="3" s="1"/>
  <c r="R26" i="3" s="1"/>
  <c r="S26" i="3" s="1"/>
  <c r="H27" i="3"/>
  <c r="I27" i="3" s="1"/>
  <c r="O27" i="3" s="1"/>
  <c r="P27" i="3" s="1"/>
  <c r="Q27" i="3" s="1"/>
  <c r="R27" i="3" s="1"/>
  <c r="S27" i="3" s="1"/>
  <c r="H28" i="3"/>
  <c r="I28" i="3" s="1"/>
  <c r="O28" i="3" s="1"/>
  <c r="P28" i="3" s="1"/>
  <c r="Q28" i="3" s="1"/>
  <c r="R28" i="3" s="1"/>
  <c r="S28" i="3" s="1"/>
  <c r="H30" i="3"/>
  <c r="I30" i="3" s="1"/>
  <c r="O30" i="3" s="1"/>
  <c r="P30" i="3" s="1"/>
  <c r="Q30" i="3" s="1"/>
  <c r="R30" i="3" s="1"/>
  <c r="S30" i="3" s="1"/>
  <c r="H33" i="3"/>
  <c r="I33" i="3" s="1"/>
  <c r="O33" i="3" s="1"/>
  <c r="P33" i="3" s="1"/>
  <c r="Q33" i="3" s="1"/>
  <c r="R33" i="3" s="1"/>
  <c r="S33" i="3" s="1"/>
  <c r="H34" i="3"/>
  <c r="I34" i="3" s="1"/>
  <c r="O34" i="3" s="1"/>
  <c r="P34" i="3" s="1"/>
  <c r="Q34" i="3" s="1"/>
  <c r="R34" i="3" s="1"/>
  <c r="S34" i="3" s="1"/>
  <c r="H35" i="3"/>
  <c r="I35" i="3" s="1"/>
  <c r="O35" i="3" s="1"/>
  <c r="P35" i="3" s="1"/>
  <c r="Q35" i="3" s="1"/>
  <c r="R35" i="3" s="1"/>
  <c r="S35" i="3" s="1"/>
  <c r="H36" i="3"/>
  <c r="I36" i="3" s="1"/>
  <c r="O36" i="3" s="1"/>
  <c r="P36" i="3" s="1"/>
  <c r="Q36" i="3" s="1"/>
  <c r="R36" i="3" s="1"/>
  <c r="S36" i="3" s="1"/>
  <c r="H37" i="3"/>
  <c r="I37" i="3" s="1"/>
  <c r="O37" i="3" s="1"/>
  <c r="P37" i="3" s="1"/>
  <c r="Q37" i="3" s="1"/>
  <c r="R37" i="3" s="1"/>
  <c r="S37" i="3" s="1"/>
  <c r="H38" i="3"/>
  <c r="I38" i="3" s="1"/>
  <c r="O38" i="3" s="1"/>
  <c r="P38" i="3" s="1"/>
  <c r="Q38" i="3" s="1"/>
  <c r="R38" i="3" s="1"/>
  <c r="S38" i="3" s="1"/>
  <c r="H39" i="3"/>
  <c r="I39" i="3" s="1"/>
  <c r="O39" i="3" s="1"/>
  <c r="P39" i="3" s="1"/>
  <c r="Q39" i="3" s="1"/>
  <c r="R39" i="3" s="1"/>
  <c r="S39" i="3" s="1"/>
  <c r="H40" i="3"/>
  <c r="I40" i="3" s="1"/>
  <c r="O40" i="3" s="1"/>
  <c r="P40" i="3" s="1"/>
  <c r="Q40" i="3" s="1"/>
  <c r="R40" i="3" s="1"/>
  <c r="S40" i="3" s="1"/>
  <c r="H41" i="3"/>
  <c r="I41" i="3" s="1"/>
  <c r="O41" i="3" s="1"/>
  <c r="P41" i="3" s="1"/>
  <c r="Q41" i="3" s="1"/>
  <c r="R41" i="3" s="1"/>
  <c r="S41" i="3" s="1"/>
  <c r="H42" i="3"/>
  <c r="I42" i="3" s="1"/>
  <c r="O42" i="3" s="1"/>
  <c r="P42" i="3" s="1"/>
  <c r="Q42" i="3" s="1"/>
  <c r="R42" i="3" s="1"/>
  <c r="S42" i="3" s="1"/>
  <c r="H6" i="3"/>
  <c r="I6" i="3" s="1"/>
  <c r="O6" i="3" s="1"/>
  <c r="P6" i="3" s="1"/>
  <c r="Q6" i="3" s="1"/>
  <c r="R6" i="3" s="1"/>
  <c r="S6" i="3" s="1"/>
  <c r="I48" i="2"/>
  <c r="J48" i="2" s="1"/>
  <c r="L48" i="2" s="1"/>
  <c r="M48" i="2" s="1"/>
  <c r="I51" i="2"/>
  <c r="J51" i="2" s="1"/>
  <c r="L51" i="2" s="1"/>
  <c r="M51" i="2" s="1"/>
  <c r="I52" i="2"/>
  <c r="J52" i="2" s="1"/>
  <c r="L52" i="2" s="1"/>
  <c r="M52" i="2" s="1"/>
  <c r="I53" i="2"/>
  <c r="J53" i="2" s="1"/>
  <c r="L53" i="2" s="1"/>
  <c r="M53" i="2" s="1"/>
  <c r="I54" i="2"/>
  <c r="J54" i="2" s="1"/>
  <c r="L54" i="2" s="1"/>
  <c r="M54" i="2" s="1"/>
  <c r="I56" i="2"/>
  <c r="J56" i="2" s="1"/>
  <c r="L56" i="2" s="1"/>
  <c r="M56" i="2" s="1"/>
  <c r="I57" i="2"/>
  <c r="J57" i="2" s="1"/>
  <c r="L57" i="2" s="1"/>
  <c r="M57" i="2" s="1"/>
  <c r="I58" i="2"/>
  <c r="J58" i="2" s="1"/>
  <c r="L58" i="2" s="1"/>
  <c r="M58" i="2" s="1"/>
  <c r="I59" i="2"/>
  <c r="J59" i="2" s="1"/>
  <c r="L59" i="2" s="1"/>
  <c r="M59" i="2" s="1"/>
  <c r="I60" i="2"/>
  <c r="J60" i="2" s="1"/>
  <c r="L60" i="2" s="1"/>
  <c r="M60" i="2" s="1"/>
  <c r="I61" i="2"/>
  <c r="J61" i="2" s="1"/>
  <c r="L61" i="2" s="1"/>
  <c r="M61" i="2" s="1"/>
  <c r="I62" i="2"/>
  <c r="J62" i="2" s="1"/>
  <c r="L62" i="2" s="1"/>
  <c r="M62" i="2" s="1"/>
  <c r="I64" i="2"/>
  <c r="J64" i="2" s="1"/>
  <c r="L64" i="2" s="1"/>
  <c r="M64" i="2" s="1"/>
  <c r="I65" i="2"/>
  <c r="J65" i="2" s="1"/>
  <c r="L65" i="2" s="1"/>
  <c r="M65" i="2" s="1"/>
  <c r="I66" i="2"/>
  <c r="J66" i="2" s="1"/>
  <c r="L66" i="2" s="1"/>
  <c r="M66" i="2" s="1"/>
  <c r="I67" i="2"/>
  <c r="J67" i="2" s="1"/>
  <c r="L67" i="2" s="1"/>
  <c r="M67" i="2" s="1"/>
  <c r="I68" i="2"/>
  <c r="J68" i="2" s="1"/>
  <c r="L68" i="2" s="1"/>
  <c r="M68" i="2" s="1"/>
  <c r="I70" i="2"/>
  <c r="J70" i="2" s="1"/>
  <c r="L70" i="2" s="1"/>
  <c r="M70" i="2" s="1"/>
  <c r="I71" i="2"/>
  <c r="J71" i="2" s="1"/>
  <c r="L71" i="2" s="1"/>
  <c r="M71" i="2" s="1"/>
  <c r="I72" i="2"/>
  <c r="J72" i="2" s="1"/>
  <c r="L72" i="2" s="1"/>
  <c r="M72" i="2" s="1"/>
  <c r="I73" i="2"/>
  <c r="J73" i="2" s="1"/>
  <c r="L73" i="2" s="1"/>
  <c r="M73" i="2" s="1"/>
  <c r="I74" i="2"/>
  <c r="J74" i="2" s="1"/>
  <c r="L74" i="2" s="1"/>
  <c r="M74" i="2" s="1"/>
  <c r="I75" i="2"/>
  <c r="J75" i="2" s="1"/>
  <c r="L75" i="2" s="1"/>
  <c r="M75" i="2" s="1"/>
  <c r="I76" i="2"/>
  <c r="J76" i="2" s="1"/>
  <c r="L76" i="2" s="1"/>
  <c r="M76" i="2" s="1"/>
  <c r="I77" i="2"/>
  <c r="J77" i="2" s="1"/>
  <c r="L77" i="2" s="1"/>
  <c r="M77" i="2" s="1"/>
  <c r="I78" i="2"/>
  <c r="J78" i="2" s="1"/>
  <c r="L78" i="2" s="1"/>
  <c r="M78" i="2" s="1"/>
  <c r="I8" i="2"/>
  <c r="J8" i="2" s="1"/>
  <c r="L8" i="2" s="1"/>
  <c r="M8" i="2" s="1"/>
  <c r="I11" i="2"/>
  <c r="J11" i="2" s="1"/>
  <c r="L11" i="2" s="1"/>
  <c r="M11" i="2" s="1"/>
  <c r="I12" i="2"/>
  <c r="J12" i="2" s="1"/>
  <c r="L12" i="2" s="1"/>
  <c r="M12" i="2" s="1"/>
  <c r="I13" i="2"/>
  <c r="J13" i="2" s="1"/>
  <c r="L13" i="2" s="1"/>
  <c r="M13" i="2" s="1"/>
  <c r="I14" i="2"/>
  <c r="J14" i="2" s="1"/>
  <c r="P14" i="2" s="1"/>
  <c r="Q14" i="2" s="1"/>
  <c r="R14" i="2" s="1"/>
  <c r="S14" i="2" s="1"/>
  <c r="T14" i="2" s="1"/>
  <c r="U14" i="2" s="1"/>
  <c r="I15" i="2"/>
  <c r="J15" i="2" s="1"/>
  <c r="L15" i="2" s="1"/>
  <c r="M15" i="2" s="1"/>
  <c r="I16" i="2"/>
  <c r="J16" i="2" s="1"/>
  <c r="L16" i="2" s="1"/>
  <c r="M16" i="2" s="1"/>
  <c r="I18" i="2"/>
  <c r="J18" i="2" s="1"/>
  <c r="L18" i="2" s="1"/>
  <c r="M18" i="2" s="1"/>
  <c r="I20" i="2"/>
  <c r="J20" i="2" s="1"/>
  <c r="L20" i="2" s="1"/>
  <c r="M20" i="2" s="1"/>
  <c r="I22" i="2"/>
  <c r="J22" i="2" s="1"/>
  <c r="L22" i="2" s="1"/>
  <c r="M22" i="2" s="1"/>
  <c r="I25" i="2"/>
  <c r="J25" i="2" s="1"/>
  <c r="L25" i="2" s="1"/>
  <c r="M25" i="2" s="1"/>
  <c r="I26" i="2"/>
  <c r="J26" i="2" s="1"/>
  <c r="L26" i="2" s="1"/>
  <c r="M26" i="2" s="1"/>
  <c r="I27" i="2"/>
  <c r="J27" i="2" s="1"/>
  <c r="L27" i="2" s="1"/>
  <c r="M27" i="2" s="1"/>
  <c r="I28" i="2"/>
  <c r="J28" i="2" s="1"/>
  <c r="L28" i="2" s="1"/>
  <c r="M28" i="2" s="1"/>
  <c r="J29" i="2"/>
  <c r="L29" i="2" s="1"/>
  <c r="M29" i="2" s="1"/>
  <c r="I30" i="2"/>
  <c r="J30" i="2" s="1"/>
  <c r="L30" i="2" s="1"/>
  <c r="M30" i="2" s="1"/>
  <c r="I31" i="2"/>
  <c r="J31" i="2" s="1"/>
  <c r="L31" i="2" s="1"/>
  <c r="M31" i="2" s="1"/>
  <c r="I33" i="2"/>
  <c r="J33" i="2" s="1"/>
  <c r="L33" i="2" s="1"/>
  <c r="M33" i="2" s="1"/>
  <c r="I34" i="2"/>
  <c r="J34" i="2" s="1"/>
  <c r="L34" i="2" s="1"/>
  <c r="M34" i="2" s="1"/>
  <c r="I36" i="2"/>
  <c r="J36" i="2" s="1"/>
  <c r="L36" i="2" s="1"/>
  <c r="M36" i="2" s="1"/>
  <c r="I37" i="2"/>
  <c r="J37" i="2" s="1"/>
  <c r="L37" i="2" s="1"/>
  <c r="M37" i="2" s="1"/>
  <c r="I38" i="2"/>
  <c r="J38" i="2" s="1"/>
  <c r="L38" i="2" s="1"/>
  <c r="M38" i="2" s="1"/>
  <c r="I40" i="2"/>
  <c r="J40" i="2" s="1"/>
  <c r="L40" i="2" s="1"/>
  <c r="M40" i="2" s="1"/>
  <c r="I41" i="2"/>
  <c r="J41" i="2" s="1"/>
  <c r="L41" i="2" s="1"/>
  <c r="M41" i="2" s="1"/>
  <c r="I7" i="2"/>
  <c r="J7" i="2" s="1"/>
  <c r="L7" i="2" s="1"/>
  <c r="M7" i="2" s="1"/>
  <c r="E38" i="1"/>
  <c r="E56" i="1"/>
  <c r="I56" i="1"/>
  <c r="E50" i="1"/>
  <c r="I50" i="1"/>
  <c r="E44" i="1"/>
  <c r="I44" i="1"/>
  <c r="E32" i="1"/>
  <c r="I26" i="1"/>
  <c r="E26" i="1"/>
  <c r="E20" i="1"/>
  <c r="E13" i="1"/>
  <c r="I13" i="1"/>
  <c r="D13" i="1"/>
  <c r="D56" i="1"/>
  <c r="D50" i="1"/>
  <c r="D44" i="1"/>
  <c r="D38" i="1"/>
  <c r="D26" i="1"/>
  <c r="D32" i="1"/>
  <c r="D20" i="1"/>
  <c r="M13" i="1" l="1"/>
  <c r="N12" i="1"/>
  <c r="K38" i="1"/>
  <c r="M47" i="2"/>
  <c r="M49" i="2"/>
  <c r="O42" i="1"/>
  <c r="M20" i="1"/>
  <c r="P17" i="1"/>
  <c r="O20" i="1"/>
  <c r="N20" i="1"/>
  <c r="Q11" i="1"/>
  <c r="P48" i="2"/>
  <c r="Q48" i="2" s="1"/>
  <c r="R48" i="2" s="1"/>
  <c r="S48" i="2" s="1"/>
  <c r="T48" i="2" s="1"/>
  <c r="U48" i="2" s="1"/>
  <c r="L14" i="2"/>
  <c r="M14" i="2" s="1"/>
  <c r="P13" i="2"/>
  <c r="Q13" i="2" s="1"/>
  <c r="R13" i="2" s="1"/>
  <c r="S13" i="2" s="1"/>
  <c r="T13" i="2" s="1"/>
  <c r="U13" i="2" s="1"/>
  <c r="P72" i="2"/>
  <c r="Q72" i="2" s="1"/>
  <c r="R72" i="2" s="1"/>
  <c r="S72" i="2" s="1"/>
  <c r="T72" i="2" s="1"/>
  <c r="U72" i="2" s="1"/>
  <c r="P64" i="2"/>
  <c r="Q64" i="2" s="1"/>
  <c r="R64" i="2" s="1"/>
  <c r="S64" i="2" s="1"/>
  <c r="T64" i="2" s="1"/>
  <c r="U64" i="2" s="1"/>
  <c r="P37" i="2"/>
  <c r="Q37" i="2" s="1"/>
  <c r="R37" i="2" s="1"/>
  <c r="S37" i="2" s="1"/>
  <c r="T37" i="2" s="1"/>
  <c r="U37" i="2" s="1"/>
  <c r="P71" i="2"/>
  <c r="Q71" i="2" s="1"/>
  <c r="R71" i="2" s="1"/>
  <c r="S71" i="2" s="1"/>
  <c r="T71" i="2" s="1"/>
  <c r="U71" i="2" s="1"/>
  <c r="P47" i="2"/>
  <c r="Q47" i="2" s="1"/>
  <c r="R47" i="2" s="1"/>
  <c r="S47" i="2" s="1"/>
  <c r="T47" i="2" s="1"/>
  <c r="U47" i="2" s="1"/>
  <c r="P36" i="2"/>
  <c r="Q36" i="2" s="1"/>
  <c r="R36" i="2" s="1"/>
  <c r="S36" i="2" s="1"/>
  <c r="T36" i="2" s="1"/>
  <c r="U36" i="2" s="1"/>
  <c r="P28" i="2"/>
  <c r="Q28" i="2" s="1"/>
  <c r="R28" i="2" s="1"/>
  <c r="S28" i="2" s="1"/>
  <c r="T28" i="2" s="1"/>
  <c r="U28" i="2" s="1"/>
  <c r="P20" i="2"/>
  <c r="Q20" i="2" s="1"/>
  <c r="R20" i="2" s="1"/>
  <c r="S20" i="2" s="1"/>
  <c r="T20" i="2" s="1"/>
  <c r="U20" i="2" s="1"/>
  <c r="P12" i="2"/>
  <c r="Q12" i="2" s="1"/>
  <c r="R12" i="2" s="1"/>
  <c r="S12" i="2" s="1"/>
  <c r="T12" i="2" s="1"/>
  <c r="U12" i="2" s="1"/>
  <c r="P78" i="2"/>
  <c r="Q78" i="2" s="1"/>
  <c r="R78" i="2" s="1"/>
  <c r="S78" i="2" s="1"/>
  <c r="T78" i="2" s="1"/>
  <c r="U78" i="2" s="1"/>
  <c r="P70" i="2"/>
  <c r="Q70" i="2" s="1"/>
  <c r="R70" i="2" s="1"/>
  <c r="S70" i="2" s="1"/>
  <c r="T70" i="2" s="1"/>
  <c r="U70" i="2" s="1"/>
  <c r="P62" i="2"/>
  <c r="Q62" i="2" s="1"/>
  <c r="R62" i="2" s="1"/>
  <c r="S62" i="2" s="1"/>
  <c r="T62" i="2" s="1"/>
  <c r="U62" i="2" s="1"/>
  <c r="P54" i="2"/>
  <c r="Q54" i="2" s="1"/>
  <c r="R54" i="2" s="1"/>
  <c r="S54" i="2" s="1"/>
  <c r="T54" i="2" s="1"/>
  <c r="U54" i="2" s="1"/>
  <c r="P27" i="2"/>
  <c r="Q27" i="2" s="1"/>
  <c r="R27" i="2" s="1"/>
  <c r="S27" i="2" s="1"/>
  <c r="T27" i="2" s="1"/>
  <c r="U27" i="2" s="1"/>
  <c r="P11" i="2"/>
  <c r="Q11" i="2" s="1"/>
  <c r="R11" i="2" s="1"/>
  <c r="S11" i="2" s="1"/>
  <c r="T11" i="2" s="1"/>
  <c r="U11" i="2" s="1"/>
  <c r="P77" i="2"/>
  <c r="Q77" i="2" s="1"/>
  <c r="R77" i="2" s="1"/>
  <c r="S77" i="2" s="1"/>
  <c r="T77" i="2" s="1"/>
  <c r="U77" i="2" s="1"/>
  <c r="P61" i="2"/>
  <c r="Q61" i="2" s="1"/>
  <c r="R61" i="2" s="1"/>
  <c r="S61" i="2" s="1"/>
  <c r="T61" i="2" s="1"/>
  <c r="U61" i="2" s="1"/>
  <c r="P53" i="2"/>
  <c r="Q53" i="2" s="1"/>
  <c r="R53" i="2" s="1"/>
  <c r="S53" i="2" s="1"/>
  <c r="T53" i="2" s="1"/>
  <c r="U53" i="2" s="1"/>
  <c r="P34" i="2"/>
  <c r="Q34" i="2" s="1"/>
  <c r="R34" i="2" s="1"/>
  <c r="S34" i="2" s="1"/>
  <c r="T34" i="2" s="1"/>
  <c r="U34" i="2" s="1"/>
  <c r="P26" i="2"/>
  <c r="Q26" i="2" s="1"/>
  <c r="R26" i="2" s="1"/>
  <c r="S26" i="2" s="1"/>
  <c r="T26" i="2" s="1"/>
  <c r="U26" i="2" s="1"/>
  <c r="P18" i="2"/>
  <c r="Q18" i="2" s="1"/>
  <c r="R18" i="2" s="1"/>
  <c r="S18" i="2" s="1"/>
  <c r="T18" i="2" s="1"/>
  <c r="U18" i="2" s="1"/>
  <c r="P76" i="2"/>
  <c r="Q76" i="2" s="1"/>
  <c r="R76" i="2" s="1"/>
  <c r="S76" i="2" s="1"/>
  <c r="T76" i="2" s="1"/>
  <c r="U76" i="2" s="1"/>
  <c r="P68" i="2"/>
  <c r="Q68" i="2" s="1"/>
  <c r="R68" i="2" s="1"/>
  <c r="S68" i="2" s="1"/>
  <c r="T68" i="2" s="1"/>
  <c r="U68" i="2" s="1"/>
  <c r="P60" i="2"/>
  <c r="Q60" i="2" s="1"/>
  <c r="R60" i="2" s="1"/>
  <c r="S60" i="2" s="1"/>
  <c r="T60" i="2" s="1"/>
  <c r="U60" i="2" s="1"/>
  <c r="P52" i="2"/>
  <c r="Q52" i="2" s="1"/>
  <c r="R52" i="2" s="1"/>
  <c r="S52" i="2" s="1"/>
  <c r="T52" i="2" s="1"/>
  <c r="U52" i="2" s="1"/>
  <c r="P41" i="2"/>
  <c r="Q41" i="2" s="1"/>
  <c r="R41" i="2" s="1"/>
  <c r="S41" i="2" s="1"/>
  <c r="T41" i="2" s="1"/>
  <c r="U41" i="2" s="1"/>
  <c r="P33" i="2"/>
  <c r="Q33" i="2" s="1"/>
  <c r="R33" i="2" s="1"/>
  <c r="S33" i="2" s="1"/>
  <c r="T33" i="2" s="1"/>
  <c r="U33" i="2" s="1"/>
  <c r="P25" i="2"/>
  <c r="Q25" i="2" s="1"/>
  <c r="R25" i="2" s="1"/>
  <c r="S25" i="2" s="1"/>
  <c r="T25" i="2" s="1"/>
  <c r="U25" i="2" s="1"/>
  <c r="P17" i="2"/>
  <c r="Q17" i="2" s="1"/>
  <c r="R17" i="2" s="1"/>
  <c r="S17" i="2" s="1"/>
  <c r="T17" i="2" s="1"/>
  <c r="U17" i="2" s="1"/>
  <c r="P9" i="2"/>
  <c r="Q9" i="2" s="1"/>
  <c r="R9" i="2" s="1"/>
  <c r="S9" i="2" s="1"/>
  <c r="T9" i="2" s="1"/>
  <c r="U9" i="2" s="1"/>
  <c r="P29" i="2"/>
  <c r="Q29" i="2" s="1"/>
  <c r="R29" i="2" s="1"/>
  <c r="S29" i="2" s="1"/>
  <c r="T29" i="2" s="1"/>
  <c r="U29" i="2" s="1"/>
  <c r="P75" i="2"/>
  <c r="Q75" i="2" s="1"/>
  <c r="R75" i="2" s="1"/>
  <c r="S75" i="2" s="1"/>
  <c r="T75" i="2" s="1"/>
  <c r="U75" i="2" s="1"/>
  <c r="P67" i="2"/>
  <c r="Q67" i="2" s="1"/>
  <c r="R67" i="2" s="1"/>
  <c r="S67" i="2" s="1"/>
  <c r="T67" i="2" s="1"/>
  <c r="U67" i="2" s="1"/>
  <c r="P59" i="2"/>
  <c r="Q59" i="2" s="1"/>
  <c r="R59" i="2" s="1"/>
  <c r="S59" i="2" s="1"/>
  <c r="T59" i="2" s="1"/>
  <c r="U59" i="2" s="1"/>
  <c r="P51" i="2"/>
  <c r="Q51" i="2" s="1"/>
  <c r="R51" i="2" s="1"/>
  <c r="S51" i="2" s="1"/>
  <c r="T51" i="2" s="1"/>
  <c r="U51" i="2" s="1"/>
  <c r="P40" i="2"/>
  <c r="Q40" i="2" s="1"/>
  <c r="R40" i="2" s="1"/>
  <c r="S40" i="2" s="1"/>
  <c r="T40" i="2" s="1"/>
  <c r="U40" i="2" s="1"/>
  <c r="P16" i="2"/>
  <c r="Q16" i="2" s="1"/>
  <c r="R16" i="2" s="1"/>
  <c r="S16" i="2" s="1"/>
  <c r="T16" i="2" s="1"/>
  <c r="U16" i="2" s="1"/>
  <c r="P8" i="2"/>
  <c r="Q8" i="2" s="1"/>
  <c r="R8" i="2" s="1"/>
  <c r="S8" i="2" s="1"/>
  <c r="T8" i="2" s="1"/>
  <c r="U8" i="2" s="1"/>
  <c r="P74" i="2"/>
  <c r="Q74" i="2" s="1"/>
  <c r="R74" i="2" s="1"/>
  <c r="S74" i="2" s="1"/>
  <c r="T74" i="2" s="1"/>
  <c r="U74" i="2" s="1"/>
  <c r="P66" i="2"/>
  <c r="Q66" i="2" s="1"/>
  <c r="R66" i="2" s="1"/>
  <c r="S66" i="2" s="1"/>
  <c r="T66" i="2" s="1"/>
  <c r="U66" i="2" s="1"/>
  <c r="P58" i="2"/>
  <c r="Q58" i="2" s="1"/>
  <c r="R58" i="2" s="1"/>
  <c r="S58" i="2" s="1"/>
  <c r="T58" i="2" s="1"/>
  <c r="U58" i="2" s="1"/>
  <c r="P31" i="2"/>
  <c r="Q31" i="2" s="1"/>
  <c r="R31" i="2" s="1"/>
  <c r="S31" i="2" s="1"/>
  <c r="T31" i="2" s="1"/>
  <c r="U31" i="2" s="1"/>
  <c r="P15" i="2"/>
  <c r="Q15" i="2" s="1"/>
  <c r="R15" i="2" s="1"/>
  <c r="S15" i="2" s="1"/>
  <c r="T15" i="2" s="1"/>
  <c r="U15" i="2" s="1"/>
  <c r="P7" i="2"/>
  <c r="Q7" i="2" s="1"/>
  <c r="R7" i="2" s="1"/>
  <c r="S7" i="2" s="1"/>
  <c r="T7" i="2" s="1"/>
  <c r="U7" i="2" s="1"/>
  <c r="P73" i="2"/>
  <c r="Q73" i="2" s="1"/>
  <c r="R73" i="2" s="1"/>
  <c r="S73" i="2" s="1"/>
  <c r="T73" i="2" s="1"/>
  <c r="U73" i="2" s="1"/>
  <c r="P65" i="2"/>
  <c r="Q65" i="2" s="1"/>
  <c r="R65" i="2" s="1"/>
  <c r="S65" i="2" s="1"/>
  <c r="T65" i="2" s="1"/>
  <c r="U65" i="2" s="1"/>
  <c r="P57" i="2"/>
  <c r="Q57" i="2" s="1"/>
  <c r="R57" i="2" s="1"/>
  <c r="S57" i="2" s="1"/>
  <c r="T57" i="2" s="1"/>
  <c r="U57" i="2" s="1"/>
  <c r="P49" i="2"/>
  <c r="Q49" i="2" s="1"/>
  <c r="R49" i="2" s="1"/>
  <c r="S49" i="2" s="1"/>
  <c r="T49" i="2" s="1"/>
  <c r="U49" i="2" s="1"/>
  <c r="P38" i="2"/>
  <c r="Q38" i="2" s="1"/>
  <c r="R38" i="2" s="1"/>
  <c r="S38" i="2" s="1"/>
  <c r="T38" i="2" s="1"/>
  <c r="U38" i="2" s="1"/>
  <c r="P30" i="2"/>
  <c r="Q30" i="2" s="1"/>
  <c r="R30" i="2" s="1"/>
  <c r="S30" i="2" s="1"/>
  <c r="T30" i="2" s="1"/>
  <c r="U30" i="2" s="1"/>
  <c r="P22" i="2"/>
  <c r="Q22" i="2" s="1"/>
  <c r="R22" i="2" s="1"/>
  <c r="S22" i="2" s="1"/>
  <c r="T22" i="2" s="1"/>
  <c r="U22" i="2" s="1"/>
  <c r="L6" i="3"/>
  <c r="M6" i="3" s="1"/>
  <c r="J38" i="1"/>
  <c r="K13" i="1"/>
  <c r="L28" i="3"/>
  <c r="M28" i="3" s="1"/>
  <c r="K41" i="3"/>
  <c r="M41" i="3" s="1"/>
  <c r="L25" i="3"/>
  <c r="M25" i="3" s="1"/>
  <c r="M10" i="3"/>
  <c r="J13" i="1"/>
  <c r="J32" i="1"/>
  <c r="K20" i="1"/>
  <c r="J20" i="1"/>
  <c r="K32" i="1"/>
  <c r="J44" i="1"/>
  <c r="K44" i="1"/>
  <c r="F44" i="1"/>
  <c r="G43" i="1"/>
  <c r="F50" i="1"/>
  <c r="G56" i="1"/>
  <c r="F56" i="1"/>
  <c r="G49" i="1"/>
  <c r="G50" i="1" s="1"/>
  <c r="F38" i="1"/>
  <c r="G36" i="1"/>
  <c r="F32" i="1"/>
  <c r="G30" i="1"/>
  <c r="F26" i="1"/>
  <c r="G24" i="1"/>
  <c r="G26" i="1" s="1"/>
  <c r="G20" i="1"/>
  <c r="F20" i="1"/>
  <c r="G13" i="1"/>
  <c r="F13" i="1"/>
  <c r="G38" i="1" l="1"/>
  <c r="M36" i="1"/>
  <c r="G44" i="1"/>
  <c r="M43" i="1"/>
  <c r="N13" i="1"/>
  <c r="O12" i="1"/>
  <c r="G32" i="1"/>
  <c r="M30" i="1"/>
  <c r="P42" i="1"/>
  <c r="Q17" i="1"/>
  <c r="Q20" i="1" s="1"/>
  <c r="P20" i="1"/>
  <c r="K42" i="3"/>
  <c r="M42" i="3" s="1"/>
  <c r="P12" i="1" l="1"/>
  <c r="O13" i="1"/>
  <c r="N43" i="1"/>
  <c r="M44" i="1"/>
  <c r="N36" i="1"/>
  <c r="M38" i="1"/>
  <c r="N30" i="1"/>
  <c r="M32" i="1"/>
  <c r="Q42" i="1"/>
  <c r="O36" i="1" l="1"/>
  <c r="N38" i="1"/>
  <c r="O43" i="1"/>
  <c r="N44" i="1"/>
  <c r="Q12" i="1"/>
  <c r="Q13" i="1" s="1"/>
  <c r="P13" i="1"/>
  <c r="O30" i="1"/>
  <c r="N32" i="1"/>
  <c r="P43" i="1" l="1"/>
  <c r="O44" i="1"/>
  <c r="P36" i="1"/>
  <c r="O38" i="1"/>
  <c r="O32" i="1"/>
  <c r="P30" i="1"/>
  <c r="Q36" i="1" l="1"/>
  <c r="Q38" i="1" s="1"/>
  <c r="P38" i="1"/>
  <c r="Q43" i="1"/>
  <c r="Q44" i="1" s="1"/>
  <c r="P44" i="1"/>
  <c r="Q30" i="1"/>
  <c r="Q32" i="1" s="1"/>
  <c r="P32" i="1"/>
</calcChain>
</file>

<file path=xl/sharedStrings.xml><?xml version="1.0" encoding="utf-8"?>
<sst xmlns="http://schemas.openxmlformats.org/spreadsheetml/2006/main" count="369" uniqueCount="249">
  <si>
    <t>Quick Ratio:</t>
  </si>
  <si>
    <t>Current Liabilities</t>
  </si>
  <si>
    <t>Current Assets</t>
  </si>
  <si>
    <t xml:space="preserve">Current Assets </t>
  </si>
  <si>
    <t>Inventory</t>
  </si>
  <si>
    <t>Quick Ratio</t>
  </si>
  <si>
    <t>Total Liabilities</t>
  </si>
  <si>
    <t xml:space="preserve">Debt to Equtiy Ratio </t>
  </si>
  <si>
    <t>Current Assets / Current Liabilities Formula</t>
  </si>
  <si>
    <t>Current Assets - Inventory / Current Liabilities Formula</t>
  </si>
  <si>
    <t xml:space="preserve">Reference </t>
  </si>
  <si>
    <t>(In millions)</t>
  </si>
  <si>
    <t>BUS 632</t>
  </si>
  <si>
    <t>Peter Chambers</t>
  </si>
  <si>
    <t>(in Millions)</t>
  </si>
  <si>
    <t>Asset to Equity Ratio</t>
  </si>
  <si>
    <t>Liabilities to Equity Ration</t>
  </si>
  <si>
    <t>Current Ratio</t>
  </si>
  <si>
    <t>Return on Asset Ratio</t>
  </si>
  <si>
    <t>Net Profit Margin</t>
  </si>
  <si>
    <t>Return on Equity Ratio</t>
  </si>
  <si>
    <t xml:space="preserve">Net Income </t>
  </si>
  <si>
    <t>Net Income / Sales Formula</t>
  </si>
  <si>
    <t>Net Profit Margin Ratio</t>
  </si>
  <si>
    <t>Net Income</t>
  </si>
  <si>
    <t>Assets</t>
  </si>
  <si>
    <t xml:space="preserve">Total Liabilities / Total Share Holder Equity Formula </t>
  </si>
  <si>
    <t>Other comprehensive loss, net of tax</t>
  </si>
  <si>
    <t>Liabilities and Equity</t>
  </si>
  <si>
    <t>Shareowners’ Equity:</t>
  </si>
  <si>
    <t>Net Sales:</t>
  </si>
  <si>
    <t>Costs and Expenses:</t>
  </si>
  <si>
    <t>Discontinued operations (Note 3):</t>
  </si>
  <si>
    <t>Earnings Per Share of Common Stock—Basic:</t>
  </si>
  <si>
    <t>Earnings Per Share of Common Stock—Diluted:</t>
  </si>
  <si>
    <t>Weighted average number of shares outstanding:</t>
  </si>
  <si>
    <t>Consolidated Statement of Operations</t>
  </si>
  <si>
    <t>P.36</t>
  </si>
  <si>
    <t>Consolidated Balance Sheet</t>
  </si>
  <si>
    <t>P.38</t>
  </si>
  <si>
    <t>Operating Activities of Continuing Operations:</t>
  </si>
  <si>
    <t>of continuing operations:</t>
  </si>
  <si>
    <t>Investing Activities of Continuing Operations:</t>
  </si>
  <si>
    <t>Financing Activities of Continuing Operations:</t>
  </si>
  <si>
    <t>Discontinued Operations:</t>
  </si>
  <si>
    <t>Supplemental Disclosure of Cash Flow Information:</t>
  </si>
  <si>
    <t>Noncash investing and financing activities include:</t>
  </si>
  <si>
    <t>Consolidated Statement of Cash Flows</t>
  </si>
  <si>
    <t>P.39</t>
  </si>
  <si>
    <t>—</t>
  </si>
  <si>
    <t xml:space="preserve">   Foreign currency translation adjustments</t>
  </si>
  <si>
    <t xml:space="preserve">   Pension and postretirement benefit plans</t>
  </si>
  <si>
    <t xml:space="preserve">   Unrealized gain (loss) on available-for-sale securities</t>
  </si>
  <si>
    <t xml:space="preserve">   Change in unrealized cash flow hedging</t>
  </si>
  <si>
    <t xml:space="preserve">   Product sales </t>
  </si>
  <si>
    <t xml:space="preserve">   Service sales </t>
  </si>
  <si>
    <t xml:space="preserve">   Cost of products sold </t>
  </si>
  <si>
    <t xml:space="preserve">   Cost of services sold </t>
  </si>
  <si>
    <t xml:space="preserve">   Research and development </t>
  </si>
  <si>
    <t xml:space="preserve">   Selling, general and administrative </t>
  </si>
  <si>
    <t xml:space="preserve">   Other income (expense), net </t>
  </si>
  <si>
    <t xml:space="preserve">Operating profit </t>
  </si>
  <si>
    <t xml:space="preserve">   Interest expense, net </t>
  </si>
  <si>
    <t xml:space="preserve">Income from continuing operations before income taxes </t>
  </si>
  <si>
    <t xml:space="preserve">   Income tax expense </t>
  </si>
  <si>
    <t xml:space="preserve">Net income from continuing operations </t>
  </si>
  <si>
    <t xml:space="preserve">   Less: Noncontrolling interest in subsidiaries’ earnings from continuing operations </t>
  </si>
  <si>
    <t xml:space="preserve">Income from continuing operations attributable to common shareowners </t>
  </si>
  <si>
    <t xml:space="preserve">   Income from operations </t>
  </si>
  <si>
    <t xml:space="preserve">   Gain on disposal </t>
  </si>
  <si>
    <t xml:space="preserve">   Net (loss) income from discontinued operations </t>
  </si>
  <si>
    <t xml:space="preserve">   Less: Noncontrolling interest in subsidiaries’ (loss) earnings from discontinued operations </t>
  </si>
  <si>
    <t xml:space="preserve">— </t>
  </si>
  <si>
    <t xml:space="preserve">(Loss) Income from discontinued operations attributable to common shareowners </t>
  </si>
  <si>
    <t xml:space="preserve">Net income attributable to common shareowners </t>
  </si>
  <si>
    <t xml:space="preserve">   Net income from continuing operations attributable to common shareowners</t>
  </si>
  <si>
    <t xml:space="preserve">   Net income attributable to common shareowners </t>
  </si>
  <si>
    <t xml:space="preserve">   Net income from continuing operations attributable to common shareowners </t>
  </si>
  <si>
    <t>Dividends Per Share of Common Stock</t>
  </si>
  <si>
    <t xml:space="preserve">   Basic shares </t>
  </si>
  <si>
    <t xml:space="preserve">   Diluted shares </t>
  </si>
  <si>
    <t>Net (loss) income from discontinued operations</t>
  </si>
  <si>
    <t xml:space="preserve">   Net income</t>
  </si>
  <si>
    <t xml:space="preserve">      Foreign currency translation adjustments arising during period </t>
  </si>
  <si>
    <t xml:space="preserve">      Reclassification adjustments from sale of an investment in a foreign entity recognized in net income </t>
  </si>
  <si>
    <t xml:space="preserve">      Net actuarial loss arising during period </t>
  </si>
  <si>
    <t xml:space="preserve">      Prior service cost arising during period </t>
  </si>
  <si>
    <t xml:space="preserve">      Other</t>
  </si>
  <si>
    <t xml:space="preserve">      Amortization of actuarial loss and prior service cost</t>
  </si>
  <si>
    <t xml:space="preserve">   Tax (expense) benefit</t>
  </si>
  <si>
    <t xml:space="preserve">      Unrealized holding gain arising during period </t>
  </si>
  <si>
    <t xml:space="preserve">      Reclassification adjustments for gain included in Other income, net</t>
  </si>
  <si>
    <t xml:space="preserve">   Tax (expense) benefit </t>
  </si>
  <si>
    <t xml:space="preserve">      Unrealized cash flow hedging gain (loss) arising during period </t>
  </si>
  <si>
    <t xml:space="preserve">      Loss reclassified into Product sales</t>
  </si>
  <si>
    <t>Comprehensive income</t>
  </si>
  <si>
    <t xml:space="preserve">   Less: comprehensive income attributable to noncontrolling interest </t>
  </si>
  <si>
    <t xml:space="preserve">Comprehensive income attributable to common shareowners </t>
  </si>
  <si>
    <t xml:space="preserve">      Capital Stock:</t>
  </si>
  <si>
    <t xml:space="preserve">   Income from continuing operations</t>
  </si>
  <si>
    <t xml:space="preserve">   Adjustments to reconcile income from continuing operations to net cash flows provided by operating activities</t>
  </si>
  <si>
    <t xml:space="preserve">      Depreciation and amortization </t>
  </si>
  <si>
    <t xml:space="preserve">      Deferred income tax provision </t>
  </si>
  <si>
    <t xml:space="preserve">      Stock compensation cost </t>
  </si>
  <si>
    <t xml:space="preserve">      Canadian government settlement </t>
  </si>
  <si>
    <t xml:space="preserve">   Change in:</t>
  </si>
  <si>
    <t xml:space="preserve">      Accounts receivable </t>
  </si>
  <si>
    <t xml:space="preserve">      Inventories and contracts in progress </t>
  </si>
  <si>
    <t xml:space="preserve">      Other current assets </t>
  </si>
  <si>
    <t xml:space="preserve">      Accounts payable and accrued liabilities </t>
  </si>
  <si>
    <t xml:space="preserve">   Global pension contributions </t>
  </si>
  <si>
    <t xml:space="preserve">   Other operating activities, net </t>
  </si>
  <si>
    <t xml:space="preserve">      Net cash flows provided by operating activities of continuing operations</t>
  </si>
  <si>
    <t xml:space="preserve">      Net cash flows used in investing activities of continuing operations </t>
  </si>
  <si>
    <t xml:space="preserve">   Capital expenditures</t>
  </si>
  <si>
    <t xml:space="preserve">   Increase in customer financing assets </t>
  </si>
  <si>
    <t xml:space="preserve">   Decrease in customer financing assets </t>
  </si>
  <si>
    <t xml:space="preserve">   Investments in businesses</t>
  </si>
  <si>
    <t xml:space="preserve">   Dispositions of businesses </t>
  </si>
  <si>
    <t xml:space="preserve">   Increase in collaboration intangible assets </t>
  </si>
  <si>
    <t xml:space="preserve">   Receipts from settlements of derivative contracts </t>
  </si>
  <si>
    <t xml:space="preserve">   Other investing activities, net </t>
  </si>
  <si>
    <t xml:space="preserve">   Issuance of long-term debt </t>
  </si>
  <si>
    <t xml:space="preserve">   Repayment of long-term debt </t>
  </si>
  <si>
    <t xml:space="preserve">   (Decrease) increase in short-term borrowings, net </t>
  </si>
  <si>
    <t xml:space="preserve">   Proceeds from Common Stock issuance— equity unit settlement </t>
  </si>
  <si>
    <t xml:space="preserve">   Proceeds from Common Stock issued under employee stock plans </t>
  </si>
  <si>
    <t xml:space="preserve">   Dividends paid on Common Stock </t>
  </si>
  <si>
    <t xml:space="preserve">   Repurchase of Common Stock </t>
  </si>
  <si>
    <t xml:space="preserve">   Other financing activities, net (564) (508) (336)</t>
  </si>
  <si>
    <t xml:space="preserve">      Net cash flows used in financing activities of continuing operations </t>
  </si>
  <si>
    <t xml:space="preserve">   Net cash (used in) provided by operating activities </t>
  </si>
  <si>
    <t xml:space="preserve">   Net cash provided by (used in) investing activities </t>
  </si>
  <si>
    <t xml:space="preserve">   Net cash used in financing activities </t>
  </si>
  <si>
    <t xml:space="preserve">      Net cash flows (used in) provided by discontinued operations </t>
  </si>
  <si>
    <t xml:space="preserve">Effect of foreign exchange rate changes on cash and cash equivalents </t>
  </si>
  <si>
    <t xml:space="preserve">      Net increase in cash, cash equivalents and restricted cash </t>
  </si>
  <si>
    <t xml:space="preserve">Cash, cash equivalents and restricted cash, beginning of year </t>
  </si>
  <si>
    <t xml:space="preserve">Cash, cash equivalents and restricted cash, end of year </t>
  </si>
  <si>
    <t xml:space="preserve">   Less: Cash and cash equivalents of businesses held for sale</t>
  </si>
  <si>
    <t xml:space="preserve">   Less: Restricted cash, included in Other assets </t>
  </si>
  <si>
    <t xml:space="preserve">Cash and cash equivalents of continuing operations, end of year </t>
  </si>
  <si>
    <t xml:space="preserve">   Interest paid, net of amounts capitalized </t>
  </si>
  <si>
    <t xml:space="preserve">   Income taxes paid, net of refunds </t>
  </si>
  <si>
    <t xml:space="preserve">   Contributions of UTC Common Stock to domestic defined benefit pension plans </t>
  </si>
  <si>
    <t xml:space="preserve"> $ —</t>
  </si>
  <si>
    <t xml:space="preserve">Cash and cash equivalents </t>
  </si>
  <si>
    <t xml:space="preserve">Accounts receivable (net of allowance for doubtful accounts of $450 and $504) </t>
  </si>
  <si>
    <t>Inventories and contracts in progress, net</t>
  </si>
  <si>
    <t xml:space="preserve">Other assets, current </t>
  </si>
  <si>
    <t xml:space="preserve">      Total Current Assets </t>
  </si>
  <si>
    <t xml:space="preserve">Customer financing assets </t>
  </si>
  <si>
    <t xml:space="preserve">Future income tax benefits </t>
  </si>
  <si>
    <t xml:space="preserve">Fixed assets, net </t>
  </si>
  <si>
    <t xml:space="preserve">Goodwill </t>
  </si>
  <si>
    <t xml:space="preserve">Intangible assets, net </t>
  </si>
  <si>
    <t xml:space="preserve">Other assets </t>
  </si>
  <si>
    <t xml:space="preserve">   Total Assets </t>
  </si>
  <si>
    <t xml:space="preserve">Short-term borrowings </t>
  </si>
  <si>
    <t>Accounts payable</t>
  </si>
  <si>
    <t>Accrued liabilities</t>
  </si>
  <si>
    <t>Long-term debt currently due</t>
  </si>
  <si>
    <t xml:space="preserve">      Total Current Liabilities </t>
  </si>
  <si>
    <t xml:space="preserve">Long-term debt </t>
  </si>
  <si>
    <t xml:space="preserve">Future pension and postretirement benefit obligations </t>
  </si>
  <si>
    <t xml:space="preserve">Other long-term liabilities </t>
  </si>
  <si>
    <t xml:space="preserve">   Total Liabilities </t>
  </si>
  <si>
    <t xml:space="preserve">Redeemable noncontrolling interest </t>
  </si>
  <si>
    <t xml:space="preserve">        Preferred Stock, $1 par value; 250,000 shares authorized; None issued or outstanding </t>
  </si>
  <si>
    <t xml:space="preserve"> —</t>
  </si>
  <si>
    <t xml:space="preserve">        Common Stock, $1 par value; 4,000,000 shares authorized; 1,440,982 and 1,438,497 shares issued</t>
  </si>
  <si>
    <t xml:space="preserve">      Treasury Stock— 632,281 and 600,153 common shares at average cost</t>
  </si>
  <si>
    <t xml:space="preserve">      Retained earnings </t>
  </si>
  <si>
    <t xml:space="preserve">      Unearned ESOP shares </t>
  </si>
  <si>
    <t xml:space="preserve">      Total Accumulated other comprehensive loss </t>
  </si>
  <si>
    <t xml:space="preserve">   Total Shareowners’ Equity </t>
  </si>
  <si>
    <t>Noncontrolling interest</t>
  </si>
  <si>
    <t xml:space="preserve">   Total Equity</t>
  </si>
  <si>
    <t xml:space="preserve">   Total Liabilities and Equity</t>
  </si>
  <si>
    <t>Balance sheet</t>
  </si>
  <si>
    <t>income sta</t>
  </si>
  <si>
    <t>income st</t>
  </si>
  <si>
    <t>SEGMENT REVIEW</t>
  </si>
  <si>
    <t xml:space="preserve">Otis    </t>
  </si>
  <si>
    <t>Net Sales</t>
  </si>
  <si>
    <t xml:space="preserve"> Operating Profits</t>
  </si>
  <si>
    <t xml:space="preserve"> </t>
  </si>
  <si>
    <t>Operating Profit Margin</t>
  </si>
  <si>
    <t>UTC Climate, Controls &amp; Security  2,936 2,782 17.5% 17.6% 16.5%</t>
  </si>
  <si>
    <t>Pratt &amp; Whitney  6.1% 13.8%</t>
  </si>
  <si>
    <t xml:space="preserve">UTC Aerospace Systems </t>
  </si>
  <si>
    <t>Total segment  14.1% 16.7%</t>
  </si>
  <si>
    <t xml:space="preserve">Eliminations and other </t>
  </si>
  <si>
    <t xml:space="preserve">General corporate expenses </t>
  </si>
  <si>
    <t xml:space="preserve">Consolidated </t>
  </si>
  <si>
    <t xml:space="preserve">(In millions) </t>
  </si>
  <si>
    <t>-</t>
  </si>
  <si>
    <t xml:space="preserve">Commitments and contingent liabilities </t>
  </si>
  <si>
    <t>(Notes 5 and 18)</t>
  </si>
  <si>
    <t>Total Revenue or "Total Sales"</t>
  </si>
  <si>
    <t>Net Income / Shareholder's Equity (Average Assets)</t>
  </si>
  <si>
    <t>Shareholder's Equity (Average Assets)</t>
  </si>
  <si>
    <t>Total Assets / Equity Formula</t>
  </si>
  <si>
    <t>Total Assets</t>
  </si>
  <si>
    <t>Total Equity</t>
  </si>
  <si>
    <t>Total Liabilities / Equity Formula</t>
  </si>
  <si>
    <t>Net Income / Total Assets Formula</t>
  </si>
  <si>
    <t>Average Total Asset</t>
  </si>
  <si>
    <t>Felipe Fernandes</t>
  </si>
  <si>
    <t>Juan Dzul</t>
  </si>
  <si>
    <t>Gordon Williams</t>
  </si>
  <si>
    <t>Total Shareholder''s Equity</t>
  </si>
  <si>
    <t>United Technologies UTX</t>
  </si>
  <si>
    <t>United Technologies Corporation - AnnualReports.com. (2016, December 31). United Technologies Corporation. https://www.annualreports.com/Company/united-technologies-corporation</t>
  </si>
  <si>
    <t>3% Growth</t>
  </si>
  <si>
    <t>3% Growh</t>
  </si>
  <si>
    <t>1st Scenario:</t>
  </si>
  <si>
    <t>Unit 7-8</t>
  </si>
  <si>
    <t>1. Forecast out to 2018 a 3% &amp; selrct 5 Ratios</t>
  </si>
  <si>
    <t>Variance with sale (2017-2018)</t>
  </si>
  <si>
    <t xml:space="preserve">Total Common Equity </t>
  </si>
  <si>
    <t>Debt to Equity Ratio</t>
  </si>
  <si>
    <t>15billion +</t>
  </si>
  <si>
    <t>20billion +</t>
  </si>
  <si>
    <t>1.A question</t>
  </si>
  <si>
    <t>Computation that show the variance</t>
  </si>
  <si>
    <t>Consolidated Statement of Comprehensive Income P.37</t>
  </si>
  <si>
    <t>1.A</t>
  </si>
  <si>
    <t>3% Growth Projection</t>
  </si>
  <si>
    <t>2. The sale of P&amp;W for 15B in cash &amp; 5B debt results:</t>
  </si>
  <si>
    <t>Sale of Pratt &amp; Whitney</t>
  </si>
  <si>
    <t>Sale of Pratt Whitney Operating Profits</t>
  </si>
  <si>
    <t>SEGMENT REVIEW After the sale of Pratt &amp; Whitney</t>
  </si>
  <si>
    <t>UTX proposed sale of Pratt &amp; Whitney White Paper.</t>
  </si>
  <si>
    <t>Non sale of P&amp;W growth rate</t>
  </si>
  <si>
    <t>Statista. (2021, June 1). Gross domestic product (GDP) growth rate in the United States 2026. https://www.statista.com/statistics/263614/gross-domestic-product-gdp-growth-rate-in-the-united-states/</t>
  </si>
  <si>
    <t>No Sale of P&amp;W</t>
  </si>
  <si>
    <t>Sale of P&amp;W</t>
  </si>
  <si>
    <t>2. The sale of P&amp;W for 15B in cash &amp; 5B debt:</t>
  </si>
  <si>
    <t>2. The sale P&amp;W 15B in cash &amp; 5B debt:</t>
  </si>
  <si>
    <t>2.16% GDP</t>
  </si>
  <si>
    <r>
      <t>(</t>
    </r>
    <r>
      <rPr>
        <b/>
        <sz val="12"/>
        <color rgb="FFFF0000"/>
        <rFont val="Times New Roman"/>
        <family val="1"/>
      </rPr>
      <t>-3.51</t>
    </r>
    <r>
      <rPr>
        <b/>
        <sz val="12"/>
        <color theme="1"/>
        <rFont val="Times New Roman"/>
        <family val="1"/>
      </rPr>
      <t>)% GDP</t>
    </r>
  </si>
  <si>
    <t>6.39% GDP</t>
  </si>
  <si>
    <t>3.52% GDP</t>
  </si>
  <si>
    <t>1.41% GDP</t>
  </si>
  <si>
    <t>Unit 8 Second Part of the Final Project</t>
  </si>
  <si>
    <t>Unit 8 Second Part of the Final Projected Growth</t>
  </si>
  <si>
    <t>5Billion+</t>
  </si>
  <si>
    <t>1.B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</si>
</sst>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0.0"/>
    <numFmt numFmtId="165" formatCode="_(* #,##0.000_);_(* \(#,##0.000\);_(* &quot;-&quot;??_);_(@_)"/>
    <numFmt numFmtId="166" formatCode="0.0000"/>
    <numFmt numFmtId="167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u/>
      <sz val="12"/>
      <color rgb="FF000000"/>
      <name val="Times New Roman"/>
      <family val="1"/>
    </font>
    <font>
      <b/>
      <sz val="12"/>
      <color rgb="FFFF0000"/>
      <name val="Times New Roman"/>
      <family val="1"/>
    </font>
    <font>
      <sz val="11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2">
    <xf numFmtId="0" fontId="0" fillId="0" borderId="0" xfId="0"/>
    <xf numFmtId="0" fontId="0" fillId="0" borderId="0" xfId="0" applyFill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2" borderId="0" xfId="0" applyFill="1" applyBorder="1"/>
    <xf numFmtId="0" fontId="0" fillId="3" borderId="0" xfId="0" applyFill="1"/>
    <xf numFmtId="0" fontId="3" fillId="0" borderId="0" xfId="0" applyFont="1"/>
    <xf numFmtId="0" fontId="4" fillId="0" borderId="0" xfId="0" applyFont="1"/>
    <xf numFmtId="15" fontId="4" fillId="0" borderId="0" xfId="0" applyNumberFormat="1" applyFont="1"/>
    <xf numFmtId="0" fontId="3" fillId="0" borderId="0" xfId="0" applyFont="1" applyBorder="1"/>
    <xf numFmtId="3" fontId="3" fillId="0" borderId="0" xfId="0" applyNumberFormat="1" applyFont="1" applyBorder="1"/>
    <xf numFmtId="3" fontId="3" fillId="0" borderId="10" xfId="0" applyNumberFormat="1" applyFont="1" applyBorder="1"/>
    <xf numFmtId="0" fontId="4" fillId="0" borderId="1" xfId="0" applyFont="1" applyBorder="1"/>
    <xf numFmtId="0" fontId="4" fillId="0" borderId="0" xfId="0" applyFont="1" applyBorder="1" applyAlignment="1"/>
    <xf numFmtId="2" fontId="4" fillId="0" borderId="2" xfId="0" applyNumberFormat="1" applyFont="1" applyBorder="1"/>
    <xf numFmtId="0" fontId="3" fillId="3" borderId="0" xfId="0" applyFont="1" applyFill="1"/>
    <xf numFmtId="0" fontId="4" fillId="3" borderId="0" xfId="0" applyFont="1" applyFill="1"/>
    <xf numFmtId="0" fontId="4" fillId="3" borderId="0" xfId="0" applyFont="1" applyFill="1" applyBorder="1"/>
    <xf numFmtId="0" fontId="4" fillId="0" borderId="1" xfId="0" applyFont="1" applyBorder="1" applyAlignment="1"/>
    <xf numFmtId="164" fontId="4" fillId="0" borderId="2" xfId="0" applyNumberFormat="1" applyFont="1" applyBorder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  <xf numFmtId="6" fontId="3" fillId="0" borderId="7" xfId="0" applyNumberFormat="1" applyFont="1" applyBorder="1"/>
    <xf numFmtId="0" fontId="4" fillId="0" borderId="1" xfId="0" applyFont="1" applyBorder="1" applyAlignment="1">
      <alignment horizontal="left" wrapText="1"/>
    </xf>
    <xf numFmtId="2" fontId="4" fillId="0" borderId="2" xfId="0" applyNumberFormat="1" applyFont="1" applyBorder="1" applyAlignment="1">
      <alignment horizontal="right" wrapText="1"/>
    </xf>
    <xf numFmtId="0" fontId="3" fillId="0" borderId="0" xfId="0" applyFont="1" applyFill="1"/>
    <xf numFmtId="0" fontId="3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center" wrapText="1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9" xfId="0" applyFont="1" applyBorder="1"/>
    <xf numFmtId="0" fontId="3" fillId="0" borderId="10" xfId="0" applyFont="1" applyBorder="1"/>
    <xf numFmtId="0" fontId="3" fillId="0" borderId="6" xfId="0" applyFont="1" applyBorder="1"/>
    <xf numFmtId="0" fontId="3" fillId="0" borderId="7" xfId="0" applyFont="1" applyBorder="1"/>
    <xf numFmtId="0" fontId="3" fillId="2" borderId="0" xfId="0" applyFont="1" applyFill="1" applyBorder="1"/>
    <xf numFmtId="0" fontId="3" fillId="0" borderId="4" xfId="0" applyFont="1" applyBorder="1"/>
    <xf numFmtId="0" fontId="3" fillId="0" borderId="8" xfId="0" applyFont="1" applyBorder="1"/>
    <xf numFmtId="0" fontId="3" fillId="0" borderId="5" xfId="0" applyFont="1" applyBorder="1"/>
    <xf numFmtId="0" fontId="3" fillId="4" borderId="6" xfId="0" applyFont="1" applyFill="1" applyBorder="1"/>
    <xf numFmtId="0" fontId="3" fillId="4" borderId="9" xfId="0" applyFont="1" applyFill="1" applyBorder="1"/>
    <xf numFmtId="0" fontId="0" fillId="4" borderId="9" xfId="0" applyFill="1" applyBorder="1"/>
    <xf numFmtId="0" fontId="3" fillId="4" borderId="0" xfId="0" applyFont="1" applyFill="1"/>
    <xf numFmtId="0" fontId="0" fillId="4" borderId="0" xfId="0" applyFill="1"/>
    <xf numFmtId="0" fontId="3" fillId="0" borderId="12" xfId="0" applyFont="1" applyBorder="1"/>
    <xf numFmtId="0" fontId="3" fillId="0" borderId="13" xfId="0" applyFont="1" applyBorder="1"/>
    <xf numFmtId="0" fontId="3" fillId="0" borderId="20" xfId="0" applyFont="1" applyBorder="1"/>
    <xf numFmtId="0" fontId="3" fillId="5" borderId="3" xfId="0" applyFont="1" applyFill="1" applyBorder="1"/>
    <xf numFmtId="0" fontId="0" fillId="5" borderId="3" xfId="0" applyFill="1" applyBorder="1"/>
    <xf numFmtId="0" fontId="3" fillId="5" borderId="0" xfId="0" applyFont="1" applyFill="1" applyBorder="1"/>
    <xf numFmtId="0" fontId="0" fillId="5" borderId="0" xfId="0" applyFill="1" applyBorder="1"/>
    <xf numFmtId="3" fontId="3" fillId="4" borderId="20" xfId="0" applyNumberFormat="1" applyFont="1" applyFill="1" applyBorder="1"/>
    <xf numFmtId="8" fontId="3" fillId="0" borderId="17" xfId="0" applyNumberFormat="1" applyFont="1" applyBorder="1"/>
    <xf numFmtId="0" fontId="3" fillId="4" borderId="3" xfId="0" applyFont="1" applyFill="1" applyBorder="1"/>
    <xf numFmtId="0" fontId="3" fillId="0" borderId="24" xfId="0" applyFont="1" applyBorder="1"/>
    <xf numFmtId="0" fontId="4" fillId="0" borderId="0" xfId="0" applyFont="1" applyBorder="1"/>
    <xf numFmtId="0" fontId="4" fillId="5" borderId="11" xfId="0" applyFont="1" applyFill="1" applyBorder="1"/>
    <xf numFmtId="8" fontId="3" fillId="0" borderId="17" xfId="0" applyNumberFormat="1" applyFont="1" applyFill="1" applyBorder="1"/>
    <xf numFmtId="166" fontId="4" fillId="0" borderId="2" xfId="0" applyNumberFormat="1" applyFont="1" applyBorder="1"/>
    <xf numFmtId="166" fontId="4" fillId="0" borderId="2" xfId="0" applyNumberFormat="1" applyFont="1" applyBorder="1" applyAlignment="1">
      <alignment horizontal="center" wrapText="1"/>
    </xf>
    <xf numFmtId="0" fontId="3" fillId="6" borderId="0" xfId="0" applyFont="1" applyFill="1"/>
    <xf numFmtId="0" fontId="3" fillId="6" borderId="0" xfId="0" applyFont="1" applyFill="1" applyAlignment="1">
      <alignment horizontal="left" wrapText="1"/>
    </xf>
    <xf numFmtId="0" fontId="3" fillId="0" borderId="27" xfId="0" applyFont="1" applyBorder="1"/>
    <xf numFmtId="0" fontId="3" fillId="0" borderId="28" xfId="0" applyFont="1" applyBorder="1"/>
    <xf numFmtId="0" fontId="3" fillId="0" borderId="29" xfId="0" applyFont="1" applyBorder="1"/>
    <xf numFmtId="0" fontId="4" fillId="4" borderId="0" xfId="0" applyFont="1" applyFill="1"/>
    <xf numFmtId="0" fontId="4" fillId="0" borderId="0" xfId="0" applyFont="1" applyFill="1"/>
    <xf numFmtId="0" fontId="3" fillId="0" borderId="0" xfId="0" applyFont="1" applyFill="1" applyBorder="1" applyAlignment="1"/>
    <xf numFmtId="8" fontId="3" fillId="0" borderId="0" xfId="0" applyNumberFormat="1" applyFont="1" applyBorder="1"/>
    <xf numFmtId="8" fontId="3" fillId="0" borderId="0" xfId="0" applyNumberFormat="1" applyFont="1" applyFill="1" applyBorder="1"/>
    <xf numFmtId="0" fontId="4" fillId="5" borderId="0" xfId="0" applyFont="1" applyFill="1" applyBorder="1"/>
    <xf numFmtId="0" fontId="3" fillId="0" borderId="0" xfId="0" applyFont="1" applyFill="1" applyBorder="1"/>
    <xf numFmtId="0" fontId="0" fillId="0" borderId="0" xfId="0" applyFill="1" applyBorder="1"/>
    <xf numFmtId="0" fontId="0" fillId="4" borderId="0" xfId="0" applyFill="1" applyBorder="1"/>
    <xf numFmtId="3" fontId="3" fillId="0" borderId="0" xfId="0" applyNumberFormat="1" applyFont="1" applyFill="1" applyBorder="1"/>
    <xf numFmtId="0" fontId="7" fillId="0" borderId="0" xfId="0" applyFont="1" applyFill="1"/>
    <xf numFmtId="0" fontId="4" fillId="0" borderId="0" xfId="0" applyFont="1" applyFill="1" applyBorder="1"/>
    <xf numFmtId="0" fontId="0" fillId="0" borderId="3" xfId="0" applyFill="1" applyBorder="1"/>
    <xf numFmtId="8" fontId="3" fillId="0" borderId="14" xfId="0" applyNumberFormat="1" applyFont="1" applyBorder="1"/>
    <xf numFmtId="8" fontId="3" fillId="0" borderId="14" xfId="0" applyNumberFormat="1" applyFont="1" applyFill="1" applyBorder="1"/>
    <xf numFmtId="0" fontId="3" fillId="0" borderId="10" xfId="0" applyFont="1" applyFill="1" applyBorder="1"/>
    <xf numFmtId="0" fontId="0" fillId="0" borderId="36" xfId="0" applyBorder="1"/>
    <xf numFmtId="0" fontId="3" fillId="0" borderId="36" xfId="0" applyFont="1" applyBorder="1"/>
    <xf numFmtId="0" fontId="3" fillId="0" borderId="25" xfId="0" applyFont="1" applyBorder="1"/>
    <xf numFmtId="0" fontId="3" fillId="0" borderId="30" xfId="0" applyFont="1" applyBorder="1"/>
    <xf numFmtId="6" fontId="4" fillId="0" borderId="0" xfId="0" applyNumberFormat="1" applyFont="1" applyBorder="1"/>
    <xf numFmtId="6" fontId="3" fillId="0" borderId="0" xfId="0" applyNumberFormat="1" applyFont="1" applyBorder="1"/>
    <xf numFmtId="10" fontId="4" fillId="0" borderId="0" xfId="0" applyNumberFormat="1" applyFont="1" applyBorder="1"/>
    <xf numFmtId="10" fontId="3" fillId="0" borderId="0" xfId="0" applyNumberFormat="1" applyFont="1" applyBorder="1"/>
    <xf numFmtId="6" fontId="4" fillId="0" borderId="0" xfId="0" applyNumberFormat="1" applyFont="1" applyFill="1" applyBorder="1"/>
    <xf numFmtId="6" fontId="3" fillId="0" borderId="0" xfId="0" applyNumberFormat="1" applyFont="1" applyFill="1" applyBorder="1"/>
    <xf numFmtId="9" fontId="3" fillId="0" borderId="0" xfId="2" applyFont="1" applyFill="1" applyBorder="1"/>
    <xf numFmtId="0" fontId="3" fillId="0" borderId="30" xfId="0" applyFont="1" applyFill="1" applyBorder="1"/>
    <xf numFmtId="0" fontId="3" fillId="0" borderId="3" xfId="0" applyFont="1" applyBorder="1"/>
    <xf numFmtId="0" fontId="3" fillId="0" borderId="9" xfId="0" applyFont="1" applyFill="1" applyBorder="1"/>
    <xf numFmtId="0" fontId="3" fillId="8" borderId="0" xfId="0" applyFont="1" applyFill="1" applyBorder="1"/>
    <xf numFmtId="6" fontId="3" fillId="0" borderId="20" xfId="0" applyNumberFormat="1" applyFont="1" applyBorder="1" applyAlignment="1">
      <alignment horizontal="center"/>
    </xf>
    <xf numFmtId="6" fontId="3" fillId="0" borderId="18" xfId="0" applyNumberFormat="1" applyFont="1" applyBorder="1" applyAlignment="1">
      <alignment horizontal="center"/>
    </xf>
    <xf numFmtId="6" fontId="3" fillId="0" borderId="20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8" fontId="3" fillId="0" borderId="3" xfId="0" applyNumberFormat="1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8" fontId="3" fillId="0" borderId="20" xfId="0" applyNumberFormat="1" applyFont="1" applyBorder="1" applyAlignment="1">
      <alignment horizontal="center"/>
    </xf>
    <xf numFmtId="6" fontId="3" fillId="0" borderId="19" xfId="0" applyNumberFormat="1" applyFont="1" applyBorder="1" applyAlignment="1">
      <alignment horizontal="center"/>
    </xf>
    <xf numFmtId="8" fontId="3" fillId="0" borderId="0" xfId="0" applyNumberFormat="1" applyFont="1" applyBorder="1" applyAlignment="1">
      <alignment horizontal="center"/>
    </xf>
    <xf numFmtId="8" fontId="3" fillId="0" borderId="17" xfId="0" applyNumberFormat="1" applyFont="1" applyBorder="1" applyAlignment="1">
      <alignment horizontal="center"/>
    </xf>
    <xf numFmtId="8" fontId="3" fillId="0" borderId="20" xfId="0" applyNumberFormat="1" applyFont="1" applyFill="1" applyBorder="1" applyAlignment="1">
      <alignment horizontal="center"/>
    </xf>
    <xf numFmtId="8" fontId="3" fillId="0" borderId="17" xfId="0" applyNumberFormat="1" applyFont="1" applyFill="1" applyBorder="1" applyAlignment="1">
      <alignment horizontal="center"/>
    </xf>
    <xf numFmtId="8" fontId="3" fillId="0" borderId="0" xfId="0" applyNumberFormat="1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8" borderId="0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8" fontId="3" fillId="8" borderId="0" xfId="0" applyNumberFormat="1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8" fontId="3" fillId="0" borderId="30" xfId="0" applyNumberFormat="1" applyFont="1" applyBorder="1" applyAlignment="1">
      <alignment horizontal="center"/>
    </xf>
    <xf numFmtId="8" fontId="3" fillId="0" borderId="24" xfId="0" applyNumberFormat="1" applyFont="1" applyFill="1" applyBorder="1" applyAlignment="1">
      <alignment horizontal="center"/>
    </xf>
    <xf numFmtId="8" fontId="3" fillId="0" borderId="24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7" xfId="0" applyFont="1" applyFill="1" applyBorder="1" applyAlignment="1">
      <alignment horizontal="center"/>
    </xf>
    <xf numFmtId="165" fontId="4" fillId="0" borderId="32" xfId="1" applyNumberFormat="1" applyFont="1" applyBorder="1" applyAlignment="1">
      <alignment horizontal="center"/>
    </xf>
    <xf numFmtId="165" fontId="4" fillId="0" borderId="26" xfId="1" applyNumberFormat="1" applyFont="1" applyBorder="1" applyAlignment="1">
      <alignment horizontal="center"/>
    </xf>
    <xf numFmtId="165" fontId="4" fillId="0" borderId="23" xfId="1" applyNumberFormat="1" applyFont="1" applyBorder="1" applyAlignment="1">
      <alignment horizontal="center"/>
    </xf>
    <xf numFmtId="165" fontId="4" fillId="0" borderId="2" xfId="1" applyNumberFormat="1" applyFont="1" applyBorder="1" applyAlignment="1">
      <alignment horizontal="center"/>
    </xf>
    <xf numFmtId="165" fontId="4" fillId="0" borderId="0" xfId="1" applyNumberFormat="1" applyFont="1" applyFill="1" applyBorder="1" applyAlignment="1">
      <alignment horizontal="center"/>
    </xf>
    <xf numFmtId="165" fontId="4" fillId="0" borderId="11" xfId="1" applyNumberFormat="1" applyFont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17" xfId="0" applyFont="1" applyBorder="1" applyAlignment="1">
      <alignment horizontal="center"/>
    </xf>
    <xf numFmtId="43" fontId="4" fillId="0" borderId="11" xfId="1" applyFont="1" applyBorder="1" applyAlignment="1">
      <alignment horizontal="center"/>
    </xf>
    <xf numFmtId="43" fontId="4" fillId="0" borderId="4" xfId="1" applyFont="1" applyBorder="1" applyAlignment="1">
      <alignment horizontal="center"/>
    </xf>
    <xf numFmtId="43" fontId="4" fillId="0" borderId="0" xfId="1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3" fontId="3" fillId="4" borderId="20" xfId="0" applyNumberFormat="1" applyFont="1" applyFill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2" fontId="4" fillId="0" borderId="4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2" fontId="4" fillId="7" borderId="2" xfId="0" applyNumberFormat="1" applyFont="1" applyFill="1" applyBorder="1" applyAlignment="1">
      <alignment horizontal="center"/>
    </xf>
    <xf numFmtId="43" fontId="4" fillId="3" borderId="0" xfId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4" xfId="0" applyFont="1" applyFill="1" applyBorder="1" applyAlignment="1">
      <alignment horizontal="center"/>
    </xf>
    <xf numFmtId="9" fontId="4" fillId="0" borderId="11" xfId="2" applyFont="1" applyBorder="1" applyAlignment="1">
      <alignment horizontal="center"/>
    </xf>
    <xf numFmtId="9" fontId="4" fillId="0" borderId="2" xfId="2" applyFont="1" applyBorder="1" applyAlignment="1">
      <alignment horizontal="center"/>
    </xf>
    <xf numFmtId="167" fontId="4" fillId="0" borderId="0" xfId="1" applyNumberFormat="1" applyFont="1" applyFill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2" fontId="4" fillId="0" borderId="11" xfId="0" applyNumberFormat="1" applyFont="1" applyBorder="1" applyAlignment="1">
      <alignment horizontal="center"/>
    </xf>
    <xf numFmtId="167" fontId="4" fillId="0" borderId="11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/>
    </xf>
    <xf numFmtId="167" fontId="4" fillId="0" borderId="0" xfId="0" applyNumberFormat="1" applyFont="1" applyBorder="1" applyAlignment="1">
      <alignment horizontal="center"/>
    </xf>
    <xf numFmtId="6" fontId="3" fillId="0" borderId="22" xfId="0" applyNumberFormat="1" applyFont="1" applyBorder="1" applyAlignment="1">
      <alignment horizontal="center"/>
    </xf>
    <xf numFmtId="6" fontId="3" fillId="0" borderId="22" xfId="0" applyNumberFormat="1" applyFont="1" applyFill="1" applyBorder="1" applyAlignment="1">
      <alignment horizontal="center"/>
    </xf>
    <xf numFmtId="6" fontId="3" fillId="0" borderId="20" xfId="1" applyNumberFormat="1" applyFont="1" applyFill="1" applyBorder="1" applyAlignment="1">
      <alignment horizontal="center"/>
    </xf>
    <xf numFmtId="6" fontId="3" fillId="0" borderId="22" xfId="1" applyNumberFormat="1" applyFont="1" applyFill="1" applyBorder="1" applyAlignment="1">
      <alignment horizontal="center"/>
    </xf>
    <xf numFmtId="6" fontId="3" fillId="0" borderId="9" xfId="0" applyNumberFormat="1" applyFont="1" applyBorder="1" applyAlignment="1">
      <alignment horizontal="center"/>
    </xf>
    <xf numFmtId="6" fontId="3" fillId="0" borderId="3" xfId="0" applyNumberFormat="1" applyFont="1" applyBorder="1" applyAlignment="1">
      <alignment horizontal="center"/>
    </xf>
    <xf numFmtId="6" fontId="3" fillId="0" borderId="0" xfId="0" applyNumberFormat="1" applyFont="1" applyBorder="1" applyAlignment="1">
      <alignment horizontal="center"/>
    </xf>
    <xf numFmtId="6" fontId="3" fillId="0" borderId="17" xfId="0" applyNumberFormat="1" applyFont="1" applyBorder="1" applyAlignment="1">
      <alignment horizontal="center"/>
    </xf>
    <xf numFmtId="6" fontId="3" fillId="0" borderId="24" xfId="0" applyNumberFormat="1" applyFont="1" applyBorder="1" applyAlignment="1">
      <alignment horizontal="center"/>
    </xf>
    <xf numFmtId="6" fontId="3" fillId="0" borderId="21" xfId="0" applyNumberFormat="1" applyFont="1" applyBorder="1" applyAlignment="1">
      <alignment horizontal="center"/>
    </xf>
    <xf numFmtId="0" fontId="4" fillId="0" borderId="1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24" xfId="0" applyFont="1" applyFill="1" applyBorder="1" applyAlignment="1">
      <alignment horizontal="center"/>
    </xf>
    <xf numFmtId="6" fontId="3" fillId="0" borderId="9" xfId="0" applyNumberFormat="1" applyFont="1" applyFill="1" applyBorder="1" applyAlignment="1">
      <alignment horizontal="center"/>
    </xf>
    <xf numFmtId="6" fontId="3" fillId="0" borderId="19" xfId="0" applyNumberFormat="1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44" xfId="0" applyFont="1" applyBorder="1" applyAlignment="1">
      <alignment horizontal="center"/>
    </xf>
    <xf numFmtId="6" fontId="3" fillId="0" borderId="11" xfId="0" applyNumberFormat="1" applyFont="1" applyBorder="1" applyAlignment="1">
      <alignment horizontal="center"/>
    </xf>
    <xf numFmtId="6" fontId="3" fillId="0" borderId="14" xfId="0" applyNumberFormat="1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4" fillId="0" borderId="46" xfId="0" applyFont="1" applyBorder="1" applyAlignment="1">
      <alignment horizontal="center"/>
    </xf>
    <xf numFmtId="6" fontId="3" fillId="0" borderId="45" xfId="0" applyNumberFormat="1" applyFont="1" applyBorder="1" applyAlignment="1">
      <alignment horizontal="center"/>
    </xf>
    <xf numFmtId="0" fontId="3" fillId="0" borderId="28" xfId="0" applyFont="1" applyFill="1" applyBorder="1" applyAlignment="1">
      <alignment horizontal="center"/>
    </xf>
    <xf numFmtId="0" fontId="3" fillId="0" borderId="6" xfId="0" applyFont="1" applyFill="1" applyBorder="1"/>
    <xf numFmtId="0" fontId="3" fillId="0" borderId="3" xfId="0" applyFont="1" applyFill="1" applyBorder="1"/>
    <xf numFmtId="10" fontId="3" fillId="0" borderId="18" xfId="0" applyNumberFormat="1" applyFont="1" applyBorder="1" applyAlignment="1">
      <alignment horizontal="center"/>
    </xf>
    <xf numFmtId="10" fontId="3" fillId="0" borderId="19" xfId="0" applyNumberFormat="1" applyFont="1" applyBorder="1" applyAlignment="1">
      <alignment horizontal="center"/>
    </xf>
    <xf numFmtId="6" fontId="3" fillId="0" borderId="0" xfId="0" applyNumberFormat="1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2" xfId="0" applyFont="1" applyBorder="1"/>
    <xf numFmtId="6" fontId="3" fillId="0" borderId="15" xfId="0" applyNumberFormat="1" applyFont="1" applyBorder="1" applyAlignment="1">
      <alignment horizontal="center"/>
    </xf>
    <xf numFmtId="6" fontId="3" fillId="0" borderId="16" xfId="0" applyNumberFormat="1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Fill="1" applyBorder="1"/>
    <xf numFmtId="0" fontId="2" fillId="0" borderId="4" xfId="0" applyFont="1" applyFill="1" applyBorder="1" applyAlignment="1">
      <alignment horizontal="center"/>
    </xf>
    <xf numFmtId="0" fontId="3" fillId="0" borderId="2" xfId="0" applyFont="1" applyFill="1" applyBorder="1"/>
    <xf numFmtId="10" fontId="3" fillId="0" borderId="20" xfId="0" applyNumberFormat="1" applyFont="1" applyBorder="1" applyAlignment="1">
      <alignment horizontal="center"/>
    </xf>
    <xf numFmtId="6" fontId="3" fillId="0" borderId="48" xfId="0" applyNumberFormat="1" applyFont="1" applyBorder="1" applyAlignment="1">
      <alignment horizontal="center"/>
    </xf>
    <xf numFmtId="6" fontId="3" fillId="0" borderId="41" xfId="0" applyNumberFormat="1" applyFont="1" applyBorder="1" applyAlignment="1">
      <alignment horizontal="center"/>
    </xf>
    <xf numFmtId="10" fontId="3" fillId="0" borderId="41" xfId="0" applyNumberFormat="1" applyFont="1" applyBorder="1" applyAlignment="1">
      <alignment horizontal="center"/>
    </xf>
    <xf numFmtId="10" fontId="3" fillId="0" borderId="42" xfId="0" applyNumberFormat="1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10" fontId="3" fillId="0" borderId="39" xfId="0" applyNumberFormat="1" applyFont="1" applyBorder="1" applyAlignment="1">
      <alignment horizontal="center"/>
    </xf>
    <xf numFmtId="10" fontId="3" fillId="0" borderId="38" xfId="0" applyNumberFormat="1" applyFont="1" applyBorder="1" applyAlignment="1">
      <alignment horizontal="center"/>
    </xf>
    <xf numFmtId="6" fontId="3" fillId="0" borderId="42" xfId="0" applyNumberFormat="1" applyFont="1" applyBorder="1" applyAlignment="1">
      <alignment horizontal="center"/>
    </xf>
    <xf numFmtId="6" fontId="3" fillId="0" borderId="39" xfId="0" applyNumberFormat="1" applyFont="1" applyBorder="1" applyAlignment="1">
      <alignment horizontal="center"/>
    </xf>
    <xf numFmtId="6" fontId="3" fillId="0" borderId="37" xfId="0" applyNumberFormat="1" applyFont="1" applyBorder="1" applyAlignment="1">
      <alignment horizontal="center"/>
    </xf>
    <xf numFmtId="6" fontId="3" fillId="0" borderId="47" xfId="0" applyNumberFormat="1" applyFont="1" applyBorder="1" applyAlignment="1">
      <alignment horizontal="center"/>
    </xf>
    <xf numFmtId="6" fontId="3" fillId="0" borderId="38" xfId="0" applyNumberFormat="1" applyFont="1" applyBorder="1" applyAlignment="1">
      <alignment horizontal="center"/>
    </xf>
    <xf numFmtId="3" fontId="3" fillId="0" borderId="0" xfId="0" applyNumberFormat="1" applyFont="1" applyFill="1" applyBorder="1" applyAlignment="1">
      <alignment horizontal="center"/>
    </xf>
    <xf numFmtId="3" fontId="3" fillId="0" borderId="0" xfId="0" applyNumberFormat="1" applyFont="1" applyBorder="1" applyAlignment="1">
      <alignment horizontal="center"/>
    </xf>
    <xf numFmtId="0" fontId="3" fillId="0" borderId="44" xfId="0" applyFont="1" applyBorder="1"/>
    <xf numFmtId="9" fontId="3" fillId="0" borderId="20" xfId="2" applyFont="1" applyFill="1" applyBorder="1" applyAlignment="1">
      <alignment horizontal="center"/>
    </xf>
    <xf numFmtId="0" fontId="3" fillId="0" borderId="49" xfId="0" applyFont="1" applyBorder="1"/>
    <xf numFmtId="0" fontId="3" fillId="0" borderId="43" xfId="0" applyFont="1" applyBorder="1"/>
    <xf numFmtId="6" fontId="3" fillId="0" borderId="40" xfId="0" applyNumberFormat="1" applyFont="1" applyFill="1" applyBorder="1" applyAlignment="1">
      <alignment horizontal="center"/>
    </xf>
    <xf numFmtId="6" fontId="3" fillId="0" borderId="41" xfId="0" applyNumberFormat="1" applyFont="1" applyFill="1" applyBorder="1" applyAlignment="1">
      <alignment horizontal="center"/>
    </xf>
    <xf numFmtId="6" fontId="3" fillId="0" borderId="42" xfId="0" applyNumberFormat="1" applyFont="1" applyFill="1" applyBorder="1" applyAlignment="1">
      <alignment horizontal="center"/>
    </xf>
    <xf numFmtId="6" fontId="3" fillId="0" borderId="49" xfId="0" applyNumberFormat="1" applyFont="1" applyFill="1" applyBorder="1" applyAlignment="1">
      <alignment horizontal="center"/>
    </xf>
    <xf numFmtId="6" fontId="3" fillId="0" borderId="39" xfId="0" applyNumberFormat="1" applyFont="1" applyFill="1" applyBorder="1" applyAlignment="1">
      <alignment horizontal="center"/>
    </xf>
    <xf numFmtId="6" fontId="3" fillId="0" borderId="43" xfId="0" applyNumberFormat="1" applyFont="1" applyFill="1" applyBorder="1" applyAlignment="1">
      <alignment horizontal="center"/>
    </xf>
    <xf numFmtId="6" fontId="3" fillId="0" borderId="38" xfId="0" applyNumberFormat="1" applyFont="1" applyFill="1" applyBorder="1" applyAlignment="1">
      <alignment horizontal="center"/>
    </xf>
    <xf numFmtId="9" fontId="3" fillId="0" borderId="40" xfId="2" applyFont="1" applyFill="1" applyBorder="1" applyAlignment="1">
      <alignment horizontal="center"/>
    </xf>
    <xf numFmtId="9" fontId="3" fillId="0" borderId="41" xfId="2" applyFont="1" applyFill="1" applyBorder="1" applyAlignment="1">
      <alignment horizontal="center"/>
    </xf>
    <xf numFmtId="9" fontId="3" fillId="0" borderId="49" xfId="2" applyFont="1" applyFill="1" applyBorder="1" applyAlignment="1">
      <alignment horizontal="center"/>
    </xf>
    <xf numFmtId="9" fontId="3" fillId="0" borderId="43" xfId="2" applyFont="1" applyFill="1" applyBorder="1" applyAlignment="1">
      <alignment horizontal="center"/>
    </xf>
    <xf numFmtId="9" fontId="3" fillId="0" borderId="19" xfId="2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6" fontId="3" fillId="0" borderId="21" xfId="0" applyNumberFormat="1" applyFont="1" applyFill="1" applyBorder="1" applyAlignment="1">
      <alignment horizontal="center"/>
    </xf>
    <xf numFmtId="9" fontId="3" fillId="0" borderId="18" xfId="2" applyFont="1" applyFill="1" applyBorder="1" applyAlignment="1">
      <alignment horizontal="center"/>
    </xf>
    <xf numFmtId="10" fontId="3" fillId="0" borderId="20" xfId="0" applyNumberFormat="1" applyFont="1" applyFill="1" applyBorder="1" applyAlignment="1">
      <alignment horizontal="center"/>
    </xf>
    <xf numFmtId="0" fontId="3" fillId="0" borderId="20" xfId="0" applyFont="1" applyFill="1" applyBorder="1" applyAlignment="1">
      <alignment horizontal="center"/>
    </xf>
    <xf numFmtId="0" fontId="3" fillId="0" borderId="29" xfId="0" applyFont="1" applyFill="1" applyBorder="1"/>
    <xf numFmtId="0" fontId="3" fillId="0" borderId="49" xfId="0" applyFont="1" applyFill="1" applyBorder="1"/>
    <xf numFmtId="0" fontId="3" fillId="0" borderId="39" xfId="0" applyFont="1" applyFill="1" applyBorder="1" applyAlignment="1">
      <alignment horizontal="center"/>
    </xf>
    <xf numFmtId="0" fontId="9" fillId="0" borderId="0" xfId="0" applyFont="1"/>
    <xf numFmtId="0" fontId="9" fillId="0" borderId="0" xfId="0" applyFont="1" applyBorder="1"/>
    <xf numFmtId="0" fontId="5" fillId="0" borderId="0" xfId="0" applyFont="1" applyFill="1"/>
    <xf numFmtId="0" fontId="6" fillId="0" borderId="0" xfId="0" applyFont="1" applyFill="1"/>
    <xf numFmtId="0" fontId="3" fillId="0" borderId="31" xfId="0" applyFont="1" applyFill="1" applyBorder="1" applyAlignment="1">
      <alignment horizontal="center"/>
    </xf>
    <xf numFmtId="0" fontId="3" fillId="0" borderId="33" xfId="0" applyFont="1" applyFill="1" applyBorder="1" applyAlignment="1">
      <alignment horizontal="center"/>
    </xf>
    <xf numFmtId="0" fontId="3" fillId="0" borderId="14" xfId="0" applyFont="1" applyFill="1" applyBorder="1" applyAlignment="1">
      <alignment horizontal="center"/>
    </xf>
    <xf numFmtId="43" fontId="4" fillId="0" borderId="24" xfId="1" applyFont="1" applyFill="1" applyBorder="1" applyAlignment="1">
      <alignment horizontal="center"/>
    </xf>
    <xf numFmtId="3" fontId="4" fillId="0" borderId="21" xfId="0" applyNumberFormat="1" applyFont="1" applyFill="1" applyBorder="1"/>
    <xf numFmtId="3" fontId="4" fillId="0" borderId="20" xfId="0" applyNumberFormat="1" applyFont="1" applyFill="1" applyBorder="1"/>
    <xf numFmtId="43" fontId="4" fillId="0" borderId="11" xfId="1" applyFont="1" applyFill="1" applyBorder="1" applyAlignment="1">
      <alignment horizontal="center"/>
    </xf>
    <xf numFmtId="165" fontId="4" fillId="0" borderId="11" xfId="1" applyNumberFormat="1" applyFont="1" applyFill="1" applyBorder="1" applyAlignment="1">
      <alignment horizontal="center"/>
    </xf>
    <xf numFmtId="43" fontId="4" fillId="0" borderId="2" xfId="1" applyFont="1" applyFill="1" applyBorder="1" applyAlignment="1">
      <alignment horizontal="center"/>
    </xf>
    <xf numFmtId="43" fontId="4" fillId="0" borderId="11" xfId="1" applyNumberFormat="1" applyFont="1" applyFill="1" applyBorder="1" applyAlignment="1">
      <alignment horizontal="center"/>
    </xf>
    <xf numFmtId="9" fontId="4" fillId="0" borderId="11" xfId="2" applyFont="1" applyFill="1" applyBorder="1" applyAlignment="1">
      <alignment horizontal="center"/>
    </xf>
    <xf numFmtId="167" fontId="4" fillId="0" borderId="11" xfId="0" applyNumberFormat="1" applyFont="1" applyFill="1" applyBorder="1" applyAlignment="1">
      <alignment horizontal="center"/>
    </xf>
    <xf numFmtId="0" fontId="4" fillId="0" borderId="1" xfId="0" applyFont="1" applyFill="1" applyBorder="1"/>
    <xf numFmtId="0" fontId="4" fillId="0" borderId="34" xfId="0" applyFont="1" applyFill="1" applyBorder="1" applyAlignment="1">
      <alignment horizontal="center"/>
    </xf>
    <xf numFmtId="10" fontId="3" fillId="0" borderId="50" xfId="0" applyNumberFormat="1" applyFont="1" applyBorder="1" applyAlignment="1">
      <alignment horizontal="center"/>
    </xf>
    <xf numFmtId="9" fontId="3" fillId="0" borderId="51" xfId="2" applyFont="1" applyFill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3" fillId="0" borderId="52" xfId="0" applyFont="1" applyFill="1" applyBorder="1" applyAlignment="1">
      <alignment horizontal="center"/>
    </xf>
    <xf numFmtId="10" fontId="3" fillId="0" borderId="53" xfId="0" applyNumberFormat="1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9" fontId="3" fillId="0" borderId="54" xfId="2" applyFont="1" applyFill="1" applyBorder="1" applyAlignment="1">
      <alignment horizontal="center"/>
    </xf>
    <xf numFmtId="9" fontId="3" fillId="0" borderId="55" xfId="2" applyFont="1" applyFill="1" applyBorder="1" applyAlignment="1">
      <alignment horizontal="center"/>
    </xf>
    <xf numFmtId="10" fontId="3" fillId="0" borderId="56" xfId="0" applyNumberFormat="1" applyFont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10" fontId="4" fillId="0" borderId="4" xfId="0" applyNumberFormat="1" applyFont="1" applyBorder="1" applyAlignment="1">
      <alignment horizontal="center"/>
    </xf>
    <xf numFmtId="10" fontId="4" fillId="0" borderId="2" xfId="0" applyNumberFormat="1" applyFont="1" applyBorder="1" applyAlignment="1">
      <alignment horizontal="center"/>
    </xf>
    <xf numFmtId="6" fontId="4" fillId="0" borderId="1" xfId="0" applyNumberFormat="1" applyFont="1" applyFill="1" applyBorder="1" applyAlignment="1">
      <alignment horizontal="center"/>
    </xf>
    <xf numFmtId="6" fontId="4" fillId="0" borderId="4" xfId="0" applyNumberFormat="1" applyFont="1" applyFill="1" applyBorder="1" applyAlignment="1">
      <alignment horizontal="center"/>
    </xf>
    <xf numFmtId="6" fontId="4" fillId="0" borderId="2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</xdr:row>
          <xdr:rowOff>0</xdr:rowOff>
        </xdr:from>
        <xdr:to>
          <xdr:col>3</xdr:col>
          <xdr:colOff>266700</xdr:colOff>
          <xdr:row>8</xdr:row>
          <xdr:rowOff>95250</xdr:rowOff>
        </xdr:to>
        <xdr:sp macro="" textlink="">
          <xdr:nvSpPr>
            <xdr:cNvPr id="6146" name="Object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5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12</xdr:row>
          <xdr:rowOff>0</xdr:rowOff>
        </xdr:from>
        <xdr:to>
          <xdr:col>12</xdr:col>
          <xdr:colOff>552450</xdr:colOff>
          <xdr:row>36</xdr:row>
          <xdr:rowOff>19050</xdr:rowOff>
        </xdr:to>
        <xdr:sp macro="" textlink="">
          <xdr:nvSpPr>
            <xdr:cNvPr id="6149" name="Object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5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6" Type="http://schemas.openxmlformats.org/officeDocument/2006/relationships/package" Target="../embeddings/Microsoft_Word_Document1.docx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6D472-DF00-4F4F-B4C5-8C09DB5181B3}">
  <dimension ref="A1:AT64"/>
  <sheetViews>
    <sheetView tabSelected="1" zoomScale="60" zoomScaleNormal="60" workbookViewId="0">
      <selection activeCell="C13" sqref="C13"/>
    </sheetView>
  </sheetViews>
  <sheetFormatPr defaultColWidth="8.7109375" defaultRowHeight="15" x14ac:dyDescent="0.25"/>
  <cols>
    <col min="1" max="1" width="3.42578125" customWidth="1"/>
    <col min="2" max="2" width="21.7109375" customWidth="1"/>
    <col min="3" max="3" width="24.7109375" customWidth="1"/>
    <col min="4" max="4" width="16.7109375" customWidth="1"/>
    <col min="5" max="5" width="11.42578125" bestFit="1" customWidth="1"/>
    <col min="6" max="6" width="12.7109375" bestFit="1" customWidth="1"/>
    <col min="7" max="7" width="13.28515625" bestFit="1" customWidth="1"/>
    <col min="8" max="8" width="6.7109375" customWidth="1"/>
    <col min="9" max="9" width="13.42578125" customWidth="1"/>
    <col min="10" max="10" width="15.140625" customWidth="1"/>
    <col min="11" max="11" width="11.42578125" bestFit="1" customWidth="1"/>
    <col min="12" max="12" width="12.7109375" customWidth="1"/>
    <col min="13" max="13" width="11.7109375" customWidth="1"/>
    <col min="14" max="14" width="14.42578125" bestFit="1" customWidth="1"/>
    <col min="15" max="15" width="12.140625" bestFit="1" customWidth="1"/>
    <col min="16" max="17" width="12.42578125" bestFit="1" customWidth="1"/>
  </cols>
  <sheetData>
    <row r="1" spans="1:46" ht="15.75" x14ac:dyDescent="0.25">
      <c r="A1" s="9"/>
      <c r="B1" s="10" t="s">
        <v>12</v>
      </c>
      <c r="C1" s="10" t="s">
        <v>13</v>
      </c>
      <c r="D1" s="11">
        <v>44430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46" ht="15.75" x14ac:dyDescent="0.25">
      <c r="A2" s="9"/>
      <c r="B2" s="10"/>
      <c r="C2" s="10" t="s">
        <v>209</v>
      </c>
      <c r="D2" s="11"/>
      <c r="E2" s="9"/>
      <c r="F2" s="9"/>
      <c r="G2" s="9"/>
      <c r="H2" s="9"/>
      <c r="I2" s="10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 spans="1:46" ht="15.75" x14ac:dyDescent="0.25">
      <c r="A3" s="9"/>
      <c r="B3" s="10"/>
      <c r="C3" s="10" t="s">
        <v>208</v>
      </c>
      <c r="D3" s="11"/>
      <c r="E3" s="9"/>
      <c r="F3" s="9"/>
      <c r="G3" s="9"/>
      <c r="H3" s="9"/>
      <c r="I3" s="10" t="s">
        <v>225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 spans="1:46" ht="15.75" x14ac:dyDescent="0.25">
      <c r="A4" s="9"/>
      <c r="B4" s="10"/>
      <c r="C4" s="10" t="s">
        <v>210</v>
      </c>
      <c r="D4" s="11"/>
      <c r="E4" s="9"/>
      <c r="F4" s="9"/>
      <c r="G4" s="9"/>
      <c r="H4" s="9"/>
      <c r="I4" s="68" t="s">
        <v>216</v>
      </c>
      <c r="J4" s="28"/>
      <c r="K4" s="28"/>
      <c r="L4" s="9"/>
      <c r="M4" s="9"/>
      <c r="N4" s="9"/>
      <c r="O4" s="9"/>
      <c r="P4" s="9"/>
      <c r="Q4" s="9"/>
      <c r="R4" s="9"/>
      <c r="S4" s="9"/>
      <c r="T4" s="9"/>
      <c r="U4" s="9"/>
    </row>
    <row r="5" spans="1:46" ht="15.75" x14ac:dyDescent="0.25">
      <c r="A5" s="9"/>
      <c r="B5" s="9"/>
      <c r="C5" s="10"/>
      <c r="D5" s="57"/>
      <c r="E5" s="12"/>
      <c r="F5" s="12"/>
      <c r="G5" s="12"/>
      <c r="H5" s="12"/>
      <c r="I5" s="68" t="s">
        <v>229</v>
      </c>
      <c r="J5" s="68"/>
      <c r="K5" s="28"/>
      <c r="L5" s="9"/>
      <c r="M5" s="10" t="s">
        <v>245</v>
      </c>
      <c r="N5" s="9"/>
      <c r="O5" s="9"/>
      <c r="P5" s="9"/>
      <c r="Q5" s="9"/>
      <c r="R5" s="9"/>
      <c r="S5" s="9"/>
      <c r="T5" s="9"/>
      <c r="U5" s="9"/>
    </row>
    <row r="6" spans="1:46" ht="15.75" x14ac:dyDescent="0.25">
      <c r="A6" s="9"/>
      <c r="B6" s="9"/>
      <c r="C6" s="10"/>
      <c r="D6" s="57"/>
      <c r="E6" s="12"/>
      <c r="F6" s="12"/>
      <c r="G6" s="12"/>
      <c r="H6" s="12"/>
      <c r="I6" s="68"/>
      <c r="J6" s="68"/>
      <c r="K6" s="28"/>
      <c r="L6" s="9"/>
      <c r="M6" s="10"/>
      <c r="N6" s="9"/>
      <c r="O6" s="9"/>
      <c r="P6" s="9"/>
      <c r="Q6" s="9"/>
      <c r="R6" s="9"/>
      <c r="S6" s="9"/>
      <c r="T6" s="9"/>
      <c r="U6" s="9"/>
    </row>
    <row r="7" spans="1:46" ht="15.75" x14ac:dyDescent="0.25">
      <c r="A7" s="9"/>
      <c r="B7" s="10" t="s">
        <v>217</v>
      </c>
      <c r="C7" s="57" t="s">
        <v>212</v>
      </c>
      <c r="D7" s="57"/>
      <c r="E7" s="57"/>
      <c r="F7" s="9"/>
      <c r="G7" s="9"/>
      <c r="H7" s="9"/>
      <c r="I7" s="68" t="s">
        <v>219</v>
      </c>
      <c r="J7" s="68"/>
      <c r="K7" s="28"/>
      <c r="L7" s="9"/>
      <c r="M7" s="10" t="s">
        <v>234</v>
      </c>
      <c r="N7" s="9"/>
      <c r="O7" s="9"/>
      <c r="P7" s="9"/>
      <c r="Q7" s="9"/>
      <c r="R7" s="9"/>
      <c r="S7" s="9"/>
      <c r="T7" s="9"/>
      <c r="U7" s="9"/>
    </row>
    <row r="8" spans="1:46" ht="16.5" thickBot="1" x14ac:dyDescent="0.3">
      <c r="A8" s="9"/>
      <c r="B8" s="10" t="s">
        <v>216</v>
      </c>
      <c r="C8" s="10" t="s">
        <v>218</v>
      </c>
      <c r="D8" s="57"/>
      <c r="E8" s="57"/>
      <c r="F8" s="57" t="s">
        <v>214</v>
      </c>
      <c r="G8" s="57" t="s">
        <v>215</v>
      </c>
      <c r="H8" s="57"/>
      <c r="I8" s="68"/>
      <c r="J8" s="78" t="s">
        <v>214</v>
      </c>
      <c r="K8" s="78" t="s">
        <v>215</v>
      </c>
      <c r="L8" s="9"/>
      <c r="M8" s="57" t="s">
        <v>240</v>
      </c>
      <c r="N8" s="57" t="s">
        <v>241</v>
      </c>
      <c r="O8" s="57" t="s">
        <v>242</v>
      </c>
      <c r="P8" s="57" t="s">
        <v>243</v>
      </c>
      <c r="Q8" s="57" t="s">
        <v>244</v>
      </c>
      <c r="R8" s="9"/>
      <c r="S8" s="9"/>
      <c r="T8" s="9"/>
      <c r="U8" s="9"/>
    </row>
    <row r="9" spans="1:46" s="50" customFormat="1" ht="16.5" thickBot="1" x14ac:dyDescent="0.3">
      <c r="A9" s="49"/>
      <c r="B9" s="49"/>
      <c r="C9" s="49"/>
      <c r="D9" s="127">
        <v>2015</v>
      </c>
      <c r="E9" s="127">
        <v>2016</v>
      </c>
      <c r="F9" s="127">
        <v>2017</v>
      </c>
      <c r="G9" s="127">
        <v>2018</v>
      </c>
      <c r="H9" s="128"/>
      <c r="I9" s="127">
        <v>2016</v>
      </c>
      <c r="J9" s="129">
        <v>2017</v>
      </c>
      <c r="K9" s="127">
        <v>2018</v>
      </c>
      <c r="L9" s="130"/>
      <c r="M9" s="127">
        <v>2019</v>
      </c>
      <c r="N9" s="127">
        <v>2020</v>
      </c>
      <c r="O9" s="127">
        <v>2021</v>
      </c>
      <c r="P9" s="127">
        <v>2022</v>
      </c>
      <c r="Q9" s="127">
        <v>2023</v>
      </c>
      <c r="R9" s="73"/>
      <c r="S9" s="73"/>
      <c r="T9" s="73"/>
      <c r="U9" s="73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</row>
    <row r="10" spans="1:46" s="1" customFormat="1" ht="15.75" x14ac:dyDescent="0.25">
      <c r="A10" s="243">
        <v>1</v>
      </c>
      <c r="B10" s="244" t="s">
        <v>17</v>
      </c>
      <c r="C10" s="28" t="s">
        <v>8</v>
      </c>
      <c r="D10" s="177"/>
      <c r="E10" s="245"/>
      <c r="F10" s="246"/>
      <c r="G10" s="247"/>
      <c r="H10" s="130"/>
      <c r="I10" s="132"/>
      <c r="J10" s="247"/>
      <c r="K10" s="247"/>
      <c r="L10" s="130"/>
      <c r="M10" s="130"/>
      <c r="N10" s="130"/>
      <c r="O10" s="130"/>
      <c r="P10" s="130"/>
      <c r="Q10" s="130"/>
      <c r="R10" s="73"/>
      <c r="S10" s="73"/>
      <c r="T10" s="73"/>
      <c r="U10" s="73"/>
    </row>
    <row r="11" spans="1:46" ht="15.75" x14ac:dyDescent="0.25">
      <c r="A11" s="9"/>
      <c r="B11" s="9"/>
      <c r="C11" s="9" t="s">
        <v>2</v>
      </c>
      <c r="D11" s="98">
        <v>26706</v>
      </c>
      <c r="E11" s="98">
        <v>28550</v>
      </c>
      <c r="F11" s="98">
        <f t="shared" ref="F11:F12" si="0">E11+(E11*0.03)</f>
        <v>29406.5</v>
      </c>
      <c r="G11" s="98">
        <f>F11+(F11*0.03)</f>
        <v>30288.695</v>
      </c>
      <c r="H11" s="110"/>
      <c r="I11" s="165">
        <v>28550</v>
      </c>
      <c r="J11" s="165">
        <v>49407</v>
      </c>
      <c r="K11" s="165">
        <v>50889</v>
      </c>
      <c r="L11" s="123"/>
      <c r="M11" s="165">
        <f>30288.7*(1+2.16%)</f>
        <v>30942.935920000004</v>
      </c>
      <c r="N11" s="98">
        <f t="shared" ref="N11:N12" si="1">M11*(1+(-3.51%))</f>
        <v>29856.838869208004</v>
      </c>
      <c r="O11" s="98">
        <f t="shared" ref="O11:O12" si="2">N11*(1+6.39%)</f>
        <v>31764.690872950399</v>
      </c>
      <c r="P11" s="98">
        <f t="shared" ref="P11:P12" si="3">O11*(1+3.52%)</f>
        <v>32882.807991678252</v>
      </c>
      <c r="Q11" s="98">
        <f t="shared" ref="Q11:Q12" si="4">P11*(1+1.41%)</f>
        <v>33346.455584360912</v>
      </c>
      <c r="R11" s="73"/>
      <c r="S11" s="73"/>
      <c r="T11" s="73"/>
      <c r="U11" s="73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6.5" thickBot="1" x14ac:dyDescent="0.3">
      <c r="A12" s="9"/>
      <c r="B12" s="9"/>
      <c r="C12" s="9" t="s">
        <v>1</v>
      </c>
      <c r="D12" s="163">
        <v>22618</v>
      </c>
      <c r="E12" s="163">
        <v>21906</v>
      </c>
      <c r="F12" s="164">
        <f t="shared" si="0"/>
        <v>22563.18</v>
      </c>
      <c r="G12" s="164">
        <f>F12+(F12*0.03)</f>
        <v>23240.075400000002</v>
      </c>
      <c r="H12" s="110"/>
      <c r="I12" s="166">
        <v>21906</v>
      </c>
      <c r="J12" s="166">
        <f>I12+(I12*0.03)</f>
        <v>22563.18</v>
      </c>
      <c r="K12" s="166">
        <f>J12+(J12*0.03)</f>
        <v>23240.075400000002</v>
      </c>
      <c r="L12" s="123"/>
      <c r="M12" s="166">
        <f>23240.08*(1+2.16%)</f>
        <v>23742.065728000005</v>
      </c>
      <c r="N12" s="163">
        <f t="shared" si="1"/>
        <v>22908.719220947205</v>
      </c>
      <c r="O12" s="163">
        <f t="shared" si="2"/>
        <v>24372.586379165732</v>
      </c>
      <c r="P12" s="163">
        <f t="shared" si="3"/>
        <v>25230.501419712364</v>
      </c>
      <c r="Q12" s="163">
        <f t="shared" si="4"/>
        <v>25586.251489730308</v>
      </c>
      <c r="R12" s="73"/>
      <c r="S12" s="73"/>
      <c r="T12" s="73"/>
      <c r="U12" s="73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6.5" thickBot="1" x14ac:dyDescent="0.3">
      <c r="A13" s="9"/>
      <c r="B13" s="9"/>
      <c r="C13" s="15" t="s">
        <v>17</v>
      </c>
      <c r="D13" s="133">
        <f>D11/D12</f>
        <v>1.1807410027411795</v>
      </c>
      <c r="E13" s="134">
        <f t="shared" ref="E13:Q13" si="5">E11/E12</f>
        <v>1.3032959006664842</v>
      </c>
      <c r="F13" s="135">
        <f t="shared" si="5"/>
        <v>1.3032959006664842</v>
      </c>
      <c r="G13" s="136">
        <f t="shared" si="5"/>
        <v>1.3032959006664839</v>
      </c>
      <c r="H13" s="137"/>
      <c r="I13" s="251">
        <f t="shared" si="5"/>
        <v>1.3032959006664842</v>
      </c>
      <c r="J13" s="251">
        <f t="shared" si="5"/>
        <v>2.1897179386948116</v>
      </c>
      <c r="K13" s="251">
        <f t="shared" si="5"/>
        <v>2.1897089025795502</v>
      </c>
      <c r="L13" s="123"/>
      <c r="M13" s="138">
        <f t="shared" si="5"/>
        <v>1.3032958578455838</v>
      </c>
      <c r="N13" s="138">
        <f t="shared" si="5"/>
        <v>1.303295857845584</v>
      </c>
      <c r="O13" s="138">
        <f t="shared" si="5"/>
        <v>1.303295857845584</v>
      </c>
      <c r="P13" s="138">
        <f t="shared" si="5"/>
        <v>1.303295857845584</v>
      </c>
      <c r="Q13" s="138">
        <f t="shared" si="5"/>
        <v>1.303295857845584</v>
      </c>
      <c r="R13" s="73"/>
      <c r="S13" s="73"/>
      <c r="T13" s="73"/>
      <c r="U13" s="73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6.5" thickBot="1" x14ac:dyDescent="0.3">
      <c r="A14" s="9"/>
      <c r="B14" s="10" t="s">
        <v>11</v>
      </c>
      <c r="C14" s="16"/>
      <c r="D14" s="123"/>
      <c r="E14" s="123"/>
      <c r="F14" s="123"/>
      <c r="G14" s="123"/>
      <c r="H14" s="130"/>
      <c r="I14" s="139"/>
      <c r="J14" s="139"/>
      <c r="K14" s="139"/>
      <c r="L14" s="130"/>
      <c r="M14" s="130"/>
      <c r="N14" s="130"/>
      <c r="O14" s="130"/>
      <c r="P14" s="130"/>
      <c r="Q14" s="130"/>
      <c r="R14" s="73"/>
      <c r="S14" s="73"/>
      <c r="T14" s="73"/>
      <c r="U14" s="73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s="52" customFormat="1" ht="16.5" thickBot="1" x14ac:dyDescent="0.3">
      <c r="A15" s="51"/>
      <c r="B15" s="51"/>
      <c r="C15" s="51"/>
      <c r="D15" s="127">
        <v>2015</v>
      </c>
      <c r="E15" s="127">
        <v>2016</v>
      </c>
      <c r="F15" s="127">
        <v>2017</v>
      </c>
      <c r="G15" s="127">
        <v>2018</v>
      </c>
      <c r="H15" s="128"/>
      <c r="I15" s="127">
        <v>2016</v>
      </c>
      <c r="J15" s="129">
        <v>2017</v>
      </c>
      <c r="K15" s="127">
        <v>2018</v>
      </c>
      <c r="L15" s="130"/>
      <c r="M15" s="127">
        <v>2019</v>
      </c>
      <c r="N15" s="127">
        <v>2020</v>
      </c>
      <c r="O15" s="127">
        <v>2021</v>
      </c>
      <c r="P15" s="127">
        <v>2022</v>
      </c>
      <c r="Q15" s="127">
        <v>2023</v>
      </c>
      <c r="R15" s="73"/>
      <c r="S15" s="73"/>
      <c r="T15" s="73"/>
      <c r="U15" s="73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</row>
    <row r="16" spans="1:46" s="1" customFormat="1" ht="15.75" x14ac:dyDescent="0.25">
      <c r="A16" s="28">
        <v>2</v>
      </c>
      <c r="B16" s="68" t="s">
        <v>0</v>
      </c>
      <c r="C16" s="28" t="s">
        <v>9</v>
      </c>
      <c r="D16" s="177"/>
      <c r="E16" s="247"/>
      <c r="F16" s="132"/>
      <c r="G16" s="132"/>
      <c r="H16" s="130"/>
      <c r="I16" s="132"/>
      <c r="J16" s="247"/>
      <c r="K16" s="247"/>
      <c r="L16" s="130"/>
      <c r="M16" s="130"/>
      <c r="N16" s="130"/>
      <c r="O16" s="130"/>
      <c r="P16" s="130"/>
      <c r="Q16" s="130"/>
      <c r="R16" s="73"/>
      <c r="S16" s="73"/>
      <c r="T16" s="73"/>
      <c r="U16" s="73"/>
    </row>
    <row r="17" spans="1:46" ht="15.75" x14ac:dyDescent="0.25">
      <c r="A17" s="9"/>
      <c r="B17" s="9"/>
      <c r="C17" s="9" t="s">
        <v>3</v>
      </c>
      <c r="D17" s="98">
        <v>26706</v>
      </c>
      <c r="E17" s="98">
        <v>28550</v>
      </c>
      <c r="F17" s="98">
        <f t="shared" ref="F17:F18" si="6">E17+(E17*0.03)</f>
        <v>29406.5</v>
      </c>
      <c r="G17" s="98">
        <f>F17+(F17*0.03)</f>
        <v>30288.695</v>
      </c>
      <c r="H17" s="110"/>
      <c r="I17" s="100">
        <v>43550</v>
      </c>
      <c r="J17" s="165">
        <v>49407</v>
      </c>
      <c r="K17" s="165">
        <v>50889</v>
      </c>
      <c r="L17" s="130"/>
      <c r="M17" s="100">
        <f>30288.7*(1+2.16%)</f>
        <v>30942.935920000004</v>
      </c>
      <c r="N17" s="98">
        <f t="shared" ref="N17:N19" si="7">M17*(1+(-3.51%))</f>
        <v>29856.838869208004</v>
      </c>
      <c r="O17" s="98">
        <f t="shared" ref="O17:O19" si="8">N17*(1+6.39%)</f>
        <v>31764.690872950399</v>
      </c>
      <c r="P17" s="98">
        <f t="shared" ref="P17:P19" si="9">O17*(1+3.52%)</f>
        <v>32882.807991678252</v>
      </c>
      <c r="Q17" s="98">
        <f t="shared" ref="Q17:Q19" si="10">P17*(1+1.41%)</f>
        <v>33346.455584360912</v>
      </c>
      <c r="R17" s="73"/>
      <c r="S17" s="73"/>
      <c r="T17" s="73"/>
      <c r="U17" s="73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5.75" x14ac:dyDescent="0.25">
      <c r="A18" s="9"/>
      <c r="B18" s="9"/>
      <c r="C18" s="9" t="s">
        <v>4</v>
      </c>
      <c r="D18" s="98">
        <v>8135</v>
      </c>
      <c r="E18" s="98">
        <v>8704</v>
      </c>
      <c r="F18" s="98">
        <f t="shared" si="6"/>
        <v>8965.1200000000008</v>
      </c>
      <c r="G18" s="98">
        <f>F18+(F18*0.03)</f>
        <v>9234.0736000000015</v>
      </c>
      <c r="H18" s="110"/>
      <c r="I18" s="165">
        <v>8704</v>
      </c>
      <c r="J18" s="165">
        <f t="shared" ref="J18:K18" si="11">I18+(I18*0.03)</f>
        <v>8965.1200000000008</v>
      </c>
      <c r="K18" s="165">
        <f t="shared" si="11"/>
        <v>9234.0736000000015</v>
      </c>
      <c r="L18" s="130"/>
      <c r="M18" s="98">
        <f t="shared" ref="M18" si="12">G18*(1+2.16%)</f>
        <v>9433.5295897600026</v>
      </c>
      <c r="N18" s="98">
        <f t="shared" si="7"/>
        <v>9102.4127011594264</v>
      </c>
      <c r="O18" s="98">
        <f t="shared" si="8"/>
        <v>9684.0568727635145</v>
      </c>
      <c r="P18" s="98">
        <f t="shared" si="9"/>
        <v>10024.93567468479</v>
      </c>
      <c r="Q18" s="98">
        <f t="shared" si="10"/>
        <v>10166.287267697846</v>
      </c>
      <c r="R18" s="73"/>
      <c r="S18" s="73"/>
      <c r="T18" s="73"/>
      <c r="U18" s="73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6.5" thickBot="1" x14ac:dyDescent="0.3">
      <c r="A19" s="9"/>
      <c r="B19" s="9"/>
      <c r="C19" s="9" t="s">
        <v>1</v>
      </c>
      <c r="D19" s="163">
        <v>22618</v>
      </c>
      <c r="E19" s="163">
        <v>21906</v>
      </c>
      <c r="F19" s="164">
        <f t="shared" ref="F19" si="13">E19+(E19*0.03)</f>
        <v>22563.18</v>
      </c>
      <c r="G19" s="164">
        <f>F19+(F19*0.03)</f>
        <v>23240.075400000002</v>
      </c>
      <c r="H19" s="108"/>
      <c r="I19" s="166">
        <v>21906</v>
      </c>
      <c r="J19" s="166">
        <f t="shared" ref="J19:K19" si="14">I19+(I19*0.03)</f>
        <v>22563.18</v>
      </c>
      <c r="K19" s="166">
        <f t="shared" si="14"/>
        <v>23240.075400000002</v>
      </c>
      <c r="L19" s="123"/>
      <c r="M19" s="166">
        <f>23240.08*(1+2.16%)</f>
        <v>23742.065728000005</v>
      </c>
      <c r="N19" s="163">
        <f t="shared" si="7"/>
        <v>22908.719220947205</v>
      </c>
      <c r="O19" s="163">
        <f t="shared" si="8"/>
        <v>24372.586379165732</v>
      </c>
      <c r="P19" s="163">
        <f t="shared" si="9"/>
        <v>25230.501419712364</v>
      </c>
      <c r="Q19" s="163">
        <f t="shared" si="10"/>
        <v>25586.251489730308</v>
      </c>
      <c r="R19" s="73"/>
      <c r="S19" s="73"/>
      <c r="T19" s="73"/>
      <c r="U19" s="73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6.5" thickBot="1" x14ac:dyDescent="0.3">
      <c r="A20" s="9"/>
      <c r="B20" s="9"/>
      <c r="C20" s="15" t="s">
        <v>5</v>
      </c>
      <c r="D20" s="141">
        <f>(D17-D18)/D19</f>
        <v>0.82107171279511892</v>
      </c>
      <c r="E20" s="141">
        <f t="shared" ref="E20:Q20" si="15">(E17-E18)/E19</f>
        <v>0.90596183693965127</v>
      </c>
      <c r="F20" s="142">
        <f t="shared" si="15"/>
        <v>0.90596183693965116</v>
      </c>
      <c r="G20" s="141">
        <f t="shared" si="15"/>
        <v>0.90596183693965104</v>
      </c>
      <c r="H20" s="143"/>
      <c r="I20" s="251">
        <f t="shared" si="15"/>
        <v>1.5907057427188898</v>
      </c>
      <c r="J20" s="252">
        <f t="shared" si="15"/>
        <v>1.7923838749679786</v>
      </c>
      <c r="K20" s="252">
        <f t="shared" si="15"/>
        <v>1.792374838852717</v>
      </c>
      <c r="L20" s="130"/>
      <c r="M20" s="141">
        <f t="shared" si="15"/>
        <v>0.90596187276463758</v>
      </c>
      <c r="N20" s="141">
        <f t="shared" si="15"/>
        <v>0.90596187276463758</v>
      </c>
      <c r="O20" s="141">
        <f t="shared" si="15"/>
        <v>0.90596187276463758</v>
      </c>
      <c r="P20" s="141">
        <f t="shared" si="15"/>
        <v>0.90596187276463758</v>
      </c>
      <c r="Q20" s="141">
        <f t="shared" si="15"/>
        <v>0.90596187276463758</v>
      </c>
      <c r="R20" s="73"/>
      <c r="S20" s="73"/>
      <c r="T20" s="73"/>
      <c r="U20" s="73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6.5" thickBot="1" x14ac:dyDescent="0.3">
      <c r="A21" s="9"/>
      <c r="B21" s="10" t="s">
        <v>11</v>
      </c>
      <c r="C21" s="16"/>
      <c r="D21" s="123"/>
      <c r="E21" s="123"/>
      <c r="F21" s="123"/>
      <c r="G21" s="123"/>
      <c r="H21" s="130"/>
      <c r="I21" s="139"/>
      <c r="J21" s="139"/>
      <c r="K21" s="139"/>
      <c r="L21" s="130"/>
      <c r="M21" s="130"/>
      <c r="N21" s="130"/>
      <c r="O21" s="130"/>
      <c r="P21" s="130"/>
      <c r="Q21" s="130"/>
      <c r="R21" s="73"/>
      <c r="S21" s="73"/>
      <c r="T21" s="73"/>
      <c r="U21" s="73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s="50" customFormat="1" ht="16.5" hidden="1" thickBot="1" x14ac:dyDescent="0.3">
      <c r="A22" s="49"/>
      <c r="B22" s="49"/>
      <c r="C22" s="49"/>
      <c r="D22" s="127">
        <v>2015</v>
      </c>
      <c r="E22" s="127">
        <v>2016</v>
      </c>
      <c r="F22" s="127">
        <v>2017</v>
      </c>
      <c r="G22" s="129">
        <v>2018</v>
      </c>
      <c r="H22" s="128"/>
      <c r="I22" s="144"/>
      <c r="J22" s="144"/>
      <c r="K22" s="144"/>
      <c r="L22" s="130"/>
      <c r="M22" s="130"/>
      <c r="N22" s="130"/>
      <c r="O22" s="130"/>
      <c r="P22" s="130"/>
      <c r="Q22" s="130"/>
      <c r="R22" s="73"/>
      <c r="S22" s="73"/>
      <c r="T22" s="73"/>
      <c r="U22" s="73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9"/>
      <c r="AT22" s="79"/>
    </row>
    <row r="23" spans="1:46" ht="16.5" hidden="1" thickBot="1" x14ac:dyDescent="0.3">
      <c r="A23" s="9">
        <v>3</v>
      </c>
      <c r="B23" s="67" t="s">
        <v>23</v>
      </c>
      <c r="C23" s="62" t="s">
        <v>22</v>
      </c>
      <c r="D23" s="123"/>
      <c r="E23" s="123"/>
      <c r="F23" s="123"/>
      <c r="G23" s="123"/>
      <c r="H23" s="130"/>
      <c r="I23" s="145"/>
      <c r="J23" s="145"/>
      <c r="K23" s="145"/>
      <c r="L23" s="130"/>
      <c r="M23" s="130"/>
      <c r="N23" s="130"/>
      <c r="O23" s="130"/>
      <c r="P23" s="130"/>
      <c r="Q23" s="130"/>
      <c r="R23" s="73"/>
      <c r="S23" s="73"/>
      <c r="T23" s="73"/>
      <c r="U23" s="73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6.5" hidden="1" thickBot="1" x14ac:dyDescent="0.3">
      <c r="A24" s="9"/>
      <c r="B24" s="28" t="s">
        <v>181</v>
      </c>
      <c r="C24" s="62" t="s">
        <v>24</v>
      </c>
      <c r="D24" s="146">
        <v>7966</v>
      </c>
      <c r="E24" s="146">
        <v>5426</v>
      </c>
      <c r="F24" s="107">
        <f t="shared" ref="F24:F25" si="16">E24+(E24*0.03)</f>
        <v>5588.78</v>
      </c>
      <c r="G24" s="122">
        <f>F24+(F24*0.03)</f>
        <v>5756.4434000000001</v>
      </c>
      <c r="H24" s="110"/>
      <c r="I24" s="145"/>
      <c r="J24" s="145"/>
      <c r="K24" s="145"/>
      <c r="L24" s="130"/>
      <c r="M24" s="130"/>
      <c r="N24" s="130"/>
      <c r="O24" s="130"/>
      <c r="P24" s="130"/>
      <c r="Q24" s="130"/>
      <c r="R24" s="73"/>
      <c r="S24" s="73"/>
      <c r="T24" s="73"/>
      <c r="U24" s="73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6.5" hidden="1" thickBot="1" x14ac:dyDescent="0.3">
      <c r="A25" s="9"/>
      <c r="B25" s="9"/>
      <c r="C25" s="62" t="s">
        <v>199</v>
      </c>
      <c r="D25" s="147">
        <v>56098</v>
      </c>
      <c r="E25" s="147">
        <v>57244</v>
      </c>
      <c r="F25" s="107">
        <f t="shared" si="16"/>
        <v>58961.32</v>
      </c>
      <c r="G25" s="122">
        <f>F25+(F25*0.03)</f>
        <v>60730.159599999999</v>
      </c>
      <c r="H25" s="110"/>
      <c r="I25" s="145"/>
      <c r="J25" s="145"/>
      <c r="K25" s="145"/>
      <c r="L25" s="130"/>
      <c r="M25" s="130"/>
      <c r="N25" s="130"/>
      <c r="O25" s="130"/>
      <c r="P25" s="130"/>
      <c r="Q25" s="130"/>
      <c r="R25" s="73"/>
      <c r="S25" s="73"/>
      <c r="T25" s="73"/>
      <c r="U25" s="73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6.5" hidden="1" thickBot="1" x14ac:dyDescent="0.3">
      <c r="A26" s="9"/>
      <c r="B26" s="9"/>
      <c r="C26" s="15" t="s">
        <v>19</v>
      </c>
      <c r="D26" s="148">
        <f>D24/D25</f>
        <v>0.14200149737958573</v>
      </c>
      <c r="E26" s="148">
        <f>E24/E25</f>
        <v>9.4787226608902236E-2</v>
      </c>
      <c r="F26" s="148">
        <f>F24/F25</f>
        <v>9.4787226608902236E-2</v>
      </c>
      <c r="G26" s="149">
        <f>G24/G25</f>
        <v>9.478722660890225E-2</v>
      </c>
      <c r="H26" s="150"/>
      <c r="I26" s="151" t="e">
        <f>I24/I25</f>
        <v>#DIV/0!</v>
      </c>
      <c r="J26" s="145"/>
      <c r="K26" s="145"/>
      <c r="L26" s="130"/>
      <c r="M26" s="130"/>
      <c r="N26" s="130"/>
      <c r="O26" s="130"/>
      <c r="P26" s="130"/>
      <c r="Q26" s="130"/>
      <c r="R26" s="73"/>
      <c r="S26" s="73"/>
      <c r="T26" s="73"/>
      <c r="U26" s="73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6.5" hidden="1" thickBot="1" x14ac:dyDescent="0.3">
      <c r="A27" s="9"/>
      <c r="B27" s="10" t="s">
        <v>14</v>
      </c>
      <c r="C27" s="9"/>
      <c r="D27" s="123"/>
      <c r="E27" s="123"/>
      <c r="F27" s="123"/>
      <c r="G27" s="123"/>
      <c r="H27" s="130"/>
      <c r="I27" s="145"/>
      <c r="J27" s="145"/>
      <c r="K27" s="145"/>
      <c r="L27" s="130"/>
      <c r="M27" s="130"/>
      <c r="N27" s="130"/>
      <c r="O27" s="130"/>
      <c r="P27" s="130"/>
      <c r="Q27" s="130"/>
      <c r="R27" s="73"/>
      <c r="S27" s="73"/>
      <c r="T27" s="73"/>
      <c r="U27" s="73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s="50" customFormat="1" ht="16.5" thickBot="1" x14ac:dyDescent="0.3">
      <c r="A28" s="49"/>
      <c r="B28" s="49"/>
      <c r="C28" s="49"/>
      <c r="D28" s="127">
        <v>2015</v>
      </c>
      <c r="E28" s="127">
        <v>2016</v>
      </c>
      <c r="F28" s="127">
        <v>2017</v>
      </c>
      <c r="G28" s="127">
        <v>2018</v>
      </c>
      <c r="H28" s="128"/>
      <c r="I28" s="127">
        <v>2016</v>
      </c>
      <c r="J28" s="127">
        <v>2017</v>
      </c>
      <c r="K28" s="127">
        <v>2018</v>
      </c>
      <c r="L28" s="130"/>
      <c r="M28" s="127">
        <v>2019</v>
      </c>
      <c r="N28" s="127">
        <v>2020</v>
      </c>
      <c r="O28" s="127">
        <v>2021</v>
      </c>
      <c r="P28" s="127">
        <v>2022</v>
      </c>
      <c r="Q28" s="127">
        <v>2023</v>
      </c>
      <c r="R28" s="73"/>
      <c r="S28" s="73"/>
      <c r="T28" s="73"/>
      <c r="U28" s="73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/>
      <c r="AS28" s="79"/>
      <c r="AT28" s="79"/>
    </row>
    <row r="29" spans="1:46" s="1" customFormat="1" ht="15.75" x14ac:dyDescent="0.25">
      <c r="A29" s="28">
        <v>3</v>
      </c>
      <c r="B29" s="68" t="s">
        <v>221</v>
      </c>
      <c r="C29" s="28" t="s">
        <v>26</v>
      </c>
      <c r="D29" s="177"/>
      <c r="E29" s="247"/>
      <c r="F29" s="247"/>
      <c r="G29" s="247"/>
      <c r="H29" s="130"/>
      <c r="I29" s="132"/>
      <c r="J29" s="132"/>
      <c r="K29" s="247"/>
      <c r="L29" s="130"/>
      <c r="M29" s="130"/>
      <c r="N29" s="130"/>
      <c r="O29" s="130"/>
      <c r="P29" s="130"/>
      <c r="Q29" s="130"/>
      <c r="R29" s="73"/>
      <c r="S29" s="73"/>
      <c r="T29" s="73"/>
      <c r="U29" s="73"/>
    </row>
    <row r="30" spans="1:46" ht="15.75" x14ac:dyDescent="0.25">
      <c r="A30" s="9"/>
      <c r="B30" s="9"/>
      <c r="C30" s="9" t="s">
        <v>6</v>
      </c>
      <c r="D30" s="98">
        <v>58518</v>
      </c>
      <c r="E30" s="100">
        <v>60241</v>
      </c>
      <c r="F30" s="100">
        <f t="shared" ref="F30:F31" si="17">E30+(E30*0.03)</f>
        <v>62048.23</v>
      </c>
      <c r="G30" s="100">
        <f>F30+(F30*0.03)</f>
        <v>63909.676900000006</v>
      </c>
      <c r="H30" s="110"/>
      <c r="I30" s="100">
        <v>60241</v>
      </c>
      <c r="J30" s="165">
        <f>I30+(I30*0.03)</f>
        <v>62048.23</v>
      </c>
      <c r="K30" s="165">
        <f>J30+(J30*0.03)</f>
        <v>63909.676900000006</v>
      </c>
      <c r="L30" s="130"/>
      <c r="M30" s="100">
        <f t="shared" ref="M30:M31" si="18">G30*(1+2.16%)</f>
        <v>65290.125921040009</v>
      </c>
      <c r="N30" s="100">
        <f t="shared" ref="N30:N31" si="19">M30*(1+(-3.51%))</f>
        <v>62998.442501211503</v>
      </c>
      <c r="O30" s="100">
        <f t="shared" ref="O30:O31" si="20">N30*(1+6.39%)</f>
        <v>67024.042977038916</v>
      </c>
      <c r="P30" s="100">
        <f t="shared" ref="P30:P31" si="21">O30*(1+3.52%)</f>
        <v>69383.289289830675</v>
      </c>
      <c r="Q30" s="100">
        <f t="shared" ref="Q30:Q31" si="22">P30*(1+1.41%)</f>
        <v>70361.593668817281</v>
      </c>
      <c r="R30" s="73"/>
      <c r="S30" s="73"/>
      <c r="T30" s="73"/>
      <c r="U30" s="73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6.5" thickBot="1" x14ac:dyDescent="0.3">
      <c r="A31" s="9"/>
      <c r="B31" s="9"/>
      <c r="C31" s="9" t="s">
        <v>211</v>
      </c>
      <c r="D31" s="163">
        <v>27358</v>
      </c>
      <c r="E31" s="164">
        <v>27579</v>
      </c>
      <c r="F31" s="164">
        <f t="shared" si="17"/>
        <v>28406.37</v>
      </c>
      <c r="G31" s="164">
        <f>F31+(F31*0.03)</f>
        <v>29258.561099999999</v>
      </c>
      <c r="H31" s="110"/>
      <c r="I31" s="166">
        <v>27579</v>
      </c>
      <c r="J31" s="166">
        <v>48406</v>
      </c>
      <c r="K31" s="166">
        <f>J31+(J31*0.03)</f>
        <v>49858.18</v>
      </c>
      <c r="L31" s="130"/>
      <c r="M31" s="163">
        <f t="shared" si="18"/>
        <v>29890.54601976</v>
      </c>
      <c r="N31" s="163">
        <f t="shared" si="19"/>
        <v>28841.387854466422</v>
      </c>
      <c r="O31" s="163">
        <f t="shared" si="20"/>
        <v>30684.352538366828</v>
      </c>
      <c r="P31" s="163">
        <f t="shared" si="21"/>
        <v>31764.441747717337</v>
      </c>
      <c r="Q31" s="163">
        <f t="shared" si="22"/>
        <v>32212.320376360152</v>
      </c>
      <c r="R31" s="73"/>
      <c r="S31" s="73"/>
      <c r="T31" s="73"/>
      <c r="U31" s="73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6.5" thickBot="1" x14ac:dyDescent="0.3">
      <c r="A32" s="9"/>
      <c r="B32" s="10"/>
      <c r="C32" s="15" t="s">
        <v>7</v>
      </c>
      <c r="D32" s="141">
        <f>D30/D31</f>
        <v>2.1389721470867755</v>
      </c>
      <c r="E32" s="251">
        <f t="shared" ref="E32:Q32" si="23">E30/E31</f>
        <v>2.1843069001776714</v>
      </c>
      <c r="F32" s="251">
        <f t="shared" si="23"/>
        <v>2.1843069001776718</v>
      </c>
      <c r="G32" s="253">
        <f t="shared" si="23"/>
        <v>2.1843069001776718</v>
      </c>
      <c r="H32" s="143"/>
      <c r="I32" s="254">
        <f>I30/I31</f>
        <v>2.1843069001776714</v>
      </c>
      <c r="J32" s="252">
        <f t="shared" si="23"/>
        <v>1.2818293186795027</v>
      </c>
      <c r="K32" s="252">
        <f t="shared" si="23"/>
        <v>1.2818293186795027</v>
      </c>
      <c r="L32" s="130"/>
      <c r="M32" s="141">
        <f t="shared" si="23"/>
        <v>2.1843069001776718</v>
      </c>
      <c r="N32" s="141">
        <f t="shared" si="23"/>
        <v>2.1843069001776718</v>
      </c>
      <c r="O32" s="141">
        <f t="shared" si="23"/>
        <v>2.1843069001776718</v>
      </c>
      <c r="P32" s="141">
        <f t="shared" si="23"/>
        <v>2.1843069001776714</v>
      </c>
      <c r="Q32" s="141">
        <f t="shared" si="23"/>
        <v>2.1843069001776714</v>
      </c>
      <c r="R32" s="73"/>
      <c r="S32" s="73"/>
      <c r="T32" s="73"/>
      <c r="U32" s="73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s="8" customFormat="1" ht="16.5" thickBot="1" x14ac:dyDescent="0.3">
      <c r="A33" s="18"/>
      <c r="B33" s="19" t="s">
        <v>11</v>
      </c>
      <c r="C33" s="20"/>
      <c r="D33" s="152"/>
      <c r="E33" s="153"/>
      <c r="F33" s="153"/>
      <c r="G33" s="154"/>
      <c r="H33" s="130"/>
      <c r="I33" s="139"/>
      <c r="J33" s="139"/>
      <c r="K33" s="139"/>
      <c r="L33" s="130"/>
      <c r="M33" s="130"/>
      <c r="N33" s="130"/>
      <c r="O33" s="130"/>
      <c r="P33" s="130"/>
      <c r="Q33" s="130"/>
      <c r="R33" s="73"/>
      <c r="S33" s="73"/>
      <c r="T33" s="73"/>
      <c r="U33" s="73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s="50" customFormat="1" ht="16.5" thickBot="1" x14ac:dyDescent="0.3">
      <c r="A34" s="49"/>
      <c r="B34" s="49"/>
      <c r="C34" s="49"/>
      <c r="D34" s="127">
        <v>2015</v>
      </c>
      <c r="E34" s="127">
        <v>2016</v>
      </c>
      <c r="F34" s="127">
        <v>2017</v>
      </c>
      <c r="G34" s="127">
        <v>2018</v>
      </c>
      <c r="H34" s="128"/>
      <c r="I34" s="127">
        <v>2016</v>
      </c>
      <c r="J34" s="129">
        <v>2017</v>
      </c>
      <c r="K34" s="127">
        <v>2018</v>
      </c>
      <c r="L34" s="130"/>
      <c r="M34" s="127">
        <v>2019</v>
      </c>
      <c r="N34" s="127">
        <v>2020</v>
      </c>
      <c r="O34" s="127">
        <v>2021</v>
      </c>
      <c r="P34" s="127">
        <v>2022</v>
      </c>
      <c r="Q34" s="127">
        <v>2023</v>
      </c>
      <c r="R34" s="73"/>
      <c r="S34" s="73"/>
      <c r="T34" s="73"/>
      <c r="U34" s="73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/>
    </row>
    <row r="35" spans="1:46" s="1" customFormat="1" ht="15.75" x14ac:dyDescent="0.25">
      <c r="A35" s="28">
        <v>4</v>
      </c>
      <c r="B35" s="68" t="s">
        <v>20</v>
      </c>
      <c r="C35" s="69" t="s">
        <v>200</v>
      </c>
      <c r="D35" s="248"/>
      <c r="E35" s="247"/>
      <c r="F35" s="132"/>
      <c r="G35" s="246"/>
      <c r="H35" s="130"/>
      <c r="I35" s="132"/>
      <c r="J35" s="132"/>
      <c r="K35" s="245"/>
      <c r="L35" s="130"/>
      <c r="M35" s="130"/>
      <c r="N35" s="130"/>
      <c r="O35" s="130"/>
      <c r="P35" s="130"/>
      <c r="Q35" s="130"/>
      <c r="R35" s="73"/>
      <c r="S35" s="73"/>
      <c r="T35" s="73"/>
      <c r="U35" s="73"/>
    </row>
    <row r="36" spans="1:46" ht="15.75" x14ac:dyDescent="0.25">
      <c r="A36" s="9"/>
      <c r="B36" s="28"/>
      <c r="C36" s="69" t="s">
        <v>21</v>
      </c>
      <c r="D36" s="100">
        <v>7966</v>
      </c>
      <c r="E36" s="100">
        <v>5426</v>
      </c>
      <c r="F36" s="98">
        <f t="shared" ref="F36:F37" si="24">E36+(E36*0.03)</f>
        <v>5588.78</v>
      </c>
      <c r="G36" s="98">
        <f>F36+(F36*0.03)</f>
        <v>5756.4434000000001</v>
      </c>
      <c r="H36" s="110"/>
      <c r="I36" s="100">
        <v>5426</v>
      </c>
      <c r="J36" s="165">
        <v>20929</v>
      </c>
      <c r="K36" s="165">
        <f>J36+(J36*0.03)</f>
        <v>21556.87</v>
      </c>
      <c r="L36" s="130"/>
      <c r="M36" s="98">
        <f>G36*(1+2.16%)</f>
        <v>5880.7825774400008</v>
      </c>
      <c r="N36" s="98">
        <f>M36*(1+(-3.51%))</f>
        <v>5674.3671089718564</v>
      </c>
      <c r="O36" s="98">
        <f>N36*(1+6.39%)</f>
        <v>6036.959167235158</v>
      </c>
      <c r="P36" s="98">
        <f>O36*(1+3.52%)</f>
        <v>6249.4601299218348</v>
      </c>
      <c r="Q36" s="98">
        <f>P36*(1+1.41%)</f>
        <v>6337.5775177537325</v>
      </c>
      <c r="R36" s="73"/>
      <c r="S36" s="73"/>
      <c r="T36" s="73"/>
      <c r="U36" s="73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6.5" thickBot="1" x14ac:dyDescent="0.3">
      <c r="A37" s="9"/>
      <c r="B37" s="28"/>
      <c r="C37" s="69" t="s">
        <v>201</v>
      </c>
      <c r="D37" s="164">
        <v>27358</v>
      </c>
      <c r="E37" s="164">
        <v>27579</v>
      </c>
      <c r="F37" s="163">
        <f t="shared" si="24"/>
        <v>28406.37</v>
      </c>
      <c r="G37" s="163">
        <f>F37+(F37*0.03)</f>
        <v>29258.561099999999</v>
      </c>
      <c r="H37" s="110"/>
      <c r="I37" s="166">
        <v>27579</v>
      </c>
      <c r="J37" s="166">
        <v>48406</v>
      </c>
      <c r="K37" s="166">
        <f>J37+(J37*0.03)</f>
        <v>49858.18</v>
      </c>
      <c r="L37" s="130"/>
      <c r="M37" s="163">
        <f t="shared" ref="M37" si="25">G37*(1+2.16%)</f>
        <v>29890.54601976</v>
      </c>
      <c r="N37" s="163">
        <f t="shared" ref="N37" si="26">M37*(1+(-3.51%))</f>
        <v>28841.387854466422</v>
      </c>
      <c r="O37" s="163">
        <f t="shared" ref="O37" si="27">N37*(1+6.39%)</f>
        <v>30684.352538366828</v>
      </c>
      <c r="P37" s="163">
        <f t="shared" ref="P37" si="28">O37*(1+3.52%)</f>
        <v>31764.441747717337</v>
      </c>
      <c r="Q37" s="163">
        <f t="shared" ref="Q37" si="29">P37*(1+1.41%)</f>
        <v>32212.320376360152</v>
      </c>
      <c r="R37" s="73"/>
      <c r="S37" s="73"/>
      <c r="T37" s="73"/>
      <c r="U37" s="73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6.5" thickBot="1" x14ac:dyDescent="0.3">
      <c r="A38" s="9"/>
      <c r="B38" s="9"/>
      <c r="C38" s="21" t="s">
        <v>220</v>
      </c>
      <c r="D38" s="155">
        <f>D36/D37</f>
        <v>0.29117625557423787</v>
      </c>
      <c r="E38" s="155">
        <f t="shared" ref="E38:G38" si="30">E36/E37</f>
        <v>0.19674389934370354</v>
      </c>
      <c r="F38" s="155">
        <f t="shared" si="30"/>
        <v>0.19674389934370354</v>
      </c>
      <c r="G38" s="156">
        <f t="shared" si="30"/>
        <v>0.19674389934370357</v>
      </c>
      <c r="H38" s="157"/>
      <c r="I38" s="255">
        <f>I36/I37</f>
        <v>0.19674389934370354</v>
      </c>
      <c r="J38" s="255">
        <f t="shared" ref="J38:K38" si="31">J36/J37</f>
        <v>0.43236375655910425</v>
      </c>
      <c r="K38" s="255">
        <f t="shared" si="31"/>
        <v>0.4323637565591042</v>
      </c>
      <c r="L38" s="130"/>
      <c r="M38" s="155">
        <f t="shared" ref="M38:Q38" si="32">M36/M37</f>
        <v>0.19674389934370357</v>
      </c>
      <c r="N38" s="155">
        <f t="shared" si="32"/>
        <v>0.19674389934370357</v>
      </c>
      <c r="O38" s="155">
        <f t="shared" si="32"/>
        <v>0.19674389934370357</v>
      </c>
      <c r="P38" s="155">
        <f t="shared" si="32"/>
        <v>0.19674389934370357</v>
      </c>
      <c r="Q38" s="155">
        <f t="shared" si="32"/>
        <v>0.19674389934370354</v>
      </c>
      <c r="R38" s="73"/>
      <c r="S38" s="73"/>
      <c r="T38" s="73"/>
      <c r="U38" s="73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6.5" thickBot="1" x14ac:dyDescent="0.3">
      <c r="A39" s="9"/>
      <c r="B39" s="10" t="s">
        <v>11</v>
      </c>
      <c r="C39" s="16"/>
      <c r="D39" s="123"/>
      <c r="E39" s="123"/>
      <c r="F39" s="123"/>
      <c r="G39" s="123"/>
      <c r="H39" s="130"/>
      <c r="I39" s="139"/>
      <c r="J39" s="139"/>
      <c r="K39" s="139"/>
      <c r="L39" s="130"/>
      <c r="M39" s="130"/>
      <c r="N39" s="130"/>
      <c r="O39" s="130"/>
      <c r="P39" s="130"/>
      <c r="Q39" s="130"/>
      <c r="R39" s="73"/>
      <c r="S39" s="73"/>
      <c r="T39" s="73"/>
      <c r="U39" s="73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s="50" customFormat="1" ht="16.5" thickBot="1" x14ac:dyDescent="0.3">
      <c r="A40" s="49"/>
      <c r="B40" s="49"/>
      <c r="C40" s="49"/>
      <c r="D40" s="127">
        <v>2015</v>
      </c>
      <c r="E40" s="127">
        <v>2016</v>
      </c>
      <c r="F40" s="127">
        <v>2017</v>
      </c>
      <c r="G40" s="127">
        <v>2018</v>
      </c>
      <c r="H40" s="128"/>
      <c r="I40" s="127">
        <v>2016</v>
      </c>
      <c r="J40" s="129">
        <v>2017</v>
      </c>
      <c r="K40" s="127">
        <v>2018</v>
      </c>
      <c r="L40" s="130"/>
      <c r="M40" s="127">
        <v>2019</v>
      </c>
      <c r="N40" s="127">
        <v>2020</v>
      </c>
      <c r="O40" s="127">
        <v>2021</v>
      </c>
      <c r="P40" s="127">
        <v>2022</v>
      </c>
      <c r="Q40" s="127">
        <v>2023</v>
      </c>
      <c r="R40" s="73"/>
      <c r="S40" s="73"/>
      <c r="T40" s="73"/>
      <c r="U40" s="73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</row>
    <row r="41" spans="1:46" s="1" customFormat="1" ht="15.75" x14ac:dyDescent="0.25">
      <c r="A41" s="28">
        <v>5</v>
      </c>
      <c r="B41" s="68" t="s">
        <v>15</v>
      </c>
      <c r="C41" s="28" t="s">
        <v>202</v>
      </c>
      <c r="D41" s="132"/>
      <c r="E41" s="132"/>
      <c r="F41" s="132"/>
      <c r="G41" s="246"/>
      <c r="H41" s="130"/>
      <c r="I41" s="132"/>
      <c r="J41" s="132"/>
      <c r="K41" s="247"/>
      <c r="L41" s="130"/>
      <c r="M41" s="130"/>
      <c r="N41" s="130"/>
      <c r="O41" s="130"/>
      <c r="P41" s="130"/>
      <c r="Q41" s="130"/>
      <c r="R41" s="73"/>
      <c r="S41" s="73"/>
      <c r="T41" s="73"/>
      <c r="U41" s="73"/>
    </row>
    <row r="42" spans="1:46" ht="15.75" x14ac:dyDescent="0.25">
      <c r="A42" s="9"/>
      <c r="B42" s="9"/>
      <c r="C42" s="28" t="s">
        <v>203</v>
      </c>
      <c r="D42" s="98">
        <v>87484</v>
      </c>
      <c r="E42" s="98">
        <v>89706</v>
      </c>
      <c r="F42" s="98">
        <f t="shared" ref="F42:F43" si="33">E42+(E42*0.03)</f>
        <v>92397.18</v>
      </c>
      <c r="G42" s="98">
        <f>F42+(F42*0.03)</f>
        <v>95169.095399999991</v>
      </c>
      <c r="H42" s="106"/>
      <c r="I42" s="100">
        <v>89704</v>
      </c>
      <c r="J42" s="165">
        <v>112395</v>
      </c>
      <c r="K42" s="165">
        <v>115767</v>
      </c>
      <c r="L42" s="130"/>
      <c r="M42" s="98">
        <f t="shared" ref="M42:M43" si="34">G42*(1+2.16%)</f>
        <v>97224.747860639996</v>
      </c>
      <c r="N42" s="98">
        <f t="shared" ref="N42:N43" si="35">M42*(1+(-3.51%))</f>
        <v>93812.159210731537</v>
      </c>
      <c r="O42" s="98">
        <f t="shared" ref="O42:O43" si="36">N42*(1+6.39%)</f>
        <v>99806.756184297294</v>
      </c>
      <c r="P42" s="98">
        <f t="shared" ref="P42:P43" si="37">O42*(1+3.52%)</f>
        <v>103319.95400198454</v>
      </c>
      <c r="Q42" s="98">
        <f t="shared" ref="Q42:Q43" si="38">P42*(1+1.41%)</f>
        <v>104776.76535341253</v>
      </c>
      <c r="R42" s="73"/>
      <c r="S42" s="73"/>
      <c r="T42" s="73"/>
      <c r="U42" s="73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6.5" thickBot="1" x14ac:dyDescent="0.3">
      <c r="A43" s="9"/>
      <c r="B43" s="9"/>
      <c r="C43" s="28" t="s">
        <v>204</v>
      </c>
      <c r="D43" s="163">
        <v>28844</v>
      </c>
      <c r="E43" s="163">
        <v>29169</v>
      </c>
      <c r="F43" s="163">
        <f t="shared" si="33"/>
        <v>30044.07</v>
      </c>
      <c r="G43" s="163">
        <f>F43+(F43*0.03)</f>
        <v>30945.392100000001</v>
      </c>
      <c r="H43" s="106"/>
      <c r="I43" s="166">
        <v>29169</v>
      </c>
      <c r="J43" s="166">
        <v>50044</v>
      </c>
      <c r="K43" s="166">
        <f>J43+(J43*0.03)</f>
        <v>51545.32</v>
      </c>
      <c r="L43" s="123"/>
      <c r="M43" s="163">
        <f t="shared" si="34"/>
        <v>31613.812569360001</v>
      </c>
      <c r="N43" s="163">
        <f t="shared" si="35"/>
        <v>30504.167748175463</v>
      </c>
      <c r="O43" s="163">
        <f t="shared" si="36"/>
        <v>32453.384067283878</v>
      </c>
      <c r="P43" s="163">
        <f t="shared" si="37"/>
        <v>33595.743186452266</v>
      </c>
      <c r="Q43" s="163">
        <f t="shared" si="38"/>
        <v>34069.443165381243</v>
      </c>
      <c r="R43" s="73"/>
      <c r="S43" s="73"/>
      <c r="T43" s="73"/>
      <c r="U43" s="73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6.5" thickBot="1" x14ac:dyDescent="0.3">
      <c r="A44" s="9"/>
      <c r="B44" s="9"/>
      <c r="C44" s="15" t="s">
        <v>15</v>
      </c>
      <c r="D44" s="158">
        <f>D42/D43</f>
        <v>3.033005131049785</v>
      </c>
      <c r="E44" s="159">
        <f t="shared" ref="E44:Q44" si="39">E42/E43</f>
        <v>3.0753882546539133</v>
      </c>
      <c r="F44" s="160">
        <f t="shared" si="39"/>
        <v>3.0753882546539133</v>
      </c>
      <c r="G44" s="161">
        <f t="shared" si="39"/>
        <v>3.0753882546539129</v>
      </c>
      <c r="H44" s="162"/>
      <c r="I44" s="256">
        <f t="shared" si="39"/>
        <v>3.0753196887106173</v>
      </c>
      <c r="J44" s="256">
        <f t="shared" si="39"/>
        <v>2.2459235872432259</v>
      </c>
      <c r="K44" s="256">
        <f t="shared" si="39"/>
        <v>2.2459264973037318</v>
      </c>
      <c r="L44" s="130"/>
      <c r="M44" s="160">
        <f t="shared" si="39"/>
        <v>3.0753882546539133</v>
      </c>
      <c r="N44" s="160">
        <f t="shared" si="39"/>
        <v>3.0753882546539137</v>
      </c>
      <c r="O44" s="160">
        <f t="shared" si="39"/>
        <v>3.0753882546539137</v>
      </c>
      <c r="P44" s="160">
        <f t="shared" si="39"/>
        <v>3.0753882546539137</v>
      </c>
      <c r="Q44" s="160">
        <f t="shared" si="39"/>
        <v>3.0753882546539137</v>
      </c>
      <c r="R44" s="73"/>
      <c r="S44" s="73"/>
      <c r="T44" s="73"/>
      <c r="U44" s="73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5.75" x14ac:dyDescent="0.25">
      <c r="A45" s="12"/>
      <c r="B45" s="57" t="s">
        <v>11</v>
      </c>
      <c r="C45" s="86"/>
      <c r="D45" s="86"/>
      <c r="E45" s="86"/>
      <c r="F45" s="86"/>
      <c r="G45" s="86"/>
      <c r="H45" s="12"/>
      <c r="I45" s="94"/>
      <c r="J45" s="94"/>
      <c r="K45" s="94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s="50" customFormat="1" ht="15.75" x14ac:dyDescent="0.25">
      <c r="A46" s="73"/>
      <c r="B46" s="73"/>
      <c r="C46" s="73"/>
      <c r="D46" s="78"/>
      <c r="E46" s="78"/>
      <c r="F46" s="78"/>
      <c r="G46" s="78"/>
      <c r="H46" s="78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/>
      <c r="AS46" s="79"/>
      <c r="AT46" s="79"/>
    </row>
    <row r="47" spans="1:46" ht="15.75" hidden="1" x14ac:dyDescent="0.25">
      <c r="A47" s="9">
        <v>7</v>
      </c>
      <c r="B47" s="10" t="s">
        <v>16</v>
      </c>
      <c r="C47" s="9" t="s">
        <v>205</v>
      </c>
      <c r="D47" s="12"/>
      <c r="E47" s="12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</row>
    <row r="48" spans="1:46" ht="15.75" hidden="1" x14ac:dyDescent="0.25">
      <c r="A48" s="9"/>
      <c r="B48" s="9" t="s">
        <v>179</v>
      </c>
      <c r="C48" s="9" t="s">
        <v>6</v>
      </c>
      <c r="D48" s="13">
        <v>58518</v>
      </c>
      <c r="E48" s="13">
        <v>27358</v>
      </c>
      <c r="F48" s="54">
        <f t="shared" ref="F48" si="40">E48+(E48*0.03)</f>
        <v>28178.74</v>
      </c>
      <c r="G48" s="54">
        <f>F48+(F48*0.03)</f>
        <v>29024.102200000001</v>
      </c>
      <c r="H48" s="70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</row>
    <row r="49" spans="1:21" ht="15.75" hidden="1" x14ac:dyDescent="0.25">
      <c r="A49" s="9"/>
      <c r="B49" s="9" t="s">
        <v>179</v>
      </c>
      <c r="C49" s="9" t="s">
        <v>204</v>
      </c>
      <c r="D49" s="14">
        <v>28844</v>
      </c>
      <c r="E49" s="14">
        <v>29169</v>
      </c>
      <c r="F49" s="54">
        <f t="shared" ref="F49" si="41">E49+(E49*0.03)</f>
        <v>30044.07</v>
      </c>
      <c r="G49" s="54">
        <f>F49+(F49*0.03)</f>
        <v>30945.392100000001</v>
      </c>
      <c r="H49" s="70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 spans="1:21" ht="16.5" hidden="1" thickBot="1" x14ac:dyDescent="0.3">
      <c r="A50" s="9"/>
      <c r="B50" s="9"/>
      <c r="C50" s="15" t="s">
        <v>16</v>
      </c>
      <c r="D50" s="17">
        <f>D48/D49</f>
        <v>2.0287754819026489</v>
      </c>
      <c r="E50" s="22">
        <f t="shared" ref="E50:I50" si="42">E48/E49</f>
        <v>0.93791353834550384</v>
      </c>
      <c r="F50" s="60">
        <f t="shared" si="42"/>
        <v>0.93791353834550384</v>
      </c>
      <c r="G50" s="60">
        <f t="shared" si="42"/>
        <v>0.93791353834550384</v>
      </c>
      <c r="H50" s="60"/>
      <c r="I50" s="31" t="e">
        <f t="shared" si="42"/>
        <v>#DIV/0!</v>
      </c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</row>
    <row r="51" spans="1:21" ht="15.75" hidden="1" x14ac:dyDescent="0.25">
      <c r="A51" s="9"/>
      <c r="B51" s="10" t="s">
        <v>11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</row>
    <row r="52" spans="1:21" s="50" customFormat="1" ht="16.5" hidden="1" thickBot="1" x14ac:dyDescent="0.3">
      <c r="A52" s="49"/>
      <c r="B52" s="49"/>
      <c r="C52" s="49"/>
      <c r="D52" s="58">
        <v>2015</v>
      </c>
      <c r="E52" s="58">
        <v>2016</v>
      </c>
      <c r="F52" s="58">
        <v>2017</v>
      </c>
      <c r="G52" s="58">
        <v>2018</v>
      </c>
      <c r="H52" s="72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</row>
    <row r="53" spans="1:21" ht="31.5" hidden="1" x14ac:dyDescent="0.25">
      <c r="A53" s="9">
        <v>8</v>
      </c>
      <c r="B53" s="10" t="s">
        <v>18</v>
      </c>
      <c r="C53" s="63" t="s">
        <v>206</v>
      </c>
      <c r="D53" s="24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</row>
    <row r="54" spans="1:21" ht="15.75" hidden="1" x14ac:dyDescent="0.25">
      <c r="A54" s="9"/>
      <c r="B54" s="9" t="s">
        <v>180</v>
      </c>
      <c r="C54" s="23" t="s">
        <v>24</v>
      </c>
      <c r="D54" s="53">
        <v>7966</v>
      </c>
      <c r="E54" s="53">
        <v>5426</v>
      </c>
      <c r="F54" s="59">
        <f>E54+(E54*0.03)</f>
        <v>5588.78</v>
      </c>
      <c r="G54" s="59">
        <f>F54+(F54*0.03)</f>
        <v>5756.4434000000001</v>
      </c>
      <c r="H54" s="71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</row>
    <row r="55" spans="1:21" ht="16.5" hidden="1" thickBot="1" x14ac:dyDescent="0.3">
      <c r="A55" s="9"/>
      <c r="B55" s="9" t="s">
        <v>179</v>
      </c>
      <c r="C55" s="63" t="s">
        <v>207</v>
      </c>
      <c r="D55" s="25">
        <v>87484</v>
      </c>
      <c r="E55" s="25">
        <v>89706</v>
      </c>
      <c r="F55" s="54">
        <f t="shared" ref="F55" si="43">E55+(E55*0.03)</f>
        <v>92397.18</v>
      </c>
      <c r="G55" s="54">
        <f>F55+(F55*0.03)</f>
        <v>95169.095399999991</v>
      </c>
      <c r="H55" s="70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</row>
    <row r="56" spans="1:21" ht="16.5" hidden="1" thickBot="1" x14ac:dyDescent="0.3">
      <c r="A56" s="9"/>
      <c r="B56" s="10"/>
      <c r="C56" s="26" t="s">
        <v>18</v>
      </c>
      <c r="D56" s="27">
        <f>D54/D55</f>
        <v>9.1056650358922769E-2</v>
      </c>
      <c r="E56" s="27">
        <f t="shared" ref="E56:I56" si="44">E54/E55</f>
        <v>6.0486478050520591E-2</v>
      </c>
      <c r="F56" s="61">
        <f t="shared" si="44"/>
        <v>6.0486478050520591E-2</v>
      </c>
      <c r="G56" s="61">
        <f t="shared" si="44"/>
        <v>6.0486478050520598E-2</v>
      </c>
      <c r="H56" s="61"/>
      <c r="I56" s="32" t="e">
        <f t="shared" si="44"/>
        <v>#DIV/0!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</row>
    <row r="57" spans="1:21" s="1" customFormat="1" ht="15.75" hidden="1" x14ac:dyDescent="0.25">
      <c r="A57" s="28"/>
      <c r="B57" s="10" t="s">
        <v>11</v>
      </c>
      <c r="C57" s="29"/>
      <c r="D57" s="30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</row>
    <row r="58" spans="1:21" s="50" customFormat="1" ht="15.75" hidden="1" x14ac:dyDescent="0.25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</row>
    <row r="59" spans="1:21" ht="15.75" x14ac:dyDescent="0.25">
      <c r="A59" s="9"/>
      <c r="B59" s="10" t="s">
        <v>10</v>
      </c>
      <c r="C59" s="9"/>
      <c r="D59" s="9"/>
      <c r="E59" s="9"/>
      <c r="F59" s="9"/>
      <c r="G59" s="12"/>
      <c r="H59" s="12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</row>
    <row r="60" spans="1:21" ht="15.75" x14ac:dyDescent="0.25">
      <c r="A60" s="9"/>
      <c r="B60" s="10" t="s">
        <v>213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</row>
    <row r="61" spans="1:21" ht="15.75" x14ac:dyDescent="0.25">
      <c r="A61" s="9"/>
      <c r="B61" s="10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</row>
    <row r="62" spans="1:21" s="1" customFormat="1" ht="15.75" x14ac:dyDescent="0.25">
      <c r="A62" s="28"/>
      <c r="B62" s="68" t="s">
        <v>235</v>
      </c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</row>
    <row r="63" spans="1:21" s="1" customFormat="1" ht="17.25" customHeight="1" x14ac:dyDescent="0.25">
      <c r="A63" s="28"/>
      <c r="B63" s="68"/>
      <c r="C63" s="68"/>
      <c r="D63" s="28"/>
      <c r="E63" s="28"/>
      <c r="F63" s="28"/>
      <c r="G63" s="28"/>
      <c r="H63" s="28"/>
      <c r="I63" s="77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</row>
    <row r="64" spans="1:21" ht="15.75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FB682-6FBA-45DF-B3A6-5AD8CD7AAF51}">
  <dimension ref="A1:BC418"/>
  <sheetViews>
    <sheetView topLeftCell="A4" zoomScale="60" zoomScaleNormal="60" workbookViewId="0">
      <selection sqref="A1:XFD1048576"/>
    </sheetView>
  </sheetViews>
  <sheetFormatPr defaultColWidth="8.7109375" defaultRowHeight="15" x14ac:dyDescent="0.25"/>
  <cols>
    <col min="1" max="1" width="11.140625" bestFit="1" customWidth="1"/>
    <col min="5" max="5" width="13.7109375" customWidth="1"/>
    <col min="6" max="8" width="10.7109375" bestFit="1" customWidth="1"/>
    <col min="9" max="9" width="11.42578125" bestFit="1" customWidth="1"/>
    <col min="10" max="10" width="11.7109375" customWidth="1"/>
    <col min="11" max="11" width="5.140625" customWidth="1"/>
    <col min="12" max="13" width="11.7109375" customWidth="1"/>
    <col min="14" max="14" width="6.42578125" style="83" customWidth="1"/>
    <col min="15" max="15" width="11.7109375" customWidth="1"/>
    <col min="16" max="16" width="19.7109375" customWidth="1"/>
    <col min="17" max="17" width="15.7109375" bestFit="1" customWidth="1"/>
    <col min="18" max="18" width="19.140625" bestFit="1" customWidth="1"/>
    <col min="19" max="20" width="16.140625" bestFit="1" customWidth="1"/>
    <col min="21" max="21" width="15.140625" bestFit="1" customWidth="1"/>
    <col min="23" max="23" width="15.7109375" customWidth="1"/>
  </cols>
  <sheetData>
    <row r="1" spans="1:55" ht="15.75" x14ac:dyDescent="0.25">
      <c r="A1" s="9"/>
      <c r="B1" s="9"/>
      <c r="C1" s="9"/>
      <c r="D1" s="9"/>
      <c r="E1" s="9"/>
      <c r="F1" s="9"/>
      <c r="G1" s="9"/>
      <c r="H1" s="9"/>
      <c r="I1" s="9"/>
      <c r="J1" s="12"/>
      <c r="K1" s="12"/>
      <c r="L1" s="12"/>
      <c r="M1" s="12"/>
      <c r="N1" s="86"/>
      <c r="O1" s="9"/>
      <c r="P1" s="9"/>
      <c r="Q1" s="9"/>
      <c r="R1" s="9"/>
      <c r="S1" s="9"/>
      <c r="T1" s="9"/>
      <c r="U1" s="9"/>
      <c r="V1" s="241"/>
      <c r="W1" s="241"/>
    </row>
    <row r="2" spans="1:55" ht="15.75" x14ac:dyDescent="0.25">
      <c r="A2" s="9"/>
      <c r="B2" s="10" t="s">
        <v>36</v>
      </c>
      <c r="C2" s="9"/>
      <c r="D2" s="9"/>
      <c r="E2" s="9"/>
      <c r="F2" s="10" t="s">
        <v>37</v>
      </c>
      <c r="G2" s="9"/>
      <c r="H2" s="9"/>
      <c r="I2" s="10" t="s">
        <v>236</v>
      </c>
      <c r="J2" s="12"/>
      <c r="K2" s="12"/>
      <c r="L2" s="57" t="s">
        <v>239</v>
      </c>
      <c r="M2" s="241"/>
      <c r="N2" s="12"/>
      <c r="O2" s="9"/>
      <c r="P2" s="10" t="s">
        <v>245</v>
      </c>
      <c r="Q2" s="9"/>
      <c r="R2" s="9"/>
      <c r="S2" s="9"/>
      <c r="T2" s="9"/>
      <c r="U2" s="9"/>
      <c r="V2" s="241"/>
      <c r="W2" s="241"/>
    </row>
    <row r="3" spans="1:55" ht="15.75" x14ac:dyDescent="0.25">
      <c r="A3" s="9"/>
      <c r="B3" s="10"/>
      <c r="C3" s="9"/>
      <c r="D3" s="9"/>
      <c r="E3" s="9"/>
      <c r="F3" s="10"/>
      <c r="G3" s="9"/>
      <c r="H3" s="9"/>
      <c r="I3" s="10"/>
      <c r="J3" s="12"/>
      <c r="K3" s="12"/>
      <c r="L3" s="57"/>
      <c r="M3" s="241"/>
      <c r="N3" s="12"/>
      <c r="O3" s="9"/>
      <c r="P3" s="10"/>
      <c r="Q3" s="9"/>
      <c r="R3" s="9"/>
      <c r="S3" s="9"/>
      <c r="T3" s="9"/>
      <c r="U3" s="9"/>
      <c r="V3" s="241"/>
      <c r="W3" s="241"/>
    </row>
    <row r="4" spans="1:55" ht="16.5" thickBot="1" x14ac:dyDescent="0.3">
      <c r="A4" s="9"/>
      <c r="B4" s="9"/>
      <c r="C4" s="9"/>
      <c r="D4" s="9"/>
      <c r="E4" s="9"/>
      <c r="F4" s="123"/>
      <c r="G4" s="123"/>
      <c r="H4" s="123"/>
      <c r="I4" s="116" t="s">
        <v>214</v>
      </c>
      <c r="J4" s="124" t="s">
        <v>214</v>
      </c>
      <c r="K4" s="116"/>
      <c r="L4" s="116" t="s">
        <v>214</v>
      </c>
      <c r="M4" s="124" t="s">
        <v>214</v>
      </c>
      <c r="N4" s="116"/>
      <c r="O4" s="116"/>
      <c r="P4" s="116" t="s">
        <v>214</v>
      </c>
      <c r="Q4" s="116" t="s">
        <v>240</v>
      </c>
      <c r="R4" s="116" t="s">
        <v>241</v>
      </c>
      <c r="S4" s="116" t="s">
        <v>242</v>
      </c>
      <c r="T4" s="116" t="s">
        <v>243</v>
      </c>
      <c r="U4" s="116" t="s">
        <v>244</v>
      </c>
      <c r="V4" s="57"/>
      <c r="W4" s="9"/>
      <c r="X4" s="12"/>
      <c r="Y4" s="12"/>
      <c r="Z4" s="12"/>
      <c r="AA4" s="12"/>
      <c r="AB4" s="2"/>
      <c r="AC4" s="2"/>
      <c r="AD4" s="2"/>
      <c r="AE4" s="2"/>
      <c r="AF4" s="74"/>
      <c r="AG4" s="74"/>
      <c r="AH4" s="74"/>
      <c r="AI4" s="74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</row>
    <row r="5" spans="1:55" ht="16.5" thickBot="1" x14ac:dyDescent="0.3">
      <c r="A5" s="10" t="s">
        <v>11</v>
      </c>
      <c r="B5" s="9"/>
      <c r="C5" s="9"/>
      <c r="D5" s="9"/>
      <c r="E5" s="9"/>
      <c r="F5" s="117">
        <v>2014</v>
      </c>
      <c r="G5" s="117">
        <v>2015</v>
      </c>
      <c r="H5" s="117">
        <v>2016</v>
      </c>
      <c r="I5" s="117">
        <v>2017</v>
      </c>
      <c r="J5" s="117">
        <v>2018</v>
      </c>
      <c r="K5" s="125"/>
      <c r="L5" s="117">
        <v>2017</v>
      </c>
      <c r="M5" s="117">
        <v>2018</v>
      </c>
      <c r="N5" s="118"/>
      <c r="O5" s="116"/>
      <c r="P5" s="117">
        <f t="shared" ref="P5:P36" si="0">J5</f>
        <v>2018</v>
      </c>
      <c r="Q5" s="117">
        <v>2019</v>
      </c>
      <c r="R5" s="233">
        <v>2020</v>
      </c>
      <c r="S5" s="117">
        <v>2021</v>
      </c>
      <c r="T5" s="117">
        <v>2022</v>
      </c>
      <c r="U5" s="117">
        <v>2023</v>
      </c>
      <c r="V5" s="57"/>
      <c r="W5" s="9"/>
      <c r="X5" s="12"/>
      <c r="Y5" s="12"/>
      <c r="Z5" s="12"/>
      <c r="AA5" s="12"/>
      <c r="AB5" s="2"/>
      <c r="AC5" s="2"/>
      <c r="AD5" s="2"/>
      <c r="AE5" s="2"/>
      <c r="AF5" s="74"/>
      <c r="AG5" s="74"/>
      <c r="AH5" s="74"/>
      <c r="AI5" s="74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</row>
    <row r="6" spans="1:55" ht="15.75" x14ac:dyDescent="0.25">
      <c r="A6" s="9"/>
      <c r="B6" s="9" t="s">
        <v>30</v>
      </c>
      <c r="C6" s="9"/>
      <c r="D6" s="9"/>
      <c r="E6" s="12"/>
      <c r="F6" s="65"/>
      <c r="G6" s="65"/>
      <c r="H6" s="65"/>
      <c r="I6" s="65"/>
      <c r="J6" s="65"/>
      <c r="K6" s="12"/>
      <c r="L6" s="34"/>
      <c r="M6" s="34"/>
      <c r="N6" s="12"/>
      <c r="O6" s="12"/>
      <c r="P6" s="86"/>
      <c r="Q6" s="86"/>
      <c r="R6" s="86"/>
      <c r="S6" s="86"/>
      <c r="T6" s="86"/>
      <c r="U6" s="86"/>
      <c r="V6" s="12"/>
      <c r="W6" s="9"/>
      <c r="X6" s="12"/>
      <c r="Y6" s="12"/>
      <c r="Z6" s="12"/>
      <c r="AA6" s="12"/>
      <c r="AB6" s="2"/>
      <c r="AC6" s="2"/>
      <c r="AD6" s="2"/>
      <c r="AE6" s="2"/>
      <c r="AF6" s="74"/>
      <c r="AG6" s="74"/>
      <c r="AH6" s="74"/>
      <c r="AI6" s="74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</row>
    <row r="7" spans="1:55" ht="15.75" x14ac:dyDescent="0.25">
      <c r="A7" s="9"/>
      <c r="B7" s="9" t="s">
        <v>54</v>
      </c>
      <c r="C7" s="9"/>
      <c r="D7" s="9"/>
      <c r="E7" s="9"/>
      <c r="F7" s="98">
        <v>41545</v>
      </c>
      <c r="G7" s="98">
        <v>39801</v>
      </c>
      <c r="H7" s="98">
        <v>40735</v>
      </c>
      <c r="I7" s="98">
        <f>H7+(H7*0.03)</f>
        <v>41957.05</v>
      </c>
      <c r="J7" s="98">
        <f>I7+(I7*0.03)</f>
        <v>43215.761500000001</v>
      </c>
      <c r="K7" s="106"/>
      <c r="L7" s="98">
        <f>J7+(J7*0.03)</f>
        <v>44512.234344999997</v>
      </c>
      <c r="M7" s="98">
        <f>L7+(L7*0.03)</f>
        <v>45847.601375349994</v>
      </c>
      <c r="N7" s="106"/>
      <c r="O7" s="106"/>
      <c r="P7" s="98">
        <f t="shared" si="0"/>
        <v>43215.761500000001</v>
      </c>
      <c r="Q7" s="98">
        <f>P7*(1+2.16%)</f>
        <v>44149.221948400002</v>
      </c>
      <c r="R7" s="98">
        <f>Q7*(1+(-3.51%))</f>
        <v>42599.584258011164</v>
      </c>
      <c r="S7" s="98">
        <f>R7*(1+6.39%)</f>
        <v>45321.697692098081</v>
      </c>
      <c r="T7" s="98">
        <f>S7*(1+3.52%)</f>
        <v>46917.021450859931</v>
      </c>
      <c r="U7" s="98">
        <f>T7*(1+1.41%)</f>
        <v>47578.551453317057</v>
      </c>
      <c r="V7" s="70"/>
      <c r="W7" s="9"/>
      <c r="X7" s="12"/>
      <c r="Y7" s="12"/>
      <c r="Z7" s="12"/>
      <c r="AA7" s="12"/>
      <c r="AB7" s="2"/>
      <c r="AC7" s="2"/>
      <c r="AD7" s="2"/>
      <c r="AE7" s="2"/>
      <c r="AF7" s="74"/>
      <c r="AG7" s="74"/>
      <c r="AH7" s="74"/>
      <c r="AI7" s="74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</row>
    <row r="8" spans="1:55" ht="15.75" x14ac:dyDescent="0.25">
      <c r="A8" s="12"/>
      <c r="B8" s="9" t="s">
        <v>55</v>
      </c>
      <c r="C8" s="9"/>
      <c r="D8" s="9"/>
      <c r="E8" s="9"/>
      <c r="F8" s="98">
        <v>16355</v>
      </c>
      <c r="G8" s="98">
        <v>16297</v>
      </c>
      <c r="H8" s="98">
        <v>16509</v>
      </c>
      <c r="I8" s="98">
        <f t="shared" ref="I8:J8" si="1">H8+(H8*0.03)</f>
        <v>17004.27</v>
      </c>
      <c r="J8" s="98">
        <f t="shared" si="1"/>
        <v>17514.398100000002</v>
      </c>
      <c r="K8" s="107"/>
      <c r="L8" s="98">
        <f t="shared" ref="L8" si="2">J8+(J8*0.03)</f>
        <v>18039.830043000002</v>
      </c>
      <c r="M8" s="98">
        <f t="shared" ref="M8:M18" si="3">L8+(L8*0.03)</f>
        <v>18581.024944290002</v>
      </c>
      <c r="N8" s="106"/>
      <c r="O8" s="106"/>
      <c r="P8" s="98">
        <f t="shared" si="0"/>
        <v>17514.398100000002</v>
      </c>
      <c r="Q8" s="98">
        <f t="shared" ref="Q8:Q71" si="4">P8*(1+2.16%)</f>
        <v>17892.709098960004</v>
      </c>
      <c r="R8" s="98">
        <f t="shared" ref="R8:R71" si="5">Q8*(1+(-3.51%))</f>
        <v>17264.675009586506</v>
      </c>
      <c r="S8" s="98">
        <f t="shared" ref="S8:S71" si="6">R8*(1+6.39%)</f>
        <v>18367.887742699084</v>
      </c>
      <c r="T8" s="98">
        <f t="shared" ref="T8:T71" si="7">S8*(1+3.52%)</f>
        <v>19014.437391242089</v>
      </c>
      <c r="U8" s="98">
        <f t="shared" ref="U8:U71" si="8">T8*(1+1.41%)</f>
        <v>19282.540958458601</v>
      </c>
      <c r="V8" s="70"/>
      <c r="W8" s="56" t="s">
        <v>230</v>
      </c>
      <c r="X8" s="12"/>
      <c r="Y8" s="2"/>
      <c r="Z8" s="12"/>
      <c r="AA8" s="12"/>
      <c r="AB8" s="2"/>
      <c r="AC8" s="2"/>
      <c r="AD8" s="2"/>
      <c r="AE8" s="2"/>
      <c r="AF8" s="74"/>
      <c r="AG8" s="74"/>
      <c r="AH8" s="74"/>
      <c r="AI8" s="74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</row>
    <row r="9" spans="1:55" s="43" customFormat="1" ht="15.75" x14ac:dyDescent="0.25">
      <c r="A9" s="73"/>
      <c r="B9" s="96"/>
      <c r="C9" s="96"/>
      <c r="D9" s="96"/>
      <c r="E9" s="96"/>
      <c r="F9" s="100">
        <v>57900</v>
      </c>
      <c r="G9" s="100">
        <v>56098</v>
      </c>
      <c r="H9" s="100">
        <v>57244</v>
      </c>
      <c r="I9" s="100">
        <f>H9+(H9*0.03)</f>
        <v>58961.32</v>
      </c>
      <c r="J9" s="100">
        <f t="shared" ref="J9" si="9">I9+(I9*0.03)</f>
        <v>60730.159599999999</v>
      </c>
      <c r="K9" s="109"/>
      <c r="L9" s="100">
        <f>J9+(J9*0.03)-Y9</f>
        <v>62552.064387999999</v>
      </c>
      <c r="M9" s="100">
        <f t="shared" si="3"/>
        <v>64428.626319639996</v>
      </c>
      <c r="N9" s="110"/>
      <c r="O9" s="110"/>
      <c r="P9" s="100">
        <f t="shared" si="0"/>
        <v>60730.159599999999</v>
      </c>
      <c r="Q9" s="98">
        <f t="shared" si="4"/>
        <v>62041.931047360005</v>
      </c>
      <c r="R9" s="98">
        <f t="shared" si="5"/>
        <v>59864.25926759767</v>
      </c>
      <c r="S9" s="98">
        <f t="shared" si="6"/>
        <v>63689.585434797169</v>
      </c>
      <c r="T9" s="98">
        <f t="shared" si="7"/>
        <v>65931.458842102016</v>
      </c>
      <c r="U9" s="98">
        <f t="shared" si="8"/>
        <v>66861.092411775651</v>
      </c>
      <c r="V9" s="81"/>
      <c r="W9" s="249">
        <v>14894</v>
      </c>
      <c r="X9" s="73"/>
      <c r="Y9" s="74"/>
      <c r="Z9" s="73"/>
      <c r="AA9" s="73"/>
      <c r="AB9" s="74"/>
      <c r="AC9" s="74"/>
      <c r="AD9" s="74"/>
      <c r="AE9" s="74"/>
      <c r="AF9" s="74"/>
      <c r="AG9" s="74"/>
      <c r="AH9" s="74"/>
      <c r="AI9" s="74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</row>
    <row r="10" spans="1:55" ht="15.75" x14ac:dyDescent="0.25">
      <c r="A10" s="12"/>
      <c r="B10" s="9" t="s">
        <v>31</v>
      </c>
      <c r="C10" s="9"/>
      <c r="D10" s="9"/>
      <c r="E10" s="95"/>
      <c r="F10" s="167"/>
      <c r="G10" s="167"/>
      <c r="H10" s="167"/>
      <c r="I10" s="167"/>
      <c r="J10" s="167"/>
      <c r="K10" s="106"/>
      <c r="L10" s="167"/>
      <c r="M10" s="167"/>
      <c r="N10" s="106"/>
      <c r="O10" s="106"/>
      <c r="P10" s="167"/>
      <c r="Q10" s="167"/>
      <c r="R10" s="167"/>
      <c r="S10" s="167"/>
      <c r="T10" s="167"/>
      <c r="U10" s="167"/>
      <c r="V10" s="70"/>
      <c r="W10" s="9"/>
      <c r="X10" s="12"/>
      <c r="Y10" s="12"/>
      <c r="Z10" s="12"/>
      <c r="AA10" s="12"/>
      <c r="AB10" s="2"/>
      <c r="AC10" s="2"/>
      <c r="AD10" s="2"/>
      <c r="AE10" s="2"/>
      <c r="AF10" s="74"/>
      <c r="AG10" s="74"/>
      <c r="AH10" s="74"/>
      <c r="AI10" s="74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</row>
    <row r="11" spans="1:55" ht="15.75" x14ac:dyDescent="0.25">
      <c r="A11" s="12"/>
      <c r="B11" s="9" t="s">
        <v>56</v>
      </c>
      <c r="C11" s="9"/>
      <c r="D11" s="9"/>
      <c r="E11" s="9"/>
      <c r="F11" s="98">
        <v>30367</v>
      </c>
      <c r="G11" s="98">
        <v>29771</v>
      </c>
      <c r="H11" s="98">
        <v>30325</v>
      </c>
      <c r="I11" s="98">
        <f t="shared" ref="I11:J11" si="10">H11+(H11*0.03)</f>
        <v>31234.75</v>
      </c>
      <c r="J11" s="98">
        <f t="shared" si="10"/>
        <v>32171.7925</v>
      </c>
      <c r="K11" s="106"/>
      <c r="L11" s="98">
        <f t="shared" ref="L11:L16" si="11">J11+(J11*0.03)</f>
        <v>33136.946275000002</v>
      </c>
      <c r="M11" s="98">
        <f t="shared" si="3"/>
        <v>34131.054663250005</v>
      </c>
      <c r="N11" s="106"/>
      <c r="O11" s="106"/>
      <c r="P11" s="98">
        <f t="shared" si="0"/>
        <v>32171.7925</v>
      </c>
      <c r="Q11" s="98">
        <f t="shared" si="4"/>
        <v>32866.703218000002</v>
      </c>
      <c r="R11" s="98">
        <f t="shared" si="5"/>
        <v>31713.081935048202</v>
      </c>
      <c r="S11" s="99">
        <f t="shared" si="6"/>
        <v>33739.547870697781</v>
      </c>
      <c r="T11" s="98">
        <f t="shared" si="7"/>
        <v>34927.179955746338</v>
      </c>
      <c r="U11" s="98">
        <f t="shared" si="8"/>
        <v>35419.653193122358</v>
      </c>
      <c r="V11" s="70"/>
      <c r="W11" s="9"/>
      <c r="X11" s="12"/>
      <c r="Y11" s="12"/>
      <c r="Z11" s="12"/>
      <c r="AA11" s="12"/>
      <c r="AB11" s="2"/>
      <c r="AC11" s="2"/>
      <c r="AD11" s="2"/>
      <c r="AE11" s="2"/>
      <c r="AF11" s="74"/>
      <c r="AG11" s="74"/>
      <c r="AH11" s="74"/>
      <c r="AI11" s="74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</row>
    <row r="12" spans="1:55" ht="15.75" x14ac:dyDescent="0.25">
      <c r="A12" s="12"/>
      <c r="B12" s="9" t="s">
        <v>57</v>
      </c>
      <c r="C12" s="9"/>
      <c r="D12" s="9"/>
      <c r="E12" s="9"/>
      <c r="F12" s="98">
        <v>10531</v>
      </c>
      <c r="G12" s="98">
        <v>10660</v>
      </c>
      <c r="H12" s="98">
        <v>11135</v>
      </c>
      <c r="I12" s="98">
        <f t="shared" ref="I12:J12" si="12">H12+(H12*0.03)</f>
        <v>11469.05</v>
      </c>
      <c r="J12" s="98">
        <f t="shared" si="12"/>
        <v>11813.121499999999</v>
      </c>
      <c r="K12" s="106"/>
      <c r="L12" s="98">
        <f t="shared" si="11"/>
        <v>12167.515144999999</v>
      </c>
      <c r="M12" s="98">
        <f t="shared" si="3"/>
        <v>12532.540599349999</v>
      </c>
      <c r="N12" s="106"/>
      <c r="O12" s="106"/>
      <c r="P12" s="98">
        <f t="shared" si="0"/>
        <v>11813.121499999999</v>
      </c>
      <c r="Q12" s="98">
        <f t="shared" si="4"/>
        <v>12068.284924400001</v>
      </c>
      <c r="R12" s="98">
        <f t="shared" si="5"/>
        <v>11644.68812355356</v>
      </c>
      <c r="S12" s="98">
        <f t="shared" si="6"/>
        <v>12388.783694648633</v>
      </c>
      <c r="T12" s="98">
        <f t="shared" si="7"/>
        <v>12824.868880700264</v>
      </c>
      <c r="U12" s="98">
        <f t="shared" si="8"/>
        <v>13005.699531918137</v>
      </c>
      <c r="V12" s="70"/>
      <c r="W12" s="9"/>
      <c r="X12" s="12"/>
      <c r="Y12" s="12"/>
      <c r="Z12" s="12"/>
      <c r="AA12" s="12"/>
      <c r="AB12" s="2"/>
      <c r="AC12" s="2"/>
      <c r="AD12" s="2"/>
      <c r="AE12" s="2"/>
      <c r="AF12" s="74"/>
      <c r="AG12" s="74"/>
      <c r="AH12" s="74"/>
      <c r="AI12" s="74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</row>
    <row r="13" spans="1:55" ht="15.75" x14ac:dyDescent="0.25">
      <c r="A13" s="12"/>
      <c r="B13" s="9" t="s">
        <v>58</v>
      </c>
      <c r="C13" s="9"/>
      <c r="D13" s="9"/>
      <c r="E13" s="9"/>
      <c r="F13" s="98">
        <v>2475</v>
      </c>
      <c r="G13" s="98">
        <v>2279</v>
      </c>
      <c r="H13" s="98">
        <v>2337</v>
      </c>
      <c r="I13" s="98">
        <f t="shared" ref="I13:J13" si="13">H13+(H13*0.03)</f>
        <v>2407.11</v>
      </c>
      <c r="J13" s="98">
        <f t="shared" si="13"/>
        <v>2479.3233</v>
      </c>
      <c r="K13" s="106"/>
      <c r="L13" s="98">
        <f t="shared" si="11"/>
        <v>2553.7029990000001</v>
      </c>
      <c r="M13" s="98">
        <f t="shared" si="3"/>
        <v>2630.3140889700003</v>
      </c>
      <c r="N13" s="106"/>
      <c r="O13" s="106"/>
      <c r="P13" s="98">
        <f t="shared" si="0"/>
        <v>2479.3233</v>
      </c>
      <c r="Q13" s="98">
        <f t="shared" si="4"/>
        <v>2532.8766832800002</v>
      </c>
      <c r="R13" s="98">
        <f t="shared" si="5"/>
        <v>2443.972711696872</v>
      </c>
      <c r="S13" s="98">
        <f t="shared" si="6"/>
        <v>2600.1425679743024</v>
      </c>
      <c r="T13" s="98">
        <f t="shared" si="7"/>
        <v>2691.6675863669975</v>
      </c>
      <c r="U13" s="98">
        <f t="shared" si="8"/>
        <v>2729.620099334772</v>
      </c>
      <c r="V13" s="70"/>
      <c r="W13" s="9"/>
      <c r="X13" s="12"/>
      <c r="Y13" s="12"/>
      <c r="Z13" s="12"/>
      <c r="AA13" s="12"/>
      <c r="AB13" s="2"/>
      <c r="AC13" s="2"/>
      <c r="AD13" s="2"/>
      <c r="AE13" s="2"/>
      <c r="AF13" s="74"/>
      <c r="AG13" s="74"/>
      <c r="AH13" s="74"/>
      <c r="AI13" s="74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</row>
    <row r="14" spans="1:55" s="6" customFormat="1" ht="15.75" x14ac:dyDescent="0.25">
      <c r="A14" s="12"/>
      <c r="B14" s="34" t="s">
        <v>59</v>
      </c>
      <c r="C14" s="34"/>
      <c r="D14" s="34"/>
      <c r="E14" s="34"/>
      <c r="F14" s="98">
        <v>6172</v>
      </c>
      <c r="G14" s="98">
        <v>5886</v>
      </c>
      <c r="H14" s="98">
        <v>6060</v>
      </c>
      <c r="I14" s="98">
        <f t="shared" ref="I14:J14" si="14">H14+(H14*0.03)</f>
        <v>6241.8</v>
      </c>
      <c r="J14" s="98">
        <f t="shared" si="14"/>
        <v>6429.0540000000001</v>
      </c>
      <c r="K14" s="106"/>
      <c r="L14" s="98">
        <f t="shared" si="11"/>
        <v>6621.92562</v>
      </c>
      <c r="M14" s="98">
        <f t="shared" si="3"/>
        <v>6820.5833886</v>
      </c>
      <c r="N14" s="106"/>
      <c r="O14" s="106"/>
      <c r="P14" s="98">
        <f t="shared" si="0"/>
        <v>6429.0540000000001</v>
      </c>
      <c r="Q14" s="98">
        <f t="shared" si="4"/>
        <v>6567.9215664000003</v>
      </c>
      <c r="R14" s="98">
        <f t="shared" si="5"/>
        <v>6337.3875194193597</v>
      </c>
      <c r="S14" s="98">
        <f t="shared" si="6"/>
        <v>6742.3465819102576</v>
      </c>
      <c r="T14" s="98">
        <f t="shared" si="7"/>
        <v>6979.6771815934981</v>
      </c>
      <c r="U14" s="98">
        <f t="shared" si="8"/>
        <v>7078.0906298539667</v>
      </c>
      <c r="V14" s="70"/>
      <c r="W14" s="12"/>
      <c r="X14" s="12"/>
      <c r="Y14" s="12"/>
      <c r="Z14" s="12"/>
      <c r="AA14" s="12"/>
      <c r="AB14" s="2"/>
      <c r="AC14" s="2"/>
      <c r="AD14" s="2"/>
      <c r="AE14" s="2"/>
      <c r="AF14" s="74"/>
      <c r="AG14" s="74"/>
      <c r="AH14" s="74"/>
      <c r="AI14" s="74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</row>
    <row r="15" spans="1:55" ht="15.75" x14ac:dyDescent="0.25">
      <c r="A15" s="12"/>
      <c r="B15" s="9"/>
      <c r="C15" s="9"/>
      <c r="D15" s="9"/>
      <c r="E15" s="9"/>
      <c r="F15" s="98">
        <v>49545</v>
      </c>
      <c r="G15" s="98">
        <v>48596</v>
      </c>
      <c r="H15" s="98">
        <v>49857</v>
      </c>
      <c r="I15" s="98">
        <f t="shared" ref="I15:J15" si="15">H15+(H15*0.03)</f>
        <v>51352.71</v>
      </c>
      <c r="J15" s="98">
        <f t="shared" si="15"/>
        <v>52893.291299999997</v>
      </c>
      <c r="K15" s="106"/>
      <c r="L15" s="98">
        <f t="shared" si="11"/>
        <v>54480.090038999995</v>
      </c>
      <c r="M15" s="98">
        <f t="shared" si="3"/>
        <v>56114.492740169997</v>
      </c>
      <c r="N15" s="106"/>
      <c r="O15" s="106"/>
      <c r="P15" s="98">
        <f t="shared" si="0"/>
        <v>52893.291299999997</v>
      </c>
      <c r="Q15" s="98">
        <f t="shared" si="4"/>
        <v>54035.786392080001</v>
      </c>
      <c r="R15" s="98">
        <f t="shared" si="5"/>
        <v>52139.130289717992</v>
      </c>
      <c r="S15" s="98">
        <f t="shared" si="6"/>
        <v>55470.820715230977</v>
      </c>
      <c r="T15" s="98">
        <f t="shared" si="7"/>
        <v>57423.393604407102</v>
      </c>
      <c r="U15" s="98">
        <f t="shared" si="8"/>
        <v>58233.063454229239</v>
      </c>
      <c r="V15" s="70"/>
      <c r="W15" s="9"/>
      <c r="X15" s="12"/>
      <c r="Y15" s="12"/>
      <c r="Z15" s="12"/>
      <c r="AA15" s="12"/>
      <c r="AB15" s="2"/>
      <c r="AC15" s="2"/>
      <c r="AD15" s="2"/>
      <c r="AE15" s="2"/>
      <c r="AF15" s="74"/>
      <c r="AG15" s="74"/>
      <c r="AH15" s="74"/>
      <c r="AI15" s="74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</row>
    <row r="16" spans="1:55" s="6" customFormat="1" ht="15.75" x14ac:dyDescent="0.25">
      <c r="A16" s="12"/>
      <c r="B16" s="34" t="s">
        <v>60</v>
      </c>
      <c r="C16" s="34"/>
      <c r="D16" s="34"/>
      <c r="E16" s="34"/>
      <c r="F16" s="98">
        <v>1238</v>
      </c>
      <c r="G16" s="98">
        <v>-211</v>
      </c>
      <c r="H16" s="98">
        <v>785</v>
      </c>
      <c r="I16" s="98">
        <f t="shared" ref="I16:J16" si="16">H16+(H16*0.03)</f>
        <v>808.55</v>
      </c>
      <c r="J16" s="98">
        <f t="shared" si="16"/>
        <v>832.80649999999991</v>
      </c>
      <c r="K16" s="106"/>
      <c r="L16" s="98">
        <f t="shared" si="11"/>
        <v>857.79069499999991</v>
      </c>
      <c r="M16" s="98">
        <f t="shared" si="3"/>
        <v>883.52441584999997</v>
      </c>
      <c r="N16" s="106"/>
      <c r="O16" s="106"/>
      <c r="P16" s="98">
        <f t="shared" si="0"/>
        <v>832.80649999999991</v>
      </c>
      <c r="Q16" s="98">
        <f t="shared" si="4"/>
        <v>850.79512039999997</v>
      </c>
      <c r="R16" s="98">
        <f t="shared" si="5"/>
        <v>820.93221167395996</v>
      </c>
      <c r="S16" s="98">
        <f t="shared" si="6"/>
        <v>873.38977999992608</v>
      </c>
      <c r="T16" s="98">
        <f t="shared" si="7"/>
        <v>904.13310025592341</v>
      </c>
      <c r="U16" s="98">
        <f t="shared" si="8"/>
        <v>916.88137696953197</v>
      </c>
      <c r="V16" s="70"/>
      <c r="W16" s="12"/>
      <c r="X16" s="12"/>
      <c r="Y16" s="12"/>
      <c r="Z16" s="12"/>
      <c r="AA16" s="12"/>
      <c r="AB16" s="2"/>
      <c r="AC16" s="2"/>
      <c r="AD16" s="2"/>
      <c r="AE16" s="2"/>
      <c r="AF16" s="74"/>
      <c r="AG16" s="74"/>
      <c r="AH16" s="74"/>
      <c r="AI16" s="74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</row>
    <row r="17" spans="1:55" ht="15.75" x14ac:dyDescent="0.25">
      <c r="A17" s="12"/>
      <c r="B17" s="9" t="s">
        <v>61</v>
      </c>
      <c r="C17" s="9"/>
      <c r="D17" s="9"/>
      <c r="E17" s="9"/>
      <c r="F17" s="98">
        <v>9593</v>
      </c>
      <c r="G17" s="98">
        <v>7291</v>
      </c>
      <c r="H17" s="98">
        <v>8172</v>
      </c>
      <c r="I17" s="100">
        <f>H17+(H17*0.03)-W18</f>
        <v>6872.16</v>
      </c>
      <c r="J17" s="100">
        <f t="shared" ref="J17" si="17">I17+(I17*0.03)</f>
        <v>7078.3247999999994</v>
      </c>
      <c r="K17" s="110"/>
      <c r="L17" s="100">
        <f>J17+(J17*0.03)-Y18</f>
        <v>7290.6745439999995</v>
      </c>
      <c r="M17" s="100">
        <f t="shared" si="3"/>
        <v>7509.3947803199999</v>
      </c>
      <c r="N17" s="110"/>
      <c r="O17" s="110"/>
      <c r="P17" s="100">
        <f t="shared" si="0"/>
        <v>7078.3247999999994</v>
      </c>
      <c r="Q17" s="98">
        <f t="shared" si="4"/>
        <v>7231.2166156799994</v>
      </c>
      <c r="R17" s="98">
        <f t="shared" si="5"/>
        <v>6977.4009124696313</v>
      </c>
      <c r="S17" s="98">
        <f t="shared" si="6"/>
        <v>7423.2568307764413</v>
      </c>
      <c r="T17" s="98">
        <f t="shared" si="7"/>
        <v>7684.5554712197709</v>
      </c>
      <c r="U17" s="98">
        <f t="shared" si="8"/>
        <v>7792.9077033639696</v>
      </c>
      <c r="V17" s="71"/>
      <c r="W17" s="12" t="s">
        <v>231</v>
      </c>
      <c r="X17" s="12"/>
      <c r="Y17" s="12"/>
      <c r="Z17" s="12"/>
      <c r="AA17" s="12"/>
      <c r="AB17" s="2"/>
      <c r="AC17" s="2"/>
      <c r="AD17" s="2"/>
      <c r="AE17" s="2"/>
      <c r="AF17" s="74"/>
      <c r="AG17" s="74"/>
      <c r="AH17" s="74"/>
      <c r="AI17" s="74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</row>
    <row r="18" spans="1:55" s="6" customFormat="1" ht="15.75" x14ac:dyDescent="0.25">
      <c r="A18" s="12"/>
      <c r="B18" s="34" t="s">
        <v>62</v>
      </c>
      <c r="C18" s="34"/>
      <c r="D18" s="34"/>
      <c r="E18" s="34"/>
      <c r="F18" s="98">
        <v>881</v>
      </c>
      <c r="G18" s="98">
        <v>824</v>
      </c>
      <c r="H18" s="98">
        <v>1039</v>
      </c>
      <c r="I18" s="98">
        <f t="shared" ref="I18:J18" si="18">H18+(H18*0.03)</f>
        <v>1070.17</v>
      </c>
      <c r="J18" s="98">
        <f t="shared" si="18"/>
        <v>1102.2751000000001</v>
      </c>
      <c r="K18" s="106"/>
      <c r="L18" s="98">
        <f t="shared" ref="L18" si="19">J18+(J18*0.03)</f>
        <v>1135.343353</v>
      </c>
      <c r="M18" s="98">
        <f t="shared" si="3"/>
        <v>1169.40365359</v>
      </c>
      <c r="N18" s="106"/>
      <c r="O18" s="106"/>
      <c r="P18" s="98">
        <f t="shared" si="0"/>
        <v>1102.2751000000001</v>
      </c>
      <c r="Q18" s="98">
        <f t="shared" si="4"/>
        <v>1126.08424216</v>
      </c>
      <c r="R18" s="98">
        <f t="shared" si="5"/>
        <v>1086.5586852601841</v>
      </c>
      <c r="S18" s="98">
        <f t="shared" si="6"/>
        <v>1155.98978524831</v>
      </c>
      <c r="T18" s="98">
        <f t="shared" si="7"/>
        <v>1196.6806256890504</v>
      </c>
      <c r="U18" s="98">
        <f t="shared" si="8"/>
        <v>1213.5538225112659</v>
      </c>
      <c r="V18" s="80"/>
      <c r="W18" s="250">
        <v>1545</v>
      </c>
      <c r="X18" s="12"/>
      <c r="Y18" s="12"/>
      <c r="Z18" s="12"/>
      <c r="AA18" s="12"/>
      <c r="AB18" s="2"/>
      <c r="AC18" s="2"/>
      <c r="AD18" s="2"/>
      <c r="AE18" s="2"/>
      <c r="AF18" s="74"/>
      <c r="AG18" s="74"/>
      <c r="AH18" s="74"/>
      <c r="AI18" s="74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</row>
    <row r="19" spans="1:55" ht="15.75" x14ac:dyDescent="0.25">
      <c r="A19" s="12"/>
      <c r="B19" s="9" t="s">
        <v>63</v>
      </c>
      <c r="C19" s="9"/>
      <c r="D19" s="9"/>
      <c r="E19" s="9"/>
      <c r="F19" s="98">
        <v>8712</v>
      </c>
      <c r="G19" s="98">
        <v>6467</v>
      </c>
      <c r="H19" s="98">
        <v>7133</v>
      </c>
      <c r="I19" s="100">
        <f>5801.99+(5801.99*0.03)</f>
        <v>5976.0496999999996</v>
      </c>
      <c r="J19" s="100">
        <f>5976.04+(5976.04*0.03)</f>
        <v>6155.3212000000003</v>
      </c>
      <c r="K19" s="110"/>
      <c r="L19" s="100">
        <f>5801.99+(5801.99*0.03)</f>
        <v>5976.0496999999996</v>
      </c>
      <c r="M19" s="100">
        <f>5976.04+(5976.04*0.03)</f>
        <v>6155.3212000000003</v>
      </c>
      <c r="N19" s="110"/>
      <c r="O19" s="110"/>
      <c r="P19" s="100">
        <f t="shared" si="0"/>
        <v>6155.3212000000003</v>
      </c>
      <c r="Q19" s="98">
        <f t="shared" si="4"/>
        <v>6288.276137920001</v>
      </c>
      <c r="R19" s="98">
        <f t="shared" si="5"/>
        <v>6067.5576454790089</v>
      </c>
      <c r="S19" s="98">
        <f t="shared" si="6"/>
        <v>6455.2745790251183</v>
      </c>
      <c r="T19" s="98">
        <f t="shared" si="7"/>
        <v>6682.5002442068017</v>
      </c>
      <c r="U19" s="98">
        <f t="shared" si="8"/>
        <v>6776.7234976501177</v>
      </c>
      <c r="V19" s="70"/>
      <c r="W19" s="9"/>
      <c r="X19" s="12"/>
      <c r="Y19" s="12"/>
      <c r="Z19" s="12"/>
      <c r="AA19" s="1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</row>
    <row r="20" spans="1:55" s="6" customFormat="1" ht="15.75" x14ac:dyDescent="0.25">
      <c r="A20" s="12"/>
      <c r="B20" s="34" t="s">
        <v>64</v>
      </c>
      <c r="C20" s="34"/>
      <c r="D20" s="34"/>
      <c r="E20" s="34"/>
      <c r="F20" s="98">
        <v>2244</v>
      </c>
      <c r="G20" s="98">
        <v>2111</v>
      </c>
      <c r="H20" s="98">
        <v>1697</v>
      </c>
      <c r="I20" s="98">
        <f t="shared" ref="I20:J20" si="20">H20+(H20*0.03)</f>
        <v>1747.91</v>
      </c>
      <c r="J20" s="98">
        <f t="shared" si="20"/>
        <v>1800.3473000000001</v>
      </c>
      <c r="K20" s="106"/>
      <c r="L20" s="98">
        <f t="shared" ref="L20" si="21">J20+(J20*0.03)</f>
        <v>1854.3577190000001</v>
      </c>
      <c r="M20" s="98">
        <f t="shared" ref="M20" si="22">L20+(L20*0.03)</f>
        <v>1909.9884505700002</v>
      </c>
      <c r="N20" s="106"/>
      <c r="O20" s="106"/>
      <c r="P20" s="98">
        <f t="shared" si="0"/>
        <v>1800.3473000000001</v>
      </c>
      <c r="Q20" s="98">
        <f t="shared" si="4"/>
        <v>1839.2348016800001</v>
      </c>
      <c r="R20" s="98">
        <f t="shared" si="5"/>
        <v>1774.677660141032</v>
      </c>
      <c r="S20" s="98">
        <f t="shared" si="6"/>
        <v>1888.079562624044</v>
      </c>
      <c r="T20" s="98">
        <f t="shared" si="7"/>
        <v>1954.5399632284102</v>
      </c>
      <c r="U20" s="98">
        <f t="shared" si="8"/>
        <v>1982.0989767099309</v>
      </c>
      <c r="V20" s="70"/>
      <c r="W20" s="12"/>
      <c r="X20" s="12"/>
      <c r="Y20" s="12"/>
      <c r="Z20" s="12"/>
      <c r="AA20" s="1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</row>
    <row r="21" spans="1:55" ht="15.75" x14ac:dyDescent="0.25">
      <c r="A21" s="12"/>
      <c r="B21" s="9" t="s">
        <v>65</v>
      </c>
      <c r="C21" s="9"/>
      <c r="D21" s="9"/>
      <c r="E21" s="9"/>
      <c r="F21" s="98">
        <v>6468</v>
      </c>
      <c r="G21" s="98">
        <v>4356</v>
      </c>
      <c r="H21" s="98">
        <v>5436</v>
      </c>
      <c r="I21" s="100">
        <f>4228.13+(4228.13*0.03)</f>
        <v>4354.9739</v>
      </c>
      <c r="J21" s="100">
        <f>4354.97+(4354.97*0.03)</f>
        <v>4485.6190999999999</v>
      </c>
      <c r="K21" s="110"/>
      <c r="L21" s="100">
        <f>4228.13+(4228.13*0.03)</f>
        <v>4354.9739</v>
      </c>
      <c r="M21" s="100">
        <f>4354.97+(4354.97*0.03)</f>
        <v>4485.6190999999999</v>
      </c>
      <c r="N21" s="110"/>
      <c r="O21" s="110"/>
      <c r="P21" s="100">
        <f t="shared" si="0"/>
        <v>4485.6190999999999</v>
      </c>
      <c r="Q21" s="98">
        <f t="shared" si="4"/>
        <v>4582.50847256</v>
      </c>
      <c r="R21" s="98">
        <f t="shared" si="5"/>
        <v>4421.6624251731437</v>
      </c>
      <c r="S21" s="98">
        <f t="shared" si="6"/>
        <v>4704.206654141708</v>
      </c>
      <c r="T21" s="98">
        <f t="shared" si="7"/>
        <v>4869.7947283674957</v>
      </c>
      <c r="U21" s="98">
        <f t="shared" si="8"/>
        <v>4938.4588340374776</v>
      </c>
      <c r="V21" s="70"/>
      <c r="W21" s="9"/>
      <c r="X21" s="12"/>
      <c r="Y21" s="12"/>
      <c r="Z21" s="12"/>
      <c r="AA21" s="1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</row>
    <row r="22" spans="1:55" ht="15.75" x14ac:dyDescent="0.25">
      <c r="A22" s="12"/>
      <c r="B22" s="9" t="s">
        <v>66</v>
      </c>
      <c r="C22" s="9"/>
      <c r="D22" s="9"/>
      <c r="E22" s="9"/>
      <c r="F22" s="98">
        <v>402</v>
      </c>
      <c r="G22" s="98">
        <v>360</v>
      </c>
      <c r="H22" s="98">
        <v>371</v>
      </c>
      <c r="I22" s="98">
        <f t="shared" ref="I22:J22" si="23">H22+(H22*0.03)</f>
        <v>382.13</v>
      </c>
      <c r="J22" s="98">
        <f t="shared" si="23"/>
        <v>393.59390000000002</v>
      </c>
      <c r="K22" s="107"/>
      <c r="L22" s="98">
        <f t="shared" ref="L22" si="24">J22+(J22*0.03)</f>
        <v>405.40171700000002</v>
      </c>
      <c r="M22" s="98">
        <f t="shared" ref="M22" si="25">L22+(L22*0.03)</f>
        <v>417.56376851000005</v>
      </c>
      <c r="N22" s="106"/>
      <c r="O22" s="106"/>
      <c r="P22" s="98">
        <f t="shared" si="0"/>
        <v>393.59390000000002</v>
      </c>
      <c r="Q22" s="98">
        <f t="shared" si="4"/>
        <v>402.09552824000002</v>
      </c>
      <c r="R22" s="98">
        <f t="shared" si="5"/>
        <v>387.98197519877601</v>
      </c>
      <c r="S22" s="98">
        <f t="shared" si="6"/>
        <v>412.77402341397783</v>
      </c>
      <c r="T22" s="98">
        <f t="shared" si="7"/>
        <v>427.30366903814979</v>
      </c>
      <c r="U22" s="98">
        <f t="shared" si="8"/>
        <v>433.32865077158772</v>
      </c>
      <c r="V22" s="70"/>
      <c r="W22" s="12"/>
      <c r="X22" s="12"/>
      <c r="Y22" s="12"/>
      <c r="Z22" s="12"/>
      <c r="AA22" s="1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</row>
    <row r="23" spans="1:55" s="5" customFormat="1" ht="15.75" x14ac:dyDescent="0.25">
      <c r="A23" s="12"/>
      <c r="B23" s="33" t="s">
        <v>67</v>
      </c>
      <c r="C23" s="33"/>
      <c r="D23" s="33"/>
      <c r="E23" s="33"/>
      <c r="F23" s="98">
        <v>6066</v>
      </c>
      <c r="G23" s="98">
        <v>3996</v>
      </c>
      <c r="H23" s="98">
        <v>5065</v>
      </c>
      <c r="I23" s="100">
        <f>3972.84+(3972.84*0.03)</f>
        <v>4092.0252</v>
      </c>
      <c r="J23" s="100">
        <f>I23+(3961.41*0.03)</f>
        <v>4210.8675000000003</v>
      </c>
      <c r="K23" s="109"/>
      <c r="L23" s="100">
        <f>3972.84+(3972.84*0.03)</f>
        <v>4092.0252</v>
      </c>
      <c r="M23" s="100">
        <f>L23+(3961.41*0.03)</f>
        <v>4210.8675000000003</v>
      </c>
      <c r="N23" s="110"/>
      <c r="O23" s="110"/>
      <c r="P23" s="100">
        <f t="shared" si="0"/>
        <v>4210.8675000000003</v>
      </c>
      <c r="Q23" s="98">
        <f t="shared" si="4"/>
        <v>4301.8222380000007</v>
      </c>
      <c r="R23" s="98">
        <f t="shared" si="5"/>
        <v>4150.8282774462004</v>
      </c>
      <c r="S23" s="98">
        <f t="shared" si="6"/>
        <v>4416.0662043750126</v>
      </c>
      <c r="T23" s="98">
        <f t="shared" si="7"/>
        <v>4571.5117347690129</v>
      </c>
      <c r="U23" s="98">
        <f t="shared" si="8"/>
        <v>4635.9700502292562</v>
      </c>
      <c r="V23" s="70"/>
      <c r="W23" s="12"/>
      <c r="X23" s="12"/>
      <c r="Y23" s="12"/>
      <c r="Z23" s="12"/>
      <c r="AA23" s="1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</row>
    <row r="24" spans="1:55" ht="15.75" x14ac:dyDescent="0.25">
      <c r="A24" s="12"/>
      <c r="B24" s="9" t="s">
        <v>32</v>
      </c>
      <c r="C24" s="9"/>
      <c r="D24" s="9"/>
      <c r="E24" s="95"/>
      <c r="F24" s="167"/>
      <c r="G24" s="167"/>
      <c r="H24" s="167"/>
      <c r="I24" s="167"/>
      <c r="J24" s="167"/>
      <c r="K24" s="106"/>
      <c r="L24" s="167"/>
      <c r="M24" s="167"/>
      <c r="N24" s="106"/>
      <c r="O24" s="106"/>
      <c r="P24" s="167"/>
      <c r="Q24" s="168"/>
      <c r="R24" s="167"/>
      <c r="S24" s="167"/>
      <c r="T24" s="167"/>
      <c r="U24" s="167"/>
      <c r="V24" s="70"/>
      <c r="W24" s="9"/>
      <c r="X24" s="12"/>
      <c r="Y24" s="12"/>
      <c r="Z24" s="12"/>
      <c r="AA24" s="1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</row>
    <row r="25" spans="1:55" ht="15.75" x14ac:dyDescent="0.25">
      <c r="A25" s="12"/>
      <c r="B25" s="9" t="s">
        <v>68</v>
      </c>
      <c r="C25" s="9"/>
      <c r="D25" s="9"/>
      <c r="E25" s="9"/>
      <c r="F25" s="98">
        <v>175</v>
      </c>
      <c r="G25" s="98">
        <v>252</v>
      </c>
      <c r="H25" s="98">
        <v>1</v>
      </c>
      <c r="I25" s="98">
        <f t="shared" ref="I25:J25" si="26">H25+(H25*0.03)</f>
        <v>1.03</v>
      </c>
      <c r="J25" s="98">
        <f t="shared" si="26"/>
        <v>1.0609</v>
      </c>
      <c r="K25" s="106"/>
      <c r="L25" s="98">
        <f t="shared" ref="L25:L41" si="27">J25+(J25*0.03)</f>
        <v>1.092727</v>
      </c>
      <c r="M25" s="98">
        <f t="shared" ref="M25:M41" si="28">L25+(L25*0.03)</f>
        <v>1.1255088099999999</v>
      </c>
      <c r="N25" s="106"/>
      <c r="O25" s="106"/>
      <c r="P25" s="98">
        <f t="shared" si="0"/>
        <v>1.0609</v>
      </c>
      <c r="Q25" s="98">
        <f t="shared" si="4"/>
        <v>1.08381544</v>
      </c>
      <c r="R25" s="98">
        <f t="shared" si="5"/>
        <v>1.0457735180559999</v>
      </c>
      <c r="S25" s="98">
        <f t="shared" si="6"/>
        <v>1.1125984458597784</v>
      </c>
      <c r="T25" s="98">
        <f t="shared" si="7"/>
        <v>1.1517619111540425</v>
      </c>
      <c r="U25" s="98">
        <f t="shared" si="8"/>
        <v>1.1680017541013146</v>
      </c>
      <c r="V25" s="70"/>
      <c r="W25" s="9"/>
      <c r="X25" s="12"/>
      <c r="Y25" s="12"/>
      <c r="Z25" s="12"/>
      <c r="AA25" s="1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</row>
    <row r="26" spans="1:55" ht="15.75" x14ac:dyDescent="0.25">
      <c r="A26" s="12"/>
      <c r="B26" s="9" t="s">
        <v>69</v>
      </c>
      <c r="C26" s="9"/>
      <c r="D26" s="9"/>
      <c r="E26" s="9"/>
      <c r="F26" s="98" t="s">
        <v>49</v>
      </c>
      <c r="G26" s="98">
        <v>6042</v>
      </c>
      <c r="H26" s="98">
        <v>13</v>
      </c>
      <c r="I26" s="98">
        <f t="shared" ref="I26:J26" si="29">H26+(H26*0.03)</f>
        <v>13.39</v>
      </c>
      <c r="J26" s="98">
        <f t="shared" si="29"/>
        <v>13.791700000000001</v>
      </c>
      <c r="K26" s="106"/>
      <c r="L26" s="98">
        <f t="shared" si="27"/>
        <v>14.205451</v>
      </c>
      <c r="M26" s="98">
        <f t="shared" si="28"/>
        <v>14.63161453</v>
      </c>
      <c r="N26" s="106"/>
      <c r="O26" s="106"/>
      <c r="P26" s="98">
        <f t="shared" si="0"/>
        <v>13.791700000000001</v>
      </c>
      <c r="Q26" s="98">
        <f t="shared" si="4"/>
        <v>14.089600720000002</v>
      </c>
      <c r="R26" s="98">
        <f t="shared" si="5"/>
        <v>13.595055734728001</v>
      </c>
      <c r="S26" s="98">
        <f t="shared" si="6"/>
        <v>14.463779796177121</v>
      </c>
      <c r="T26" s="98">
        <f t="shared" si="7"/>
        <v>14.972904845002555</v>
      </c>
      <c r="U26" s="98">
        <f t="shared" si="8"/>
        <v>15.184022803317092</v>
      </c>
      <c r="V26" s="70"/>
      <c r="W26" s="9"/>
      <c r="X26" s="12"/>
      <c r="Y26" s="12"/>
      <c r="Z26" s="12"/>
      <c r="AA26" s="1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</row>
    <row r="27" spans="1:55" s="6" customFormat="1" ht="15.75" x14ac:dyDescent="0.25">
      <c r="A27" s="12"/>
      <c r="B27" s="34" t="s">
        <v>64</v>
      </c>
      <c r="C27" s="34"/>
      <c r="D27" s="34"/>
      <c r="E27" s="34"/>
      <c r="F27" s="98">
        <v>-20</v>
      </c>
      <c r="G27" s="98">
        <v>-2684</v>
      </c>
      <c r="H27" s="98">
        <v>-24</v>
      </c>
      <c r="I27" s="98">
        <f t="shared" ref="I27:J27" si="30">H27+(H27*0.03)</f>
        <v>-24.72</v>
      </c>
      <c r="J27" s="98">
        <f t="shared" si="30"/>
        <v>-25.461599999999997</v>
      </c>
      <c r="K27" s="107"/>
      <c r="L27" s="98">
        <f t="shared" si="27"/>
        <v>-26.225447999999997</v>
      </c>
      <c r="M27" s="98">
        <f t="shared" si="28"/>
        <v>-27.012211439999998</v>
      </c>
      <c r="N27" s="106"/>
      <c r="O27" s="106"/>
      <c r="P27" s="98">
        <f t="shared" si="0"/>
        <v>-25.461599999999997</v>
      </c>
      <c r="Q27" s="98">
        <f t="shared" si="4"/>
        <v>-26.011570559999999</v>
      </c>
      <c r="R27" s="98">
        <f t="shared" si="5"/>
        <v>-25.098564433343999</v>
      </c>
      <c r="S27" s="98">
        <f t="shared" si="6"/>
        <v>-26.702362700634684</v>
      </c>
      <c r="T27" s="98">
        <f t="shared" si="7"/>
        <v>-27.642285867697023</v>
      </c>
      <c r="U27" s="98">
        <f t="shared" si="8"/>
        <v>-28.03204209843155</v>
      </c>
      <c r="V27" s="70"/>
      <c r="W27" s="12"/>
      <c r="X27" s="12"/>
      <c r="Y27" s="12"/>
      <c r="Z27" s="12"/>
      <c r="AA27" s="1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</row>
    <row r="28" spans="1:55" ht="15.75" x14ac:dyDescent="0.25">
      <c r="A28" s="12"/>
      <c r="B28" s="9" t="s">
        <v>70</v>
      </c>
      <c r="C28" s="9"/>
      <c r="D28" s="9"/>
      <c r="E28" s="9"/>
      <c r="F28" s="98">
        <v>155</v>
      </c>
      <c r="G28" s="98">
        <v>3610</v>
      </c>
      <c r="H28" s="98">
        <v>-10</v>
      </c>
      <c r="I28" s="98">
        <f t="shared" ref="I28:J28" si="31">H28+(H28*0.03)</f>
        <v>-10.3</v>
      </c>
      <c r="J28" s="98">
        <f t="shared" si="31"/>
        <v>-10.609</v>
      </c>
      <c r="K28" s="106"/>
      <c r="L28" s="98">
        <f t="shared" si="27"/>
        <v>-10.92727</v>
      </c>
      <c r="M28" s="98">
        <f t="shared" si="28"/>
        <v>-11.2550881</v>
      </c>
      <c r="N28" s="106"/>
      <c r="O28" s="106"/>
      <c r="P28" s="98">
        <f t="shared" si="0"/>
        <v>-10.609</v>
      </c>
      <c r="Q28" s="98">
        <f t="shared" si="4"/>
        <v>-10.838154400000001</v>
      </c>
      <c r="R28" s="98">
        <f t="shared" si="5"/>
        <v>-10.45773518056</v>
      </c>
      <c r="S28" s="98">
        <f t="shared" si="6"/>
        <v>-11.125984458597785</v>
      </c>
      <c r="T28" s="98">
        <f t="shared" si="7"/>
        <v>-11.517619111540425</v>
      </c>
      <c r="U28" s="98">
        <f t="shared" si="8"/>
        <v>-11.680017541013145</v>
      </c>
      <c r="V28" s="70"/>
      <c r="W28" s="9"/>
      <c r="X28" s="12"/>
      <c r="Y28" s="12"/>
      <c r="Z28" s="12"/>
      <c r="AA28" s="1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</row>
    <row r="29" spans="1:55" ht="15.75" x14ac:dyDescent="0.25">
      <c r="A29" s="12"/>
      <c r="B29" s="9" t="s">
        <v>71</v>
      </c>
      <c r="C29" s="9"/>
      <c r="D29" s="9"/>
      <c r="E29" s="9"/>
      <c r="F29" s="98">
        <v>1</v>
      </c>
      <c r="G29" s="98">
        <v>-2</v>
      </c>
      <c r="H29" s="98" t="s">
        <v>72</v>
      </c>
      <c r="I29" s="98">
        <v>0</v>
      </c>
      <c r="J29" s="98">
        <f t="shared" ref="J29" si="32">I29+(I29*0.03)</f>
        <v>0</v>
      </c>
      <c r="K29" s="106"/>
      <c r="L29" s="98">
        <f t="shared" si="27"/>
        <v>0</v>
      </c>
      <c r="M29" s="98">
        <f t="shared" si="28"/>
        <v>0</v>
      </c>
      <c r="N29" s="106"/>
      <c r="O29" s="106"/>
      <c r="P29" s="98">
        <f t="shared" si="0"/>
        <v>0</v>
      </c>
      <c r="Q29" s="98">
        <f t="shared" si="4"/>
        <v>0</v>
      </c>
      <c r="R29" s="98">
        <f t="shared" si="5"/>
        <v>0</v>
      </c>
      <c r="S29" s="98">
        <f t="shared" si="6"/>
        <v>0</v>
      </c>
      <c r="T29" s="98">
        <f t="shared" si="7"/>
        <v>0</v>
      </c>
      <c r="U29" s="98">
        <f t="shared" si="8"/>
        <v>0</v>
      </c>
      <c r="V29" s="70"/>
      <c r="W29" s="9"/>
      <c r="X29" s="12"/>
      <c r="Y29" s="12"/>
      <c r="Z29" s="12"/>
      <c r="AA29" s="1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</row>
    <row r="30" spans="1:55" s="6" customFormat="1" ht="15.75" x14ac:dyDescent="0.25">
      <c r="A30" s="12"/>
      <c r="B30" s="34" t="s">
        <v>73</v>
      </c>
      <c r="C30" s="34"/>
      <c r="D30" s="34"/>
      <c r="E30" s="34"/>
      <c r="F30" s="98">
        <v>154</v>
      </c>
      <c r="G30" s="98">
        <v>3612</v>
      </c>
      <c r="H30" s="98">
        <v>-10</v>
      </c>
      <c r="I30" s="98">
        <f t="shared" ref="I30:J30" si="33">H30+(H30*0.03)</f>
        <v>-10.3</v>
      </c>
      <c r="J30" s="98">
        <f t="shared" si="33"/>
        <v>-10.609</v>
      </c>
      <c r="K30" s="107"/>
      <c r="L30" s="98">
        <f t="shared" si="27"/>
        <v>-10.92727</v>
      </c>
      <c r="M30" s="98">
        <f t="shared" si="28"/>
        <v>-11.2550881</v>
      </c>
      <c r="N30" s="106"/>
      <c r="O30" s="106"/>
      <c r="P30" s="98">
        <f t="shared" si="0"/>
        <v>-10.609</v>
      </c>
      <c r="Q30" s="98">
        <f t="shared" si="4"/>
        <v>-10.838154400000001</v>
      </c>
      <c r="R30" s="98">
        <f t="shared" si="5"/>
        <v>-10.45773518056</v>
      </c>
      <c r="S30" s="98">
        <f t="shared" si="6"/>
        <v>-11.125984458597785</v>
      </c>
      <c r="T30" s="98">
        <f t="shared" si="7"/>
        <v>-11.517619111540425</v>
      </c>
      <c r="U30" s="98">
        <f t="shared" si="8"/>
        <v>-11.680017541013145</v>
      </c>
      <c r="V30" s="70"/>
      <c r="W30" s="12"/>
      <c r="X30" s="12"/>
      <c r="Y30" s="12"/>
      <c r="Z30" s="12"/>
      <c r="AA30" s="1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</row>
    <row r="31" spans="1:55" s="3" customFormat="1" ht="16.5" thickBot="1" x14ac:dyDescent="0.3">
      <c r="A31" s="12"/>
      <c r="B31" s="35" t="s">
        <v>74</v>
      </c>
      <c r="C31" s="35"/>
      <c r="D31" s="35"/>
      <c r="E31" s="35"/>
      <c r="F31" s="98">
        <v>6220</v>
      </c>
      <c r="G31" s="98">
        <v>7608</v>
      </c>
      <c r="H31" s="98">
        <v>5055</v>
      </c>
      <c r="I31" s="98">
        <f t="shared" ref="I31:J31" si="34">H31+(H31*0.03)</f>
        <v>5206.6499999999996</v>
      </c>
      <c r="J31" s="98">
        <f t="shared" si="34"/>
        <v>5362.8494999999994</v>
      </c>
      <c r="K31" s="107"/>
      <c r="L31" s="98">
        <f t="shared" si="27"/>
        <v>5523.7349849999991</v>
      </c>
      <c r="M31" s="98">
        <f t="shared" si="28"/>
        <v>5689.4470345499994</v>
      </c>
      <c r="N31" s="106"/>
      <c r="O31" s="106"/>
      <c r="P31" s="98">
        <f t="shared" si="0"/>
        <v>5362.8494999999994</v>
      </c>
      <c r="Q31" s="98">
        <f t="shared" si="4"/>
        <v>5478.6870491999998</v>
      </c>
      <c r="R31" s="98">
        <f t="shared" si="5"/>
        <v>5286.3851337730794</v>
      </c>
      <c r="S31" s="98">
        <f t="shared" si="6"/>
        <v>5624.1851438211797</v>
      </c>
      <c r="T31" s="98">
        <f t="shared" si="7"/>
        <v>5822.1564608836843</v>
      </c>
      <c r="U31" s="98">
        <f t="shared" si="8"/>
        <v>5904.2488669821441</v>
      </c>
      <c r="V31" s="70"/>
      <c r="W31" s="12"/>
      <c r="X31" s="12"/>
      <c r="Y31" s="12"/>
      <c r="Z31" s="12"/>
      <c r="AA31" s="1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</row>
    <row r="32" spans="1:55" ht="15.75" x14ac:dyDescent="0.25">
      <c r="A32" s="12"/>
      <c r="B32" s="9" t="s">
        <v>33</v>
      </c>
      <c r="C32" s="9"/>
      <c r="D32" s="9"/>
      <c r="E32" s="86"/>
      <c r="F32" s="167"/>
      <c r="G32" s="167"/>
      <c r="H32" s="167"/>
      <c r="I32" s="167"/>
      <c r="J32" s="167"/>
      <c r="K32" s="106"/>
      <c r="L32" s="167"/>
      <c r="M32" s="167"/>
      <c r="N32" s="106"/>
      <c r="O32" s="106"/>
      <c r="P32" s="167"/>
      <c r="Q32" s="167"/>
      <c r="R32" s="167"/>
      <c r="S32" s="167"/>
      <c r="T32" s="167"/>
      <c r="U32" s="167"/>
      <c r="V32" s="70"/>
      <c r="W32" s="9"/>
      <c r="X32" s="12"/>
      <c r="Y32" s="12"/>
      <c r="Z32" s="12"/>
      <c r="AA32" s="1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</row>
    <row r="33" spans="1:55" ht="15.75" x14ac:dyDescent="0.25">
      <c r="A33" s="9"/>
      <c r="B33" s="9" t="s">
        <v>75</v>
      </c>
      <c r="C33" s="9"/>
      <c r="D33" s="9"/>
      <c r="E33" s="9"/>
      <c r="F33" s="98">
        <v>6.75</v>
      </c>
      <c r="G33" s="98">
        <v>4.58</v>
      </c>
      <c r="H33" s="98">
        <v>6.19</v>
      </c>
      <c r="I33" s="98">
        <f t="shared" ref="I33:J33" si="35">H33+(H33*0.03)</f>
        <v>6.3757000000000001</v>
      </c>
      <c r="J33" s="98">
        <f t="shared" si="35"/>
        <v>6.5669710000000006</v>
      </c>
      <c r="K33" s="106"/>
      <c r="L33" s="98">
        <f t="shared" si="27"/>
        <v>6.7639801300000002</v>
      </c>
      <c r="M33" s="98">
        <f t="shared" si="28"/>
        <v>6.9668995339000004</v>
      </c>
      <c r="N33" s="106"/>
      <c r="O33" s="106"/>
      <c r="P33" s="98">
        <f t="shared" si="0"/>
        <v>6.5669710000000006</v>
      </c>
      <c r="Q33" s="98">
        <f t="shared" si="4"/>
        <v>6.7088175736000011</v>
      </c>
      <c r="R33" s="98">
        <f t="shared" si="5"/>
        <v>6.4733380767666411</v>
      </c>
      <c r="S33" s="98">
        <f t="shared" si="6"/>
        <v>6.8869843798720298</v>
      </c>
      <c r="T33" s="98">
        <f t="shared" si="7"/>
        <v>7.1294062300435241</v>
      </c>
      <c r="U33" s="98">
        <f t="shared" si="8"/>
        <v>7.2299308578871377</v>
      </c>
      <c r="V33" s="70"/>
      <c r="W33" s="9"/>
      <c r="X33" s="12"/>
      <c r="Y33" s="12"/>
      <c r="Z33" s="12"/>
      <c r="AA33" s="1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</row>
    <row r="34" spans="1:55" ht="15.75" x14ac:dyDescent="0.25">
      <c r="A34" s="9"/>
      <c r="B34" s="9" t="s">
        <v>76</v>
      </c>
      <c r="C34" s="9"/>
      <c r="D34" s="9"/>
      <c r="E34" s="9"/>
      <c r="F34" s="98">
        <v>6.92</v>
      </c>
      <c r="G34" s="98">
        <v>8.7200000000000006</v>
      </c>
      <c r="H34" s="98">
        <v>6.18</v>
      </c>
      <c r="I34" s="98">
        <f t="shared" ref="I34:J34" si="36">H34+(H34*0.03)</f>
        <v>6.3653999999999993</v>
      </c>
      <c r="J34" s="98">
        <f t="shared" si="36"/>
        <v>6.5563619999999991</v>
      </c>
      <c r="K34" s="106"/>
      <c r="L34" s="98">
        <f t="shared" si="27"/>
        <v>6.7530528599999995</v>
      </c>
      <c r="M34" s="98">
        <f t="shared" si="28"/>
        <v>6.9556444457999991</v>
      </c>
      <c r="N34" s="106"/>
      <c r="O34" s="106"/>
      <c r="P34" s="98">
        <f t="shared" si="0"/>
        <v>6.5563619999999991</v>
      </c>
      <c r="Q34" s="98">
        <f t="shared" si="4"/>
        <v>6.6979794191999993</v>
      </c>
      <c r="R34" s="98">
        <f t="shared" si="5"/>
        <v>6.4628803415860796</v>
      </c>
      <c r="S34" s="98">
        <f t="shared" si="6"/>
        <v>6.8758583954134309</v>
      </c>
      <c r="T34" s="98">
        <f t="shared" si="7"/>
        <v>7.117888610931983</v>
      </c>
      <c r="U34" s="98">
        <f t="shared" si="8"/>
        <v>7.2182508403461236</v>
      </c>
      <c r="V34" s="70"/>
      <c r="W34" s="9"/>
      <c r="X34" s="12"/>
      <c r="Y34" s="12"/>
      <c r="Z34" s="12"/>
      <c r="AA34" s="1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</row>
    <row r="35" spans="1:55" ht="15.75" x14ac:dyDescent="0.25">
      <c r="A35" s="9"/>
      <c r="B35" s="9" t="s">
        <v>34</v>
      </c>
      <c r="C35" s="9"/>
      <c r="D35" s="9"/>
      <c r="E35" s="12"/>
      <c r="F35" s="167"/>
      <c r="G35" s="167"/>
      <c r="H35" s="167"/>
      <c r="I35" s="167"/>
      <c r="J35" s="167"/>
      <c r="K35" s="106"/>
      <c r="L35" s="167"/>
      <c r="M35" s="167"/>
      <c r="N35" s="106"/>
      <c r="O35" s="106"/>
      <c r="P35" s="167"/>
      <c r="Q35" s="167"/>
      <c r="R35" s="167"/>
      <c r="S35" s="167"/>
      <c r="T35" s="167"/>
      <c r="U35" s="167"/>
      <c r="V35" s="70"/>
      <c r="W35" s="9"/>
      <c r="X35" s="12"/>
      <c r="Y35" s="12"/>
      <c r="Z35" s="12"/>
      <c r="AA35" s="1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</row>
    <row r="36" spans="1:55" ht="15.75" x14ac:dyDescent="0.25">
      <c r="A36" s="9"/>
      <c r="B36" s="9" t="s">
        <v>77</v>
      </c>
      <c r="C36" s="9"/>
      <c r="D36" s="9"/>
      <c r="E36" s="9"/>
      <c r="F36" s="98">
        <v>6.65</v>
      </c>
      <c r="G36" s="98">
        <v>4.53</v>
      </c>
      <c r="H36" s="98">
        <v>6.13</v>
      </c>
      <c r="I36" s="98">
        <f t="shared" ref="I36:J36" si="37">H36+(H36*0.03)</f>
        <v>6.3139000000000003</v>
      </c>
      <c r="J36" s="98">
        <f t="shared" si="37"/>
        <v>6.503317</v>
      </c>
      <c r="K36" s="106"/>
      <c r="L36" s="98">
        <f t="shared" si="27"/>
        <v>6.6984165100000004</v>
      </c>
      <c r="M36" s="98">
        <f t="shared" si="28"/>
        <v>6.8993690053000005</v>
      </c>
      <c r="N36" s="106"/>
      <c r="O36" s="106"/>
      <c r="P36" s="98">
        <f t="shared" si="0"/>
        <v>6.503317</v>
      </c>
      <c r="Q36" s="98">
        <f t="shared" si="4"/>
        <v>6.6437886472000001</v>
      </c>
      <c r="R36" s="98">
        <f t="shared" si="5"/>
        <v>6.4105916656832802</v>
      </c>
      <c r="S36" s="98">
        <f t="shared" si="6"/>
        <v>6.8202284731204426</v>
      </c>
      <c r="T36" s="98">
        <f t="shared" si="7"/>
        <v>7.0603005153742817</v>
      </c>
      <c r="U36" s="98">
        <f t="shared" si="8"/>
        <v>7.1598507526410593</v>
      </c>
      <c r="V36" s="70"/>
      <c r="W36" s="9"/>
      <c r="X36" s="12"/>
      <c r="Y36" s="12"/>
      <c r="Z36" s="12"/>
      <c r="AA36" s="1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</row>
    <row r="37" spans="1:55" ht="15.75" x14ac:dyDescent="0.25">
      <c r="A37" s="9"/>
      <c r="B37" s="9" t="s">
        <v>76</v>
      </c>
      <c r="C37" s="9"/>
      <c r="D37" s="9"/>
      <c r="E37" s="9"/>
      <c r="F37" s="98">
        <v>6.82</v>
      </c>
      <c r="G37" s="98">
        <v>8.61</v>
      </c>
      <c r="H37" s="98">
        <v>6.12</v>
      </c>
      <c r="I37" s="98">
        <f t="shared" ref="I37:J37" si="38">H37+(H37*0.03)</f>
        <v>6.3036000000000003</v>
      </c>
      <c r="J37" s="98">
        <f t="shared" si="38"/>
        <v>6.4927080000000004</v>
      </c>
      <c r="K37" s="106"/>
      <c r="L37" s="98">
        <f t="shared" si="27"/>
        <v>6.6874892400000006</v>
      </c>
      <c r="M37" s="98">
        <f t="shared" si="28"/>
        <v>6.888113917200001</v>
      </c>
      <c r="N37" s="106"/>
      <c r="O37" s="106"/>
      <c r="P37" s="98">
        <f t="shared" ref="P37:P68" si="39">J37</f>
        <v>6.4927080000000004</v>
      </c>
      <c r="Q37" s="98">
        <f t="shared" si="4"/>
        <v>6.6329504928000009</v>
      </c>
      <c r="R37" s="98">
        <f t="shared" si="5"/>
        <v>6.4001339305027205</v>
      </c>
      <c r="S37" s="98">
        <f t="shared" si="6"/>
        <v>6.8091024886618445</v>
      </c>
      <c r="T37" s="98">
        <f t="shared" si="7"/>
        <v>7.0487828962627406</v>
      </c>
      <c r="U37" s="98">
        <f t="shared" si="8"/>
        <v>7.1481707351000452</v>
      </c>
      <c r="V37" s="70"/>
      <c r="W37" s="9"/>
      <c r="X37" s="12"/>
      <c r="Y37" s="12"/>
      <c r="Z37" s="12"/>
      <c r="AA37" s="1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spans="1:55" ht="15.75" x14ac:dyDescent="0.25">
      <c r="A38" s="9"/>
      <c r="B38" s="9" t="s">
        <v>78</v>
      </c>
      <c r="C38" s="9"/>
      <c r="D38" s="9"/>
      <c r="E38" s="9"/>
      <c r="F38" s="98">
        <v>2.36</v>
      </c>
      <c r="G38" s="98">
        <v>2.56</v>
      </c>
      <c r="H38" s="98">
        <v>2.62</v>
      </c>
      <c r="I38" s="98">
        <f t="shared" ref="I38:J38" si="40">H38+(H38*0.03)</f>
        <v>2.6985999999999999</v>
      </c>
      <c r="J38" s="98">
        <f t="shared" si="40"/>
        <v>2.7795579999999998</v>
      </c>
      <c r="K38" s="106"/>
      <c r="L38" s="98">
        <f t="shared" si="27"/>
        <v>2.8629447399999997</v>
      </c>
      <c r="M38" s="98">
        <f t="shared" si="28"/>
        <v>2.9488330821999997</v>
      </c>
      <c r="N38" s="106"/>
      <c r="O38" s="106"/>
      <c r="P38" s="98">
        <f t="shared" si="39"/>
        <v>2.7795579999999998</v>
      </c>
      <c r="Q38" s="98">
        <f t="shared" si="4"/>
        <v>2.8395964527999999</v>
      </c>
      <c r="R38" s="98">
        <f t="shared" si="5"/>
        <v>2.73992661730672</v>
      </c>
      <c r="S38" s="98">
        <f t="shared" si="6"/>
        <v>2.9150079281526198</v>
      </c>
      <c r="T38" s="98">
        <f t="shared" si="7"/>
        <v>3.0176162072235915</v>
      </c>
      <c r="U38" s="98">
        <f t="shared" si="8"/>
        <v>3.060164595745444</v>
      </c>
      <c r="V38" s="70"/>
      <c r="W38" s="9"/>
      <c r="X38" s="12"/>
      <c r="Y38" s="12"/>
      <c r="Z38" s="12"/>
      <c r="AA38" s="1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</row>
    <row r="39" spans="1:55" ht="15.75" x14ac:dyDescent="0.25">
      <c r="A39" s="9"/>
      <c r="B39" s="9" t="s">
        <v>35</v>
      </c>
      <c r="C39" s="9"/>
      <c r="D39" s="9"/>
      <c r="E39" s="12"/>
      <c r="F39" s="167"/>
      <c r="G39" s="167"/>
      <c r="H39" s="167"/>
      <c r="I39" s="167"/>
      <c r="J39" s="167"/>
      <c r="K39" s="106"/>
      <c r="L39" s="167"/>
      <c r="M39" s="167"/>
      <c r="N39" s="106"/>
      <c r="O39" s="106"/>
      <c r="P39" s="167"/>
      <c r="Q39" s="167"/>
      <c r="R39" s="167"/>
      <c r="S39" s="167"/>
      <c r="T39" s="167"/>
      <c r="U39" s="167"/>
      <c r="V39" s="70"/>
      <c r="W39" s="9"/>
      <c r="X39" s="12"/>
      <c r="Y39" s="12"/>
      <c r="Z39" s="12"/>
      <c r="AA39" s="1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</row>
    <row r="40" spans="1:55" ht="15.75" x14ac:dyDescent="0.25">
      <c r="A40" s="9"/>
      <c r="B40" s="9" t="s">
        <v>79</v>
      </c>
      <c r="C40" s="9"/>
      <c r="D40" s="9"/>
      <c r="E40" s="9"/>
      <c r="F40" s="98">
        <v>898.3</v>
      </c>
      <c r="G40" s="98">
        <v>872.7</v>
      </c>
      <c r="H40" s="98">
        <v>818.2</v>
      </c>
      <c r="I40" s="98">
        <f t="shared" ref="I40:J40" si="41">H40+(H40*0.03)</f>
        <v>842.74600000000009</v>
      </c>
      <c r="J40" s="98">
        <f t="shared" si="41"/>
        <v>868.02838000000008</v>
      </c>
      <c r="K40" s="106"/>
      <c r="L40" s="99">
        <f t="shared" si="27"/>
        <v>894.06923140000004</v>
      </c>
      <c r="M40" s="98">
        <f t="shared" si="28"/>
        <v>920.891308342</v>
      </c>
      <c r="N40" s="106"/>
      <c r="O40" s="106"/>
      <c r="P40" s="98">
        <f t="shared" si="39"/>
        <v>868.02838000000008</v>
      </c>
      <c r="Q40" s="98">
        <f t="shared" si="4"/>
        <v>886.77779300800012</v>
      </c>
      <c r="R40" s="98">
        <f t="shared" si="5"/>
        <v>855.65189247341925</v>
      </c>
      <c r="S40" s="98">
        <f t="shared" si="6"/>
        <v>910.32804840247081</v>
      </c>
      <c r="T40" s="98">
        <f t="shared" si="7"/>
        <v>942.37159570623771</v>
      </c>
      <c r="U40" s="98">
        <f t="shared" si="8"/>
        <v>955.65903520569566</v>
      </c>
      <c r="V40" s="70"/>
      <c r="W40" s="9"/>
      <c r="X40" s="12"/>
      <c r="Y40" s="12"/>
      <c r="Z40" s="12"/>
      <c r="AA40" s="1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</row>
    <row r="41" spans="1:55" s="4" customFormat="1" ht="16.5" thickBot="1" x14ac:dyDescent="0.3">
      <c r="A41" s="12"/>
      <c r="B41" s="36" t="s">
        <v>80</v>
      </c>
      <c r="C41" s="36"/>
      <c r="D41" s="36"/>
      <c r="E41" s="36"/>
      <c r="F41" s="98">
        <v>911.6</v>
      </c>
      <c r="G41" s="98">
        <v>883.2</v>
      </c>
      <c r="H41" s="98">
        <v>826.1</v>
      </c>
      <c r="I41" s="98">
        <f t="shared" ref="I41:J41" si="42">H41+(H41*0.03)</f>
        <v>850.88300000000004</v>
      </c>
      <c r="J41" s="98">
        <f t="shared" si="42"/>
        <v>876.40949000000001</v>
      </c>
      <c r="K41" s="107"/>
      <c r="L41" s="98">
        <f t="shared" si="27"/>
        <v>902.70177469999999</v>
      </c>
      <c r="M41" s="98">
        <f t="shared" si="28"/>
        <v>929.78282794099994</v>
      </c>
      <c r="N41" s="106"/>
      <c r="O41" s="106"/>
      <c r="P41" s="98">
        <f t="shared" si="39"/>
        <v>876.40949000000001</v>
      </c>
      <c r="Q41" s="98">
        <f t="shared" si="4"/>
        <v>895.33993498400002</v>
      </c>
      <c r="R41" s="98">
        <f t="shared" si="5"/>
        <v>863.91350326606164</v>
      </c>
      <c r="S41" s="98">
        <f t="shared" si="6"/>
        <v>919.11757612476299</v>
      </c>
      <c r="T41" s="98">
        <f t="shared" si="7"/>
        <v>951.47051480435459</v>
      </c>
      <c r="U41" s="98">
        <f t="shared" si="8"/>
        <v>964.88624906309599</v>
      </c>
      <c r="V41" s="70"/>
      <c r="W41" s="12"/>
      <c r="X41" s="12"/>
      <c r="Y41" s="12"/>
      <c r="Z41" s="12"/>
      <c r="AA41" s="1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</row>
    <row r="42" spans="1:55" s="2" customFormat="1" ht="15.75" x14ac:dyDescent="0.25">
      <c r="A42" s="12"/>
      <c r="B42" s="12"/>
      <c r="C42" s="12"/>
      <c r="D42" s="12"/>
      <c r="E42" s="86"/>
      <c r="F42" s="101"/>
      <c r="G42" s="101"/>
      <c r="H42" s="101"/>
      <c r="I42" s="101"/>
      <c r="J42" s="101"/>
      <c r="K42" s="111"/>
      <c r="L42" s="101"/>
      <c r="M42" s="111"/>
      <c r="N42" s="111"/>
      <c r="O42" s="111"/>
      <c r="P42" s="101"/>
      <c r="Q42" s="102"/>
      <c r="R42" s="102"/>
      <c r="S42" s="102"/>
      <c r="T42" s="102"/>
      <c r="U42" s="102"/>
      <c r="V42" s="12"/>
      <c r="W42" s="12"/>
      <c r="X42" s="12"/>
      <c r="Y42" s="12"/>
      <c r="Z42" s="12"/>
      <c r="AA42" s="12"/>
    </row>
    <row r="43" spans="1:55" s="7" customFormat="1" ht="13.9" customHeight="1" x14ac:dyDescent="0.25">
      <c r="A43" s="97"/>
      <c r="B43" s="97"/>
      <c r="C43" s="97"/>
      <c r="D43" s="97"/>
      <c r="E43" s="97"/>
      <c r="F43" s="112"/>
      <c r="G43" s="112"/>
      <c r="H43" s="112"/>
      <c r="I43" s="113" t="s">
        <v>227</v>
      </c>
      <c r="J43" s="112"/>
      <c r="K43" s="112"/>
      <c r="L43" s="113" t="s">
        <v>248</v>
      </c>
      <c r="M43" s="112"/>
      <c r="N43" s="112"/>
      <c r="O43" s="112"/>
      <c r="P43" s="112"/>
      <c r="Q43" s="114"/>
      <c r="R43" s="114"/>
      <c r="S43" s="114"/>
      <c r="T43" s="114"/>
      <c r="U43" s="114"/>
      <c r="V43" s="37"/>
      <c r="W43" s="37"/>
      <c r="X43" s="37"/>
      <c r="Y43" s="37"/>
      <c r="Z43" s="37"/>
      <c r="AA43" s="37"/>
    </row>
    <row r="44" spans="1:55" s="2" customFormat="1" ht="16.5" thickBot="1" x14ac:dyDescent="0.3">
      <c r="A44" s="12"/>
      <c r="B44" s="12"/>
      <c r="C44" s="12"/>
      <c r="D44" s="12"/>
      <c r="E44" s="12"/>
      <c r="F44" s="115"/>
      <c r="G44" s="115"/>
      <c r="H44" s="115"/>
      <c r="I44" s="116" t="s">
        <v>214</v>
      </c>
      <c r="J44" s="116" t="s">
        <v>214</v>
      </c>
      <c r="K44" s="116"/>
      <c r="L44" s="116" t="s">
        <v>214</v>
      </c>
      <c r="M44" s="116" t="s">
        <v>214</v>
      </c>
      <c r="N44" s="116"/>
      <c r="O44" s="116"/>
      <c r="P44" s="116" t="str">
        <f t="shared" si="39"/>
        <v>3% Growth</v>
      </c>
      <c r="Q44" s="116" t="s">
        <v>240</v>
      </c>
      <c r="R44" s="116" t="s">
        <v>241</v>
      </c>
      <c r="S44" s="116" t="s">
        <v>242</v>
      </c>
      <c r="T44" s="116" t="s">
        <v>243</v>
      </c>
      <c r="U44" s="116" t="s">
        <v>244</v>
      </c>
      <c r="V44" s="57"/>
      <c r="W44" s="12"/>
      <c r="X44" s="12"/>
      <c r="Y44" s="12"/>
      <c r="Z44" s="12"/>
      <c r="AA44" s="12"/>
    </row>
    <row r="45" spans="1:55" s="2" customFormat="1" ht="16.5" thickBot="1" x14ac:dyDescent="0.3">
      <c r="A45" s="57" t="s">
        <v>226</v>
      </c>
      <c r="B45" s="12"/>
      <c r="C45" s="12"/>
      <c r="D45" s="12"/>
      <c r="E45" s="12"/>
      <c r="F45" s="117">
        <v>2014</v>
      </c>
      <c r="G45" s="117">
        <v>2015</v>
      </c>
      <c r="H45" s="117">
        <v>2016</v>
      </c>
      <c r="I45" s="117">
        <v>2017</v>
      </c>
      <c r="J45" s="117">
        <v>2018</v>
      </c>
      <c r="K45" s="116"/>
      <c r="L45" s="117">
        <v>2017</v>
      </c>
      <c r="M45" s="117">
        <v>2018</v>
      </c>
      <c r="N45" s="118"/>
      <c r="O45" s="116"/>
      <c r="P45" s="117">
        <f t="shared" si="39"/>
        <v>2018</v>
      </c>
      <c r="Q45" s="117">
        <v>2019</v>
      </c>
      <c r="R45" s="117">
        <v>2020</v>
      </c>
      <c r="S45" s="117">
        <v>2021</v>
      </c>
      <c r="T45" s="117">
        <v>2022</v>
      </c>
      <c r="U45" s="117">
        <v>2023</v>
      </c>
      <c r="V45" s="12"/>
      <c r="W45" s="242"/>
    </row>
    <row r="46" spans="1:55" ht="15.75" x14ac:dyDescent="0.25">
      <c r="A46" s="9"/>
      <c r="B46" s="9"/>
      <c r="C46" s="9"/>
      <c r="D46" s="9"/>
      <c r="E46" s="12"/>
      <c r="F46" s="119"/>
      <c r="G46" s="119"/>
      <c r="H46" s="119"/>
      <c r="I46" s="119"/>
      <c r="J46" s="119"/>
      <c r="K46" s="111"/>
      <c r="L46" s="119"/>
      <c r="M46" s="111"/>
      <c r="N46" s="111"/>
      <c r="O46" s="111"/>
      <c r="P46" s="111"/>
      <c r="Q46" s="120"/>
      <c r="R46" s="120"/>
      <c r="S46" s="120"/>
      <c r="T46" s="120"/>
      <c r="U46" s="106"/>
      <c r="V46" s="12"/>
      <c r="W46" s="12"/>
      <c r="X46" s="12"/>
      <c r="Y46" s="12"/>
      <c r="Z46" s="12"/>
      <c r="AA46" s="1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</row>
    <row r="47" spans="1:55" s="1" customFormat="1" ht="15.75" x14ac:dyDescent="0.25">
      <c r="A47" s="28"/>
      <c r="B47" s="28" t="s">
        <v>65</v>
      </c>
      <c r="C47" s="28"/>
      <c r="D47" s="28"/>
      <c r="E47" s="28"/>
      <c r="F47" s="100">
        <v>6468</v>
      </c>
      <c r="G47" s="100">
        <v>4356</v>
      </c>
      <c r="H47" s="100">
        <v>5436</v>
      </c>
      <c r="I47" s="100">
        <f>H47+(H47*0.03)</f>
        <v>5599.08</v>
      </c>
      <c r="J47" s="100">
        <f>I47+(I47*0.03)</f>
        <v>5767.0523999999996</v>
      </c>
      <c r="K47" s="121"/>
      <c r="L47" s="100">
        <f>J47+(J47*0.03)+15000</f>
        <v>20940.063972</v>
      </c>
      <c r="M47" s="100">
        <f>L47+(L47*0.03)</f>
        <v>21568.265891160001</v>
      </c>
      <c r="N47" s="110"/>
      <c r="O47" s="110"/>
      <c r="P47" s="100">
        <f t="shared" si="39"/>
        <v>5767.0523999999996</v>
      </c>
      <c r="Q47" s="100">
        <f t="shared" si="4"/>
        <v>5891.6207318400002</v>
      </c>
      <c r="R47" s="100">
        <f t="shared" si="5"/>
        <v>5684.8248441524165</v>
      </c>
      <c r="S47" s="100">
        <f t="shared" si="6"/>
        <v>6048.0851516937564</v>
      </c>
      <c r="T47" s="100">
        <f t="shared" si="7"/>
        <v>6260.9777490333763</v>
      </c>
      <c r="U47" s="100">
        <f t="shared" si="8"/>
        <v>6349.257535294747</v>
      </c>
      <c r="V47" s="71"/>
      <c r="W47" s="28"/>
      <c r="X47" s="73"/>
      <c r="Y47" s="73"/>
      <c r="Z47" s="73"/>
      <c r="AA47" s="73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</row>
    <row r="48" spans="1:55" ht="15.75" x14ac:dyDescent="0.25">
      <c r="A48" s="12"/>
      <c r="B48" s="9" t="s">
        <v>81</v>
      </c>
      <c r="C48" s="9"/>
      <c r="D48" s="9"/>
      <c r="E48" s="9"/>
      <c r="F48" s="100">
        <v>155</v>
      </c>
      <c r="G48" s="100">
        <v>3610</v>
      </c>
      <c r="H48" s="100">
        <v>-10</v>
      </c>
      <c r="I48" s="100">
        <f t="shared" ref="I48:J48" si="43">H48+(H48*0.03)</f>
        <v>-10.3</v>
      </c>
      <c r="J48" s="100">
        <f t="shared" si="43"/>
        <v>-10.609</v>
      </c>
      <c r="K48" s="109"/>
      <c r="L48" s="100">
        <f t="shared" ref="L48" si="44">J48+(J48*0.03)</f>
        <v>-10.92727</v>
      </c>
      <c r="M48" s="100">
        <f t="shared" ref="M48:M78" si="45">L48+(L48*0.03)</f>
        <v>-11.2550881</v>
      </c>
      <c r="N48" s="110"/>
      <c r="O48" s="110"/>
      <c r="P48" s="100">
        <f t="shared" si="39"/>
        <v>-10.609</v>
      </c>
      <c r="Q48" s="98">
        <f t="shared" si="4"/>
        <v>-10.838154400000001</v>
      </c>
      <c r="R48" s="98">
        <f t="shared" si="5"/>
        <v>-10.45773518056</v>
      </c>
      <c r="S48" s="98">
        <f t="shared" si="6"/>
        <v>-11.125984458597785</v>
      </c>
      <c r="T48" s="98">
        <f t="shared" si="7"/>
        <v>-11.517619111540425</v>
      </c>
      <c r="U48" s="98">
        <f t="shared" si="8"/>
        <v>-11.680017541013145</v>
      </c>
      <c r="V48" s="71"/>
      <c r="W48" s="73"/>
      <c r="X48" s="73"/>
      <c r="Y48" s="73"/>
      <c r="Z48" s="73"/>
      <c r="AA48" s="73"/>
      <c r="AB48" s="74"/>
      <c r="AC48" s="74"/>
      <c r="AD48" s="74"/>
      <c r="AE48" s="74"/>
      <c r="AF48" s="74"/>
      <c r="AG48" s="74"/>
      <c r="AH48" s="74"/>
      <c r="AI48" s="74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</row>
    <row r="49" spans="1:55" s="43" customFormat="1" ht="15.75" x14ac:dyDescent="0.25">
      <c r="A49" s="73"/>
      <c r="B49" s="96" t="s">
        <v>82</v>
      </c>
      <c r="C49" s="96"/>
      <c r="D49" s="96"/>
      <c r="E49" s="96"/>
      <c r="F49" s="100">
        <v>6623</v>
      </c>
      <c r="G49" s="100">
        <v>7966</v>
      </c>
      <c r="H49" s="100">
        <v>5426</v>
      </c>
      <c r="I49" s="100">
        <f>H49+(H49*0.03)</f>
        <v>5588.78</v>
      </c>
      <c r="J49" s="100">
        <f t="shared" ref="J49" si="46">I49+(I49*0.03)</f>
        <v>5756.4434000000001</v>
      </c>
      <c r="K49" s="109"/>
      <c r="L49" s="100">
        <f>SUM(L47:L48)</f>
        <v>20929.136702</v>
      </c>
      <c r="M49" s="100">
        <f t="shared" si="45"/>
        <v>21557.010803059999</v>
      </c>
      <c r="N49" s="110"/>
      <c r="O49" s="110"/>
      <c r="P49" s="100">
        <f t="shared" si="39"/>
        <v>5756.4434000000001</v>
      </c>
      <c r="Q49" s="98">
        <f t="shared" si="4"/>
        <v>5880.7825774400008</v>
      </c>
      <c r="R49" s="98">
        <f t="shared" si="5"/>
        <v>5674.3671089718564</v>
      </c>
      <c r="S49" s="98">
        <f t="shared" si="6"/>
        <v>6036.959167235158</v>
      </c>
      <c r="T49" s="98">
        <f t="shared" si="7"/>
        <v>6249.4601299218348</v>
      </c>
      <c r="U49" s="98">
        <f t="shared" si="8"/>
        <v>6337.5775177537325</v>
      </c>
      <c r="V49" s="71"/>
      <c r="W49" s="76"/>
      <c r="X49" s="73"/>
      <c r="Y49" s="73"/>
      <c r="Z49" s="73"/>
      <c r="AA49" s="73"/>
      <c r="AB49" s="74"/>
      <c r="AC49" s="74"/>
      <c r="AD49" s="74"/>
      <c r="AE49" s="74"/>
      <c r="AF49" s="74"/>
      <c r="AG49" s="74"/>
      <c r="AH49" s="74"/>
      <c r="AI49" s="74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75"/>
      <c r="AY49" s="75"/>
      <c r="AZ49" s="75"/>
      <c r="BA49" s="75"/>
      <c r="BB49" s="75"/>
      <c r="BC49" s="75"/>
    </row>
    <row r="50" spans="1:55" ht="15.75" x14ac:dyDescent="0.25">
      <c r="A50" s="12"/>
      <c r="B50" s="9" t="s">
        <v>27</v>
      </c>
      <c r="C50" s="9"/>
      <c r="D50" s="9"/>
      <c r="E50" s="95"/>
      <c r="F50" s="167"/>
      <c r="G50" s="167"/>
      <c r="H50" s="167"/>
      <c r="I50" s="167"/>
      <c r="J50" s="167"/>
      <c r="K50" s="106"/>
      <c r="L50" s="167"/>
      <c r="M50" s="169"/>
      <c r="N50" s="106"/>
      <c r="O50" s="106"/>
      <c r="P50" s="169"/>
      <c r="Q50" s="169"/>
      <c r="R50" s="169"/>
      <c r="S50" s="169"/>
      <c r="T50" s="169"/>
      <c r="U50" s="169"/>
      <c r="V50" s="70"/>
      <c r="W50" s="12"/>
      <c r="X50" s="12"/>
      <c r="Y50" s="12"/>
      <c r="Z50" s="12"/>
      <c r="AA50" s="1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</row>
    <row r="51" spans="1:55" ht="15.75" x14ac:dyDescent="0.25">
      <c r="A51" s="12"/>
      <c r="B51" s="9" t="s">
        <v>50</v>
      </c>
      <c r="C51" s="9"/>
      <c r="D51" s="9"/>
      <c r="E51" s="9"/>
      <c r="F51" s="98"/>
      <c r="G51" s="98"/>
      <c r="H51" s="98"/>
      <c r="I51" s="98">
        <f t="shared" ref="I51:J51" si="47">H51+(H51*0.03)</f>
        <v>0</v>
      </c>
      <c r="J51" s="98">
        <f t="shared" si="47"/>
        <v>0</v>
      </c>
      <c r="K51" s="122"/>
      <c r="L51" s="98">
        <f t="shared" ref="L51:L78" si="48">J51+(J51*0.03)</f>
        <v>0</v>
      </c>
      <c r="M51" s="98">
        <f t="shared" si="45"/>
        <v>0</v>
      </c>
      <c r="N51" s="106"/>
      <c r="O51" s="106"/>
      <c r="P51" s="98">
        <f t="shared" si="39"/>
        <v>0</v>
      </c>
      <c r="Q51" s="98">
        <f t="shared" si="4"/>
        <v>0</v>
      </c>
      <c r="R51" s="98">
        <f t="shared" si="5"/>
        <v>0</v>
      </c>
      <c r="S51" s="98">
        <f t="shared" si="6"/>
        <v>0</v>
      </c>
      <c r="T51" s="98">
        <f t="shared" si="7"/>
        <v>0</v>
      </c>
      <c r="U51" s="98">
        <f t="shared" si="8"/>
        <v>0</v>
      </c>
      <c r="V51" s="70"/>
      <c r="W51" s="12"/>
      <c r="X51" s="12"/>
      <c r="Y51" s="12"/>
      <c r="Z51" s="12"/>
      <c r="AA51" s="1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</row>
    <row r="52" spans="1:55" ht="15.75" x14ac:dyDescent="0.25">
      <c r="A52" s="12"/>
      <c r="B52" s="9" t="s">
        <v>83</v>
      </c>
      <c r="C52" s="9"/>
      <c r="D52" s="9"/>
      <c r="E52" s="9"/>
      <c r="F52" s="98">
        <v>-1302</v>
      </c>
      <c r="G52" s="98">
        <v>-1502</v>
      </c>
      <c r="H52" s="98">
        <v>-1089</v>
      </c>
      <c r="I52" s="98">
        <f t="shared" ref="I52:J52" si="49">H52+(H52*0.03)</f>
        <v>-1121.67</v>
      </c>
      <c r="J52" s="98">
        <f t="shared" si="49"/>
        <v>-1155.3201000000001</v>
      </c>
      <c r="K52" s="122"/>
      <c r="L52" s="98">
        <f t="shared" si="48"/>
        <v>-1189.9797030000002</v>
      </c>
      <c r="M52" s="98">
        <f t="shared" si="45"/>
        <v>-1225.6790940900003</v>
      </c>
      <c r="N52" s="106"/>
      <c r="O52" s="106"/>
      <c r="P52" s="98">
        <f t="shared" si="39"/>
        <v>-1155.3201000000001</v>
      </c>
      <c r="Q52" s="98">
        <f t="shared" si="4"/>
        <v>-1180.2750141600002</v>
      </c>
      <c r="R52" s="98">
        <f t="shared" si="5"/>
        <v>-1138.847361162984</v>
      </c>
      <c r="S52" s="98">
        <f t="shared" si="6"/>
        <v>-1211.6197075412988</v>
      </c>
      <c r="T52" s="98">
        <f t="shared" si="7"/>
        <v>-1254.2687212467524</v>
      </c>
      <c r="U52" s="98">
        <f t="shared" si="8"/>
        <v>-1271.9539102163317</v>
      </c>
      <c r="V52" s="70"/>
      <c r="W52" s="12"/>
      <c r="X52" s="12"/>
      <c r="Y52" s="12"/>
      <c r="Z52" s="12"/>
      <c r="AA52" s="1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</row>
    <row r="53" spans="1:55" ht="15.75" x14ac:dyDescent="0.25">
      <c r="A53" s="12"/>
      <c r="B53" s="9" t="s">
        <v>84</v>
      </c>
      <c r="C53" s="9"/>
      <c r="D53" s="9"/>
      <c r="E53" s="9"/>
      <c r="F53" s="98">
        <v>7</v>
      </c>
      <c r="G53" s="98">
        <v>42</v>
      </c>
      <c r="H53" s="98">
        <v>0</v>
      </c>
      <c r="I53" s="98">
        <f t="shared" ref="I53:J53" si="50">H53+(H53*0.03)</f>
        <v>0</v>
      </c>
      <c r="J53" s="98">
        <f t="shared" si="50"/>
        <v>0</v>
      </c>
      <c r="K53" s="107"/>
      <c r="L53" s="98">
        <f t="shared" si="48"/>
        <v>0</v>
      </c>
      <c r="M53" s="98">
        <f t="shared" si="45"/>
        <v>0</v>
      </c>
      <c r="N53" s="106"/>
      <c r="O53" s="106"/>
      <c r="P53" s="98">
        <f t="shared" si="39"/>
        <v>0</v>
      </c>
      <c r="Q53" s="98">
        <f t="shared" si="4"/>
        <v>0</v>
      </c>
      <c r="R53" s="98">
        <f t="shared" si="5"/>
        <v>0</v>
      </c>
      <c r="S53" s="98">
        <f t="shared" si="6"/>
        <v>0</v>
      </c>
      <c r="T53" s="98">
        <f t="shared" si="7"/>
        <v>0</v>
      </c>
      <c r="U53" s="98">
        <f t="shared" si="8"/>
        <v>0</v>
      </c>
      <c r="V53" s="70"/>
      <c r="W53" s="12"/>
      <c r="X53" s="12"/>
      <c r="Y53" s="12"/>
      <c r="Z53" s="12"/>
      <c r="AA53" s="1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</row>
    <row r="54" spans="1:55" s="5" customFormat="1" ht="15.75" x14ac:dyDescent="0.25">
      <c r="A54" s="12"/>
      <c r="B54" s="33"/>
      <c r="C54" s="33"/>
      <c r="D54" s="33"/>
      <c r="E54" s="33"/>
      <c r="F54" s="98">
        <v>-1295</v>
      </c>
      <c r="G54" s="98">
        <v>-1460</v>
      </c>
      <c r="H54" s="98">
        <v>-1089</v>
      </c>
      <c r="I54" s="98">
        <f t="shared" ref="I54:J54" si="51">H54+(H54*0.03)</f>
        <v>-1121.67</v>
      </c>
      <c r="J54" s="98">
        <f t="shared" si="51"/>
        <v>-1155.3201000000001</v>
      </c>
      <c r="K54" s="107"/>
      <c r="L54" s="98">
        <f t="shared" si="48"/>
        <v>-1189.9797030000002</v>
      </c>
      <c r="M54" s="98">
        <f t="shared" si="45"/>
        <v>-1225.6790940900003</v>
      </c>
      <c r="N54" s="106"/>
      <c r="O54" s="106"/>
      <c r="P54" s="98">
        <f t="shared" si="39"/>
        <v>-1155.3201000000001</v>
      </c>
      <c r="Q54" s="98">
        <f t="shared" si="4"/>
        <v>-1180.2750141600002</v>
      </c>
      <c r="R54" s="98">
        <f t="shared" si="5"/>
        <v>-1138.847361162984</v>
      </c>
      <c r="S54" s="98">
        <f t="shared" si="6"/>
        <v>-1211.6197075412988</v>
      </c>
      <c r="T54" s="98">
        <f t="shared" si="7"/>
        <v>-1254.2687212467524</v>
      </c>
      <c r="U54" s="98">
        <f t="shared" si="8"/>
        <v>-1271.9539102163317</v>
      </c>
      <c r="V54" s="70"/>
      <c r="W54" s="12"/>
      <c r="X54" s="12"/>
      <c r="Y54" s="12"/>
      <c r="Z54" s="12"/>
      <c r="AA54" s="1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</row>
    <row r="55" spans="1:55" ht="15.75" x14ac:dyDescent="0.25">
      <c r="A55" s="12"/>
      <c r="B55" s="9" t="s">
        <v>51</v>
      </c>
      <c r="C55" s="9"/>
      <c r="D55" s="9"/>
      <c r="E55" s="95"/>
      <c r="F55" s="167"/>
      <c r="G55" s="167"/>
      <c r="H55" s="167"/>
      <c r="I55" s="167"/>
      <c r="J55" s="167"/>
      <c r="K55" s="106"/>
      <c r="L55" s="167"/>
      <c r="M55" s="169"/>
      <c r="N55" s="106"/>
      <c r="O55" s="106"/>
      <c r="P55" s="169"/>
      <c r="Q55" s="169"/>
      <c r="R55" s="169"/>
      <c r="S55" s="169"/>
      <c r="T55" s="169"/>
      <c r="U55" s="169"/>
      <c r="V55" s="70"/>
      <c r="W55" s="12"/>
      <c r="X55" s="12"/>
      <c r="Y55" s="12"/>
      <c r="Z55" s="12"/>
      <c r="AA55" s="1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</row>
    <row r="56" spans="1:55" ht="15.75" x14ac:dyDescent="0.25">
      <c r="A56" s="12"/>
      <c r="B56" s="9" t="s">
        <v>85</v>
      </c>
      <c r="C56" s="9"/>
      <c r="D56" s="9"/>
      <c r="E56" s="9"/>
      <c r="F56" s="98">
        <v>-4362</v>
      </c>
      <c r="G56" s="98">
        <v>-284</v>
      </c>
      <c r="H56" s="98">
        <v>-785</v>
      </c>
      <c r="I56" s="98">
        <f t="shared" ref="I56:J56" si="52">H56+(H56*0.03)</f>
        <v>-808.55</v>
      </c>
      <c r="J56" s="98">
        <f t="shared" si="52"/>
        <v>-832.80649999999991</v>
      </c>
      <c r="K56" s="106"/>
      <c r="L56" s="98">
        <f t="shared" si="48"/>
        <v>-857.79069499999991</v>
      </c>
      <c r="M56" s="98">
        <f t="shared" si="45"/>
        <v>-883.52441584999997</v>
      </c>
      <c r="N56" s="106"/>
      <c r="O56" s="106"/>
      <c r="P56" s="98">
        <f t="shared" si="39"/>
        <v>-832.80649999999991</v>
      </c>
      <c r="Q56" s="98">
        <f t="shared" si="4"/>
        <v>-850.79512039999997</v>
      </c>
      <c r="R56" s="98">
        <f t="shared" si="5"/>
        <v>-820.93221167395996</v>
      </c>
      <c r="S56" s="98">
        <f t="shared" si="6"/>
        <v>-873.38977999992608</v>
      </c>
      <c r="T56" s="98">
        <f t="shared" si="7"/>
        <v>-904.13310025592341</v>
      </c>
      <c r="U56" s="98">
        <f t="shared" si="8"/>
        <v>-916.88137696953197</v>
      </c>
      <c r="V56" s="70"/>
      <c r="W56" s="12"/>
      <c r="X56" s="12"/>
      <c r="Y56" s="12"/>
      <c r="Z56" s="12"/>
      <c r="AA56" s="1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</row>
    <row r="57" spans="1:55" ht="15.75" x14ac:dyDescent="0.25">
      <c r="A57" s="12"/>
      <c r="B57" s="9" t="s">
        <v>86</v>
      </c>
      <c r="C57" s="9"/>
      <c r="D57" s="9"/>
      <c r="E57" s="9"/>
      <c r="F57" s="98">
        <v>-5</v>
      </c>
      <c r="G57" s="98">
        <v>-37</v>
      </c>
      <c r="H57" s="98">
        <v>-13</v>
      </c>
      <c r="I57" s="98">
        <f t="shared" ref="I57:J57" si="53">H57+(H57*0.03)</f>
        <v>-13.39</v>
      </c>
      <c r="J57" s="98">
        <f t="shared" si="53"/>
        <v>-13.791700000000001</v>
      </c>
      <c r="K57" s="106"/>
      <c r="L57" s="98">
        <f t="shared" si="48"/>
        <v>-14.205451</v>
      </c>
      <c r="M57" s="98">
        <f t="shared" si="45"/>
        <v>-14.63161453</v>
      </c>
      <c r="N57" s="106"/>
      <c r="O57" s="106"/>
      <c r="P57" s="98">
        <f t="shared" si="39"/>
        <v>-13.791700000000001</v>
      </c>
      <c r="Q57" s="98">
        <f t="shared" si="4"/>
        <v>-14.089600720000002</v>
      </c>
      <c r="R57" s="98">
        <f t="shared" si="5"/>
        <v>-13.595055734728001</v>
      </c>
      <c r="S57" s="98">
        <f t="shared" si="6"/>
        <v>-14.463779796177121</v>
      </c>
      <c r="T57" s="98">
        <f t="shared" si="7"/>
        <v>-14.972904845002555</v>
      </c>
      <c r="U57" s="98">
        <f t="shared" si="8"/>
        <v>-15.184022803317092</v>
      </c>
      <c r="V57" s="70"/>
      <c r="W57" s="12"/>
      <c r="X57" s="12"/>
      <c r="Y57" s="12"/>
      <c r="Z57" s="12"/>
      <c r="AA57" s="1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</row>
    <row r="58" spans="1:55" ht="15.75" x14ac:dyDescent="0.25">
      <c r="A58" s="12"/>
      <c r="B58" s="9" t="s">
        <v>87</v>
      </c>
      <c r="C58" s="9"/>
      <c r="D58" s="9"/>
      <c r="E58" s="9"/>
      <c r="F58" s="98">
        <v>121</v>
      </c>
      <c r="G58" s="98">
        <v>326</v>
      </c>
      <c r="H58" s="98">
        <v>542</v>
      </c>
      <c r="I58" s="98">
        <f t="shared" ref="I58:J58" si="54">H58+(H58*0.03)</f>
        <v>558.26</v>
      </c>
      <c r="J58" s="98">
        <f t="shared" si="54"/>
        <v>575.00779999999997</v>
      </c>
      <c r="K58" s="106"/>
      <c r="L58" s="98">
        <f t="shared" si="48"/>
        <v>592.25803399999995</v>
      </c>
      <c r="M58" s="98">
        <f t="shared" si="45"/>
        <v>610.02577501999997</v>
      </c>
      <c r="N58" s="106"/>
      <c r="O58" s="106"/>
      <c r="P58" s="98">
        <f t="shared" si="39"/>
        <v>575.00779999999997</v>
      </c>
      <c r="Q58" s="98">
        <f t="shared" si="4"/>
        <v>587.42796848</v>
      </c>
      <c r="R58" s="98">
        <f t="shared" si="5"/>
        <v>566.80924678635199</v>
      </c>
      <c r="S58" s="98">
        <f t="shared" si="6"/>
        <v>603.02835765599991</v>
      </c>
      <c r="T58" s="98">
        <f t="shared" si="7"/>
        <v>624.25495584549105</v>
      </c>
      <c r="U58" s="98">
        <f t="shared" si="8"/>
        <v>633.05695072291246</v>
      </c>
      <c r="V58" s="70"/>
      <c r="W58" s="12"/>
      <c r="X58" s="12"/>
      <c r="Y58" s="12"/>
      <c r="Z58" s="12"/>
      <c r="AA58" s="1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</row>
    <row r="59" spans="1:55" s="6" customFormat="1" ht="15.75" x14ac:dyDescent="0.25">
      <c r="A59" s="12"/>
      <c r="B59" s="34" t="s">
        <v>88</v>
      </c>
      <c r="C59" s="34"/>
      <c r="D59" s="34"/>
      <c r="E59" s="34"/>
      <c r="F59" s="98">
        <v>416</v>
      </c>
      <c r="G59" s="98">
        <v>867</v>
      </c>
      <c r="H59" s="98">
        <v>535</v>
      </c>
      <c r="I59" s="98">
        <f t="shared" ref="I59:J59" si="55">H59+(H59*0.03)</f>
        <v>551.04999999999995</v>
      </c>
      <c r="J59" s="98">
        <f t="shared" si="55"/>
        <v>567.58150000000001</v>
      </c>
      <c r="K59" s="107"/>
      <c r="L59" s="98">
        <f t="shared" si="48"/>
        <v>584.60894499999995</v>
      </c>
      <c r="M59" s="98">
        <f t="shared" si="45"/>
        <v>602.1472133499999</v>
      </c>
      <c r="N59" s="106"/>
      <c r="O59" s="106"/>
      <c r="P59" s="98">
        <f t="shared" si="39"/>
        <v>567.58150000000001</v>
      </c>
      <c r="Q59" s="98">
        <f t="shared" si="4"/>
        <v>579.84126040000001</v>
      </c>
      <c r="R59" s="98">
        <f t="shared" si="5"/>
        <v>559.48883215996</v>
      </c>
      <c r="S59" s="98">
        <f t="shared" si="6"/>
        <v>595.24016853498154</v>
      </c>
      <c r="T59" s="98">
        <f t="shared" si="7"/>
        <v>616.19262246741278</v>
      </c>
      <c r="U59" s="98">
        <f t="shared" si="8"/>
        <v>624.88093844420325</v>
      </c>
      <c r="V59" s="70"/>
      <c r="W59" s="12"/>
      <c r="X59" s="12"/>
      <c r="Y59" s="12"/>
      <c r="Z59" s="12"/>
      <c r="AA59" s="1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</row>
    <row r="60" spans="1:55" ht="15.75" x14ac:dyDescent="0.25">
      <c r="A60" s="12"/>
      <c r="B60" s="9"/>
      <c r="C60" s="9"/>
      <c r="D60" s="9"/>
      <c r="E60" s="9"/>
      <c r="F60" s="98">
        <v>-3830</v>
      </c>
      <c r="G60" s="98">
        <v>872</v>
      </c>
      <c r="H60" s="98">
        <v>279</v>
      </c>
      <c r="I60" s="98">
        <f t="shared" ref="I60:J60" si="56">H60+(H60*0.03)</f>
        <v>287.37</v>
      </c>
      <c r="J60" s="98">
        <f t="shared" si="56"/>
        <v>295.99110000000002</v>
      </c>
      <c r="K60" s="106"/>
      <c r="L60" s="98">
        <f t="shared" si="48"/>
        <v>304.870833</v>
      </c>
      <c r="M60" s="98">
        <f t="shared" si="45"/>
        <v>314.01695798999998</v>
      </c>
      <c r="N60" s="106"/>
      <c r="O60" s="106"/>
      <c r="P60" s="98">
        <f t="shared" si="39"/>
        <v>295.99110000000002</v>
      </c>
      <c r="Q60" s="98">
        <f t="shared" si="4"/>
        <v>302.38450776000002</v>
      </c>
      <c r="R60" s="98">
        <f t="shared" si="5"/>
        <v>291.77081153762401</v>
      </c>
      <c r="S60" s="98">
        <f t="shared" si="6"/>
        <v>310.41496639487821</v>
      </c>
      <c r="T60" s="98">
        <f t="shared" si="7"/>
        <v>321.3415732119779</v>
      </c>
      <c r="U60" s="98">
        <f t="shared" si="8"/>
        <v>325.87248939426678</v>
      </c>
      <c r="V60" s="70"/>
      <c r="W60" s="12"/>
      <c r="X60" s="12"/>
      <c r="Y60" s="12"/>
      <c r="Z60" s="12"/>
      <c r="AA60" s="1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</row>
    <row r="61" spans="1:55" ht="15.75" x14ac:dyDescent="0.25">
      <c r="A61" s="12"/>
      <c r="B61" s="9" t="s">
        <v>89</v>
      </c>
      <c r="C61" s="9"/>
      <c r="D61" s="9"/>
      <c r="E61" s="9"/>
      <c r="F61" s="98">
        <v>1388</v>
      </c>
      <c r="G61" s="98">
        <v>-298</v>
      </c>
      <c r="H61" s="98">
        <v>-189</v>
      </c>
      <c r="I61" s="98">
        <f t="shared" ref="I61:J61" si="57">H61+(H61*0.03)</f>
        <v>-194.67</v>
      </c>
      <c r="J61" s="98">
        <f t="shared" si="57"/>
        <v>-200.51009999999999</v>
      </c>
      <c r="K61" s="107"/>
      <c r="L61" s="98">
        <f t="shared" si="48"/>
        <v>-206.52540299999998</v>
      </c>
      <c r="M61" s="98">
        <f t="shared" si="45"/>
        <v>-212.72116508999997</v>
      </c>
      <c r="N61" s="106"/>
      <c r="O61" s="106"/>
      <c r="P61" s="98">
        <f t="shared" si="39"/>
        <v>-200.51009999999999</v>
      </c>
      <c r="Q61" s="98">
        <f t="shared" si="4"/>
        <v>-204.84111816000001</v>
      </c>
      <c r="R61" s="98">
        <f t="shared" si="5"/>
        <v>-197.651194912584</v>
      </c>
      <c r="S61" s="98">
        <f t="shared" si="6"/>
        <v>-210.28110626749813</v>
      </c>
      <c r="T61" s="98">
        <f t="shared" si="7"/>
        <v>-217.68300120811404</v>
      </c>
      <c r="U61" s="98">
        <f t="shared" si="8"/>
        <v>-220.75233152514843</v>
      </c>
      <c r="V61" s="70"/>
      <c r="W61" s="12"/>
      <c r="X61" s="12"/>
      <c r="Y61" s="12"/>
      <c r="Z61" s="12"/>
      <c r="AA61" s="1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</row>
    <row r="62" spans="1:55" s="5" customFormat="1" ht="15.75" x14ac:dyDescent="0.25">
      <c r="A62" s="12"/>
      <c r="B62" s="33"/>
      <c r="C62" s="33"/>
      <c r="D62" s="33"/>
      <c r="E62" s="33"/>
      <c r="F62" s="98">
        <v>-2442</v>
      </c>
      <c r="G62" s="98">
        <v>574</v>
      </c>
      <c r="H62" s="98">
        <v>90</v>
      </c>
      <c r="I62" s="98">
        <f t="shared" ref="I62:J62" si="58">H62+(H62*0.03)</f>
        <v>92.7</v>
      </c>
      <c r="J62" s="98">
        <f t="shared" si="58"/>
        <v>95.481000000000009</v>
      </c>
      <c r="K62" s="107"/>
      <c r="L62" s="98">
        <f t="shared" si="48"/>
        <v>98.345430000000007</v>
      </c>
      <c r="M62" s="98">
        <f t="shared" si="45"/>
        <v>101.29579290000001</v>
      </c>
      <c r="N62" s="106"/>
      <c r="O62" s="106"/>
      <c r="P62" s="98">
        <f t="shared" si="39"/>
        <v>95.481000000000009</v>
      </c>
      <c r="Q62" s="98">
        <f t="shared" si="4"/>
        <v>97.543389600000012</v>
      </c>
      <c r="R62" s="98">
        <f t="shared" si="5"/>
        <v>94.11961662504001</v>
      </c>
      <c r="S62" s="98">
        <f t="shared" si="6"/>
        <v>100.13386012738007</v>
      </c>
      <c r="T62" s="98">
        <f t="shared" si="7"/>
        <v>103.65857200386384</v>
      </c>
      <c r="U62" s="98">
        <f t="shared" si="8"/>
        <v>105.12015786911832</v>
      </c>
      <c r="V62" s="70"/>
      <c r="W62" s="12"/>
      <c r="X62" s="12"/>
      <c r="Y62" s="12"/>
      <c r="Z62" s="12"/>
      <c r="AA62" s="1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</row>
    <row r="63" spans="1:55" ht="15.75" x14ac:dyDescent="0.25">
      <c r="A63" s="12"/>
      <c r="B63" s="9" t="s">
        <v>52</v>
      </c>
      <c r="C63" s="9"/>
      <c r="D63" s="9"/>
      <c r="E63" s="95"/>
      <c r="F63" s="167"/>
      <c r="G63" s="167"/>
      <c r="H63" s="167"/>
      <c r="I63" s="167"/>
      <c r="J63" s="167"/>
      <c r="K63" s="106"/>
      <c r="L63" s="170"/>
      <c r="M63" s="171"/>
      <c r="N63" s="106"/>
      <c r="O63" s="106"/>
      <c r="P63" s="169"/>
      <c r="Q63" s="169"/>
      <c r="R63" s="169"/>
      <c r="S63" s="169"/>
      <c r="T63" s="169"/>
      <c r="U63" s="169"/>
      <c r="V63" s="70"/>
      <c r="W63" s="12"/>
      <c r="X63" s="12"/>
      <c r="Y63" s="12"/>
      <c r="Z63" s="12"/>
      <c r="AA63" s="1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</row>
    <row r="64" spans="1:55" ht="15.75" x14ac:dyDescent="0.25">
      <c r="A64" s="12"/>
      <c r="B64" s="9" t="s">
        <v>90</v>
      </c>
      <c r="C64" s="9"/>
      <c r="D64" s="9"/>
      <c r="E64" s="9"/>
      <c r="F64" s="98">
        <v>35</v>
      </c>
      <c r="G64" s="98">
        <v>28</v>
      </c>
      <c r="H64" s="98">
        <v>190</v>
      </c>
      <c r="I64" s="98">
        <f t="shared" ref="I64:J64" si="59">H64+(H64*0.03)</f>
        <v>195.7</v>
      </c>
      <c r="J64" s="98">
        <f t="shared" si="59"/>
        <v>201.571</v>
      </c>
      <c r="K64" s="106"/>
      <c r="L64" s="98">
        <f t="shared" si="48"/>
        <v>207.61813000000001</v>
      </c>
      <c r="M64" s="98">
        <f t="shared" si="45"/>
        <v>213.84667390000001</v>
      </c>
      <c r="N64" s="106"/>
      <c r="O64" s="106"/>
      <c r="P64" s="98">
        <f t="shared" si="39"/>
        <v>201.571</v>
      </c>
      <c r="Q64" s="98">
        <f t="shared" si="4"/>
        <v>205.9249336</v>
      </c>
      <c r="R64" s="98">
        <f t="shared" si="5"/>
        <v>198.69696843064</v>
      </c>
      <c r="S64" s="98">
        <f t="shared" si="6"/>
        <v>211.39370471335792</v>
      </c>
      <c r="T64" s="98">
        <f t="shared" si="7"/>
        <v>218.8347631192681</v>
      </c>
      <c r="U64" s="98">
        <f t="shared" si="8"/>
        <v>221.92033327924977</v>
      </c>
      <c r="V64" s="70"/>
      <c r="W64" s="12"/>
      <c r="X64" s="12"/>
      <c r="Y64" s="12"/>
      <c r="Z64" s="12"/>
      <c r="AA64" s="1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</row>
    <row r="65" spans="1:55" s="6" customFormat="1" ht="15.75" x14ac:dyDescent="0.25">
      <c r="A65" s="12"/>
      <c r="B65" s="34" t="s">
        <v>91</v>
      </c>
      <c r="C65" s="34"/>
      <c r="D65" s="34"/>
      <c r="E65" s="34"/>
      <c r="F65" s="98">
        <v>-20</v>
      </c>
      <c r="G65" s="98">
        <v>-54</v>
      </c>
      <c r="H65" s="98">
        <v>-94</v>
      </c>
      <c r="I65" s="98">
        <f t="shared" ref="I65:J65" si="60">H65+(H65*0.03)</f>
        <v>-96.82</v>
      </c>
      <c r="J65" s="98">
        <f t="shared" si="60"/>
        <v>-99.724599999999995</v>
      </c>
      <c r="K65" s="107"/>
      <c r="L65" s="98">
        <f t="shared" si="48"/>
        <v>-102.71633799999999</v>
      </c>
      <c r="M65" s="98">
        <f t="shared" si="45"/>
        <v>-105.79782813999999</v>
      </c>
      <c r="N65" s="106"/>
      <c r="O65" s="106"/>
      <c r="P65" s="98">
        <f t="shared" si="39"/>
        <v>-99.724599999999995</v>
      </c>
      <c r="Q65" s="98">
        <f t="shared" si="4"/>
        <v>-101.87865136000001</v>
      </c>
      <c r="R65" s="98">
        <f t="shared" si="5"/>
        <v>-98.302710697264004</v>
      </c>
      <c r="S65" s="98">
        <f t="shared" si="6"/>
        <v>-104.58425391081919</v>
      </c>
      <c r="T65" s="98">
        <f t="shared" si="7"/>
        <v>-108.26561964848001</v>
      </c>
      <c r="U65" s="98">
        <f t="shared" si="8"/>
        <v>-109.79216488552358</v>
      </c>
      <c r="V65" s="70"/>
      <c r="W65" s="12"/>
      <c r="X65" s="12"/>
      <c r="Y65" s="12"/>
      <c r="Z65" s="12"/>
      <c r="AA65" s="1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</row>
    <row r="66" spans="1:55" ht="15.75" x14ac:dyDescent="0.25">
      <c r="A66" s="12"/>
      <c r="B66" s="9"/>
      <c r="C66" s="9"/>
      <c r="D66" s="9"/>
      <c r="E66" s="9"/>
      <c r="F66" s="98">
        <v>15</v>
      </c>
      <c r="G66" s="98">
        <v>-26</v>
      </c>
      <c r="H66" s="98">
        <v>96</v>
      </c>
      <c r="I66" s="98">
        <f t="shared" ref="I66:J66" si="61">H66+(H66*0.03)</f>
        <v>98.88</v>
      </c>
      <c r="J66" s="98">
        <f t="shared" si="61"/>
        <v>101.84639999999999</v>
      </c>
      <c r="K66" s="106"/>
      <c r="L66" s="98">
        <f t="shared" si="48"/>
        <v>104.90179199999999</v>
      </c>
      <c r="M66" s="98">
        <f t="shared" si="45"/>
        <v>108.04884575999999</v>
      </c>
      <c r="N66" s="106"/>
      <c r="O66" s="106"/>
      <c r="P66" s="98">
        <f t="shared" si="39"/>
        <v>101.84639999999999</v>
      </c>
      <c r="Q66" s="98">
        <f t="shared" si="4"/>
        <v>104.04628224</v>
      </c>
      <c r="R66" s="98">
        <f t="shared" si="5"/>
        <v>100.39425773337599</v>
      </c>
      <c r="S66" s="98">
        <f t="shared" si="6"/>
        <v>106.80945080253873</v>
      </c>
      <c r="T66" s="98">
        <f t="shared" si="7"/>
        <v>110.56914347078809</v>
      </c>
      <c r="U66" s="98">
        <f t="shared" si="8"/>
        <v>112.1281683937262</v>
      </c>
      <c r="V66" s="70"/>
      <c r="W66" s="12"/>
      <c r="X66" s="12"/>
      <c r="Y66" s="12"/>
      <c r="Z66" s="12"/>
      <c r="AA66" s="1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</row>
    <row r="67" spans="1:55" s="6" customFormat="1" ht="15.75" x14ac:dyDescent="0.25">
      <c r="A67" s="12"/>
      <c r="B67" s="34" t="s">
        <v>92</v>
      </c>
      <c r="C67" s="34"/>
      <c r="D67" s="34"/>
      <c r="E67" s="34"/>
      <c r="F67" s="98">
        <v>-3</v>
      </c>
      <c r="G67" s="98">
        <v>11</v>
      </c>
      <c r="H67" s="98">
        <v>-36</v>
      </c>
      <c r="I67" s="98">
        <f t="shared" ref="I67:J67" si="62">H67+(H67*0.03)</f>
        <v>-37.08</v>
      </c>
      <c r="J67" s="98">
        <f t="shared" si="62"/>
        <v>-38.192399999999999</v>
      </c>
      <c r="K67" s="107"/>
      <c r="L67" s="98">
        <f t="shared" si="48"/>
        <v>-39.338172</v>
      </c>
      <c r="M67" s="98">
        <f t="shared" si="45"/>
        <v>-40.518317160000002</v>
      </c>
      <c r="N67" s="106"/>
      <c r="O67" s="106"/>
      <c r="P67" s="98">
        <f t="shared" si="39"/>
        <v>-38.192399999999999</v>
      </c>
      <c r="Q67" s="98">
        <f t="shared" si="4"/>
        <v>-39.01735584</v>
      </c>
      <c r="R67" s="98">
        <f t="shared" si="5"/>
        <v>-37.647846650016</v>
      </c>
      <c r="S67" s="98">
        <f t="shared" si="6"/>
        <v>-40.053544050952027</v>
      </c>
      <c r="T67" s="98">
        <f t="shared" si="7"/>
        <v>-41.463428801545533</v>
      </c>
      <c r="U67" s="98">
        <f t="shared" si="8"/>
        <v>-42.048063147647326</v>
      </c>
      <c r="V67" s="70"/>
      <c r="W67" s="12"/>
      <c r="X67" s="12"/>
      <c r="Y67" s="12"/>
      <c r="Z67" s="12"/>
      <c r="AA67" s="1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</row>
    <row r="68" spans="1:55" s="5" customFormat="1" ht="15.75" x14ac:dyDescent="0.25">
      <c r="A68" s="12"/>
      <c r="B68" s="33"/>
      <c r="C68" s="33"/>
      <c r="D68" s="33"/>
      <c r="E68" s="33"/>
      <c r="F68" s="98">
        <v>12</v>
      </c>
      <c r="G68" s="98">
        <v>-15</v>
      </c>
      <c r="H68" s="98">
        <v>60</v>
      </c>
      <c r="I68" s="98">
        <f t="shared" ref="I68:J68" si="63">H68+(H68*0.03)</f>
        <v>61.8</v>
      </c>
      <c r="J68" s="98">
        <f t="shared" si="63"/>
        <v>63.653999999999996</v>
      </c>
      <c r="K68" s="107"/>
      <c r="L68" s="98">
        <f t="shared" si="48"/>
        <v>65.56362</v>
      </c>
      <c r="M68" s="98">
        <f t="shared" si="45"/>
        <v>67.530528599999997</v>
      </c>
      <c r="N68" s="106"/>
      <c r="O68" s="106"/>
      <c r="P68" s="98">
        <f t="shared" si="39"/>
        <v>63.653999999999996</v>
      </c>
      <c r="Q68" s="98">
        <f t="shared" si="4"/>
        <v>65.028926400000003</v>
      </c>
      <c r="R68" s="98">
        <f t="shared" si="5"/>
        <v>62.746411083360002</v>
      </c>
      <c r="S68" s="98">
        <f t="shared" si="6"/>
        <v>66.755906751586707</v>
      </c>
      <c r="T68" s="98">
        <f t="shared" si="7"/>
        <v>69.105714669242559</v>
      </c>
      <c r="U68" s="98">
        <f t="shared" si="8"/>
        <v>70.080105246078872</v>
      </c>
      <c r="V68" s="70"/>
      <c r="W68" s="12"/>
      <c r="X68" s="12"/>
      <c r="Y68" s="12"/>
      <c r="Z68" s="12"/>
      <c r="AA68" s="1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</row>
    <row r="69" spans="1:55" ht="15.75" x14ac:dyDescent="0.25">
      <c r="A69" s="12"/>
      <c r="B69" s="9" t="s">
        <v>53</v>
      </c>
      <c r="C69" s="9"/>
      <c r="D69" s="9"/>
      <c r="E69" s="95"/>
      <c r="F69" s="167"/>
      <c r="G69" s="167"/>
      <c r="H69" s="167"/>
      <c r="I69" s="167"/>
      <c r="J69" s="167"/>
      <c r="K69" s="106"/>
      <c r="L69" s="167"/>
      <c r="M69" s="169"/>
      <c r="N69" s="106"/>
      <c r="O69" s="106"/>
      <c r="P69" s="169"/>
      <c r="Q69" s="169"/>
      <c r="R69" s="169"/>
      <c r="S69" s="169"/>
      <c r="T69" s="169"/>
      <c r="U69" s="169"/>
      <c r="V69" s="70"/>
      <c r="W69" s="12"/>
      <c r="X69" s="12"/>
      <c r="Y69" s="12"/>
      <c r="Z69" s="12"/>
      <c r="AA69" s="1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</row>
    <row r="70" spans="1:55" ht="15.75" x14ac:dyDescent="0.25">
      <c r="A70" s="12"/>
      <c r="B70" s="9" t="s">
        <v>93</v>
      </c>
      <c r="C70" s="9"/>
      <c r="D70" s="9"/>
      <c r="E70" s="9"/>
      <c r="F70" s="98">
        <v>-263</v>
      </c>
      <c r="G70" s="98">
        <v>-415</v>
      </c>
      <c r="H70" s="98">
        <v>75</v>
      </c>
      <c r="I70" s="98">
        <f t="shared" ref="I70:J70" si="64">H70+(H70*0.03)</f>
        <v>77.25</v>
      </c>
      <c r="J70" s="98">
        <f t="shared" si="64"/>
        <v>79.567499999999995</v>
      </c>
      <c r="K70" s="106"/>
      <c r="L70" s="98">
        <f t="shared" si="48"/>
        <v>81.95452499999999</v>
      </c>
      <c r="M70" s="98">
        <f t="shared" si="45"/>
        <v>84.413160749999989</v>
      </c>
      <c r="N70" s="106"/>
      <c r="O70" s="106"/>
      <c r="P70" s="98">
        <f t="shared" ref="P70:P78" si="65">J70</f>
        <v>79.567499999999995</v>
      </c>
      <c r="Q70" s="98">
        <f t="shared" si="4"/>
        <v>81.286158</v>
      </c>
      <c r="R70" s="98">
        <f t="shared" si="5"/>
        <v>78.433013854199999</v>
      </c>
      <c r="S70" s="98">
        <f t="shared" si="6"/>
        <v>83.444883439483391</v>
      </c>
      <c r="T70" s="98">
        <f t="shared" si="7"/>
        <v>86.382143336553199</v>
      </c>
      <c r="U70" s="98">
        <f t="shared" si="8"/>
        <v>87.600131557598601</v>
      </c>
      <c r="V70" s="70"/>
      <c r="W70" s="12"/>
      <c r="X70" s="12"/>
      <c r="Y70" s="12"/>
      <c r="Z70" s="12"/>
      <c r="AA70" s="1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</row>
    <row r="71" spans="1:55" s="6" customFormat="1" ht="15.75" x14ac:dyDescent="0.25">
      <c r="A71" s="12"/>
      <c r="B71" s="34" t="s">
        <v>94</v>
      </c>
      <c r="C71" s="34"/>
      <c r="D71" s="34"/>
      <c r="E71" s="34"/>
      <c r="F71" s="98">
        <v>96</v>
      </c>
      <c r="G71" s="98">
        <v>234</v>
      </c>
      <c r="H71" s="98">
        <v>171</v>
      </c>
      <c r="I71" s="98">
        <f t="shared" ref="I71:J71" si="66">H71+(H71*0.03)</f>
        <v>176.13</v>
      </c>
      <c r="J71" s="98">
        <f t="shared" si="66"/>
        <v>181.41389999999998</v>
      </c>
      <c r="K71" s="107"/>
      <c r="L71" s="98">
        <f t="shared" si="48"/>
        <v>186.85631699999999</v>
      </c>
      <c r="M71" s="98">
        <f t="shared" si="45"/>
        <v>192.46200650999998</v>
      </c>
      <c r="N71" s="106"/>
      <c r="O71" s="106"/>
      <c r="P71" s="98">
        <f t="shared" si="65"/>
        <v>181.41389999999998</v>
      </c>
      <c r="Q71" s="98">
        <f t="shared" si="4"/>
        <v>185.33244023999998</v>
      </c>
      <c r="R71" s="98">
        <f t="shared" si="5"/>
        <v>178.82727158757598</v>
      </c>
      <c r="S71" s="98">
        <f t="shared" si="6"/>
        <v>190.25433424202208</v>
      </c>
      <c r="T71" s="98">
        <f t="shared" si="7"/>
        <v>196.95128680734123</v>
      </c>
      <c r="U71" s="98">
        <f t="shared" si="8"/>
        <v>199.72829995132474</v>
      </c>
      <c r="V71" s="70"/>
      <c r="W71" s="12"/>
      <c r="X71" s="12"/>
      <c r="Y71" s="12"/>
      <c r="Z71" s="12"/>
      <c r="AA71" s="1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</row>
    <row r="72" spans="1:55" ht="15.75" x14ac:dyDescent="0.25">
      <c r="A72" s="12"/>
      <c r="B72" s="9"/>
      <c r="C72" s="9"/>
      <c r="D72" s="9"/>
      <c r="E72" s="9"/>
      <c r="F72" s="98">
        <v>-167</v>
      </c>
      <c r="G72" s="98">
        <v>-181</v>
      </c>
      <c r="H72" s="98">
        <v>246</v>
      </c>
      <c r="I72" s="98">
        <f t="shared" ref="I72:J72" si="67">H72+(H72*0.03)</f>
        <v>253.38</v>
      </c>
      <c r="J72" s="98">
        <f t="shared" si="67"/>
        <v>260.98140000000001</v>
      </c>
      <c r="K72" s="107"/>
      <c r="L72" s="172">
        <f t="shared" si="48"/>
        <v>268.81084199999998</v>
      </c>
      <c r="M72" s="98">
        <f t="shared" si="45"/>
        <v>276.87516725999996</v>
      </c>
      <c r="N72" s="106"/>
      <c r="O72" s="106"/>
      <c r="P72" s="98">
        <f t="shared" si="65"/>
        <v>260.98140000000001</v>
      </c>
      <c r="Q72" s="98">
        <f t="shared" ref="Q72:Q78" si="68">P72*(1+2.16%)</f>
        <v>266.61859824000004</v>
      </c>
      <c r="R72" s="98">
        <f t="shared" ref="R72:R78" si="69">Q72*(1+(-3.51%))</f>
        <v>257.26028544177603</v>
      </c>
      <c r="S72" s="98">
        <f t="shared" ref="S72:S78" si="70">R72*(1+6.39%)</f>
        <v>273.69921768150556</v>
      </c>
      <c r="T72" s="98">
        <f t="shared" ref="T72:T78" si="71">S72*(1+3.52%)</f>
        <v>283.33343014389453</v>
      </c>
      <c r="U72" s="98">
        <f t="shared" ref="U72:U78" si="72">T72*(1+1.41%)</f>
        <v>287.32843150892347</v>
      </c>
      <c r="V72" s="70"/>
      <c r="W72" s="12"/>
      <c r="X72" s="12"/>
      <c r="Y72" s="12"/>
      <c r="Z72" s="12"/>
      <c r="AA72" s="1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</row>
    <row r="73" spans="1:55" ht="15.75" x14ac:dyDescent="0.25">
      <c r="A73" s="12"/>
      <c r="B73" s="9" t="s">
        <v>92</v>
      </c>
      <c r="C73" s="9"/>
      <c r="D73" s="9"/>
      <c r="E73" s="9"/>
      <c r="F73" s="98">
        <v>37</v>
      </c>
      <c r="G73" s="98">
        <v>51</v>
      </c>
      <c r="H73" s="98">
        <v>-69</v>
      </c>
      <c r="I73" s="98">
        <f t="shared" ref="I73:J73" si="73">H73+(H73*0.03)</f>
        <v>-71.069999999999993</v>
      </c>
      <c r="J73" s="98">
        <f t="shared" si="73"/>
        <v>-73.202099999999987</v>
      </c>
      <c r="K73" s="107"/>
      <c r="L73" s="98">
        <f t="shared" si="48"/>
        <v>-75.398162999999983</v>
      </c>
      <c r="M73" s="98">
        <f t="shared" si="45"/>
        <v>-77.660107889999978</v>
      </c>
      <c r="N73" s="106"/>
      <c r="O73" s="106"/>
      <c r="P73" s="98">
        <f t="shared" si="65"/>
        <v>-73.202099999999987</v>
      </c>
      <c r="Q73" s="98">
        <f t="shared" si="68"/>
        <v>-74.783265359999987</v>
      </c>
      <c r="R73" s="98">
        <f t="shared" si="69"/>
        <v>-72.158372745863986</v>
      </c>
      <c r="S73" s="98">
        <f t="shared" si="70"/>
        <v>-76.769292764324703</v>
      </c>
      <c r="T73" s="98">
        <f t="shared" si="71"/>
        <v>-79.471571869628931</v>
      </c>
      <c r="U73" s="98">
        <f t="shared" si="72"/>
        <v>-80.592121032990704</v>
      </c>
      <c r="V73" s="70"/>
      <c r="W73" s="12"/>
      <c r="X73" s="12"/>
      <c r="Y73" s="12"/>
      <c r="Z73" s="12"/>
      <c r="AA73" s="1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</row>
    <row r="74" spans="1:55" s="5" customFormat="1" ht="15.75" x14ac:dyDescent="0.25">
      <c r="A74" s="12"/>
      <c r="B74" s="33"/>
      <c r="C74" s="33"/>
      <c r="D74" s="33"/>
      <c r="E74" s="33"/>
      <c r="F74" s="98">
        <v>-130</v>
      </c>
      <c r="G74" s="98">
        <v>-130</v>
      </c>
      <c r="H74" s="98">
        <v>177</v>
      </c>
      <c r="I74" s="98">
        <f t="shared" ref="I74:J74" si="74">H74+(H74*0.03)</f>
        <v>182.31</v>
      </c>
      <c r="J74" s="98">
        <f t="shared" si="74"/>
        <v>187.77930000000001</v>
      </c>
      <c r="K74" s="107"/>
      <c r="L74" s="98">
        <f t="shared" si="48"/>
        <v>193.412679</v>
      </c>
      <c r="M74" s="98">
        <f t="shared" si="45"/>
        <v>199.21505937000001</v>
      </c>
      <c r="N74" s="106"/>
      <c r="O74" s="106"/>
      <c r="P74" s="98">
        <f t="shared" si="65"/>
        <v>187.77930000000001</v>
      </c>
      <c r="Q74" s="98">
        <f t="shared" si="68"/>
        <v>191.83533288000001</v>
      </c>
      <c r="R74" s="98">
        <f t="shared" si="69"/>
        <v>185.10191269591201</v>
      </c>
      <c r="S74" s="98">
        <f t="shared" si="70"/>
        <v>196.92992491718078</v>
      </c>
      <c r="T74" s="98">
        <f t="shared" si="71"/>
        <v>203.86185827426553</v>
      </c>
      <c r="U74" s="98">
        <f t="shared" si="72"/>
        <v>206.73631047593267</v>
      </c>
      <c r="V74" s="70"/>
      <c r="W74" s="12"/>
      <c r="X74" s="12"/>
      <c r="Y74" s="12"/>
      <c r="Z74" s="12"/>
      <c r="AA74" s="1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</row>
    <row r="75" spans="1:55" s="5" customFormat="1" ht="15.75" x14ac:dyDescent="0.25">
      <c r="A75" s="12"/>
      <c r="B75" s="33" t="s">
        <v>27</v>
      </c>
      <c r="C75" s="33"/>
      <c r="D75" s="33"/>
      <c r="E75" s="33"/>
      <c r="F75" s="98">
        <v>-3855</v>
      </c>
      <c r="G75" s="98">
        <v>-1031</v>
      </c>
      <c r="H75" s="98">
        <v>-762</v>
      </c>
      <c r="I75" s="98">
        <f t="shared" ref="I75:J75" si="75">H75+(H75*0.03)</f>
        <v>-784.86</v>
      </c>
      <c r="J75" s="98">
        <f t="shared" si="75"/>
        <v>-808.4058</v>
      </c>
      <c r="K75" s="107"/>
      <c r="L75" s="98">
        <f t="shared" si="48"/>
        <v>-832.65797399999997</v>
      </c>
      <c r="M75" s="98">
        <f t="shared" si="45"/>
        <v>-857.63771322000002</v>
      </c>
      <c r="N75" s="106"/>
      <c r="O75" s="106"/>
      <c r="P75" s="98">
        <f t="shared" si="65"/>
        <v>-808.4058</v>
      </c>
      <c r="Q75" s="98">
        <f t="shared" si="68"/>
        <v>-825.86736528000006</v>
      </c>
      <c r="R75" s="98">
        <f t="shared" si="69"/>
        <v>-796.87942075867204</v>
      </c>
      <c r="S75" s="98">
        <f t="shared" si="70"/>
        <v>-847.8000157451512</v>
      </c>
      <c r="T75" s="98">
        <f t="shared" si="71"/>
        <v>-877.64257629938038</v>
      </c>
      <c r="U75" s="98">
        <f t="shared" si="72"/>
        <v>-890.01733662520166</v>
      </c>
      <c r="V75" s="70"/>
      <c r="W75" s="12"/>
      <c r="X75" s="12"/>
      <c r="Y75" s="12"/>
      <c r="Z75" s="12"/>
      <c r="AA75" s="1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</row>
    <row r="76" spans="1:55" ht="15.75" x14ac:dyDescent="0.25">
      <c r="A76" s="12"/>
      <c r="B76" s="9" t="s">
        <v>95</v>
      </c>
      <c r="C76" s="9"/>
      <c r="D76" s="9"/>
      <c r="E76" s="9"/>
      <c r="F76" s="98">
        <v>2768</v>
      </c>
      <c r="G76" s="98">
        <v>6935</v>
      </c>
      <c r="H76" s="98">
        <v>4664</v>
      </c>
      <c r="I76" s="98">
        <f t="shared" ref="I76:J76" si="76">H76+(H76*0.03)</f>
        <v>4803.92</v>
      </c>
      <c r="J76" s="98">
        <f t="shared" si="76"/>
        <v>4948.0375999999997</v>
      </c>
      <c r="K76" s="106"/>
      <c r="L76" s="98">
        <f t="shared" si="48"/>
        <v>5096.478728</v>
      </c>
      <c r="M76" s="98">
        <f t="shared" si="45"/>
        <v>5249.3730898399999</v>
      </c>
      <c r="N76" s="106"/>
      <c r="O76" s="106"/>
      <c r="P76" s="98">
        <f t="shared" si="65"/>
        <v>4948.0375999999997</v>
      </c>
      <c r="Q76" s="98">
        <f t="shared" si="68"/>
        <v>5054.91521216</v>
      </c>
      <c r="R76" s="98">
        <f t="shared" si="69"/>
        <v>4877.4876882131839</v>
      </c>
      <c r="S76" s="98">
        <f t="shared" si="70"/>
        <v>5189.1591514900065</v>
      </c>
      <c r="T76" s="98">
        <f t="shared" si="71"/>
        <v>5371.8175536224544</v>
      </c>
      <c r="U76" s="98">
        <f t="shared" si="72"/>
        <v>5447.5601811285314</v>
      </c>
      <c r="V76" s="70"/>
      <c r="W76" s="12"/>
      <c r="X76" s="12"/>
      <c r="Y76" s="12"/>
      <c r="Z76" s="12"/>
      <c r="AA76" s="1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</row>
    <row r="77" spans="1:55" ht="15.75" x14ac:dyDescent="0.25">
      <c r="A77" s="12"/>
      <c r="B77" s="9" t="s">
        <v>96</v>
      </c>
      <c r="C77" s="9"/>
      <c r="D77" s="9"/>
      <c r="E77" s="9"/>
      <c r="F77" s="98">
        <v>-329</v>
      </c>
      <c r="G77" s="98">
        <v>-285</v>
      </c>
      <c r="H77" s="98">
        <v>-324</v>
      </c>
      <c r="I77" s="98">
        <f t="shared" ref="I77:J77" si="77">H77+(H77*0.03)</f>
        <v>-333.72</v>
      </c>
      <c r="J77" s="98">
        <f t="shared" si="77"/>
        <v>-343.73160000000001</v>
      </c>
      <c r="K77" s="107"/>
      <c r="L77" s="98">
        <f t="shared" si="48"/>
        <v>-354.04354799999999</v>
      </c>
      <c r="M77" s="98">
        <f t="shared" si="45"/>
        <v>-364.66485444</v>
      </c>
      <c r="N77" s="106"/>
      <c r="O77" s="106"/>
      <c r="P77" s="98">
        <f t="shared" si="65"/>
        <v>-343.73160000000001</v>
      </c>
      <c r="Q77" s="98">
        <f t="shared" si="68"/>
        <v>-351.15620256000005</v>
      </c>
      <c r="R77" s="98">
        <f t="shared" si="69"/>
        <v>-338.83061985014405</v>
      </c>
      <c r="S77" s="98">
        <f t="shared" si="70"/>
        <v>-360.48189645856826</v>
      </c>
      <c r="T77" s="98">
        <f t="shared" si="71"/>
        <v>-373.17085921390981</v>
      </c>
      <c r="U77" s="98">
        <f t="shared" si="72"/>
        <v>-378.43256832882594</v>
      </c>
      <c r="V77" s="70"/>
      <c r="W77" s="12"/>
      <c r="X77" s="12"/>
      <c r="Y77" s="12"/>
      <c r="Z77" s="12"/>
      <c r="AA77" s="1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</row>
    <row r="78" spans="1:55" s="3" customFormat="1" ht="16.5" thickBot="1" x14ac:dyDescent="0.3">
      <c r="A78" s="12"/>
      <c r="B78" s="35" t="s">
        <v>97</v>
      </c>
      <c r="C78" s="35"/>
      <c r="D78" s="35"/>
      <c r="E78" s="35"/>
      <c r="F78" s="98">
        <v>2439</v>
      </c>
      <c r="G78" s="98">
        <v>6650</v>
      </c>
      <c r="H78" s="98">
        <v>4340</v>
      </c>
      <c r="I78" s="98">
        <f t="shared" ref="I78:J78" si="78">H78+(H78*0.03)</f>
        <v>4470.2</v>
      </c>
      <c r="J78" s="98">
        <f t="shared" si="78"/>
        <v>4604.3059999999996</v>
      </c>
      <c r="K78" s="107"/>
      <c r="L78" s="98">
        <f t="shared" si="48"/>
        <v>4742.4351799999995</v>
      </c>
      <c r="M78" s="98">
        <f t="shared" si="45"/>
        <v>4884.7082353999995</v>
      </c>
      <c r="N78" s="106"/>
      <c r="O78" s="106"/>
      <c r="P78" s="98">
        <f t="shared" si="65"/>
        <v>4604.3059999999996</v>
      </c>
      <c r="Q78" s="98">
        <f t="shared" si="68"/>
        <v>4703.7590095999994</v>
      </c>
      <c r="R78" s="98">
        <f t="shared" si="69"/>
        <v>4538.6570683630398</v>
      </c>
      <c r="S78" s="98">
        <f t="shared" si="70"/>
        <v>4828.6772550314381</v>
      </c>
      <c r="T78" s="98">
        <f t="shared" si="71"/>
        <v>4998.6466944085441</v>
      </c>
      <c r="U78" s="98">
        <f t="shared" si="72"/>
        <v>5069.1276127997044</v>
      </c>
      <c r="V78" s="70"/>
      <c r="W78" s="12"/>
      <c r="X78" s="12"/>
      <c r="Y78" s="12"/>
      <c r="Z78" s="12"/>
      <c r="AA78" s="1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</row>
    <row r="79" spans="1:55" ht="15.75" x14ac:dyDescent="0.25">
      <c r="A79" s="12"/>
      <c r="B79" s="9"/>
      <c r="C79" s="9"/>
      <c r="D79" s="9"/>
      <c r="E79" s="9"/>
      <c r="F79" s="9"/>
      <c r="G79" s="9"/>
      <c r="H79" s="9"/>
      <c r="I79" s="9"/>
      <c r="J79" s="12"/>
      <c r="K79" s="12"/>
      <c r="L79" s="12"/>
      <c r="M79" s="12"/>
      <c r="N79" s="12"/>
      <c r="O79" s="9"/>
      <c r="P79" s="9"/>
      <c r="Q79" s="9"/>
      <c r="R79" s="9"/>
      <c r="S79" s="9"/>
      <c r="T79" s="9"/>
      <c r="U79" s="12"/>
      <c r="V79" s="12"/>
      <c r="W79" s="12"/>
      <c r="X79" s="12"/>
      <c r="Y79" s="1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</row>
    <row r="80" spans="1:55" ht="15.75" x14ac:dyDescent="0.25">
      <c r="A80" s="9"/>
      <c r="B80" s="9"/>
      <c r="C80" s="9"/>
      <c r="D80" s="9"/>
      <c r="E80" s="9"/>
      <c r="F80" s="9"/>
      <c r="G80" s="9"/>
      <c r="H80" s="9"/>
      <c r="I80" s="9"/>
      <c r="J80" s="12"/>
      <c r="K80" s="12"/>
      <c r="L80" s="12"/>
      <c r="M80" s="12"/>
      <c r="N80" s="12"/>
      <c r="O80" s="9"/>
      <c r="P80" s="9"/>
      <c r="Q80" s="9"/>
      <c r="R80" s="9"/>
      <c r="S80" s="9"/>
      <c r="T80" s="9"/>
      <c r="U80" s="12"/>
      <c r="V80" s="242"/>
      <c r="W80" s="24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</row>
    <row r="81" spans="1:53" ht="15.75" x14ac:dyDescent="0.25">
      <c r="A81" s="9"/>
      <c r="B81" s="9"/>
      <c r="C81" s="9"/>
      <c r="D81" s="9"/>
      <c r="E81" s="9"/>
      <c r="F81" s="9"/>
      <c r="G81" s="9"/>
      <c r="H81" s="9"/>
      <c r="I81" s="12"/>
      <c r="J81" s="12"/>
      <c r="K81" s="12"/>
      <c r="L81" s="12"/>
      <c r="M81" s="12"/>
      <c r="N81" s="12"/>
      <c r="O81" s="12"/>
      <c r="P81" s="12"/>
      <c r="Q81" s="9"/>
      <c r="R81" s="9"/>
      <c r="S81" s="9"/>
      <c r="T81" s="9"/>
      <c r="U81" s="12"/>
      <c r="V81" s="242"/>
      <c r="W81" s="24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</row>
    <row r="82" spans="1:53" ht="15.75" x14ac:dyDescent="0.25">
      <c r="A82" s="9"/>
      <c r="B82" s="9"/>
      <c r="C82" s="9"/>
      <c r="D82" s="9"/>
      <c r="E82" s="9"/>
      <c r="F82" s="9"/>
      <c r="G82" s="9"/>
      <c r="H82" s="9"/>
      <c r="I82" s="12"/>
      <c r="J82" s="12"/>
      <c r="K82" s="12"/>
      <c r="L82" s="12"/>
      <c r="M82" s="12"/>
      <c r="N82" s="12"/>
      <c r="O82" s="12"/>
      <c r="P82" s="12"/>
      <c r="Q82" s="9"/>
      <c r="R82" s="9"/>
      <c r="S82" s="9"/>
      <c r="T82" s="9"/>
      <c r="U82" s="12"/>
      <c r="V82" s="242"/>
      <c r="W82" s="24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</row>
    <row r="83" spans="1:53" ht="15.75" x14ac:dyDescent="0.25">
      <c r="A83" s="9"/>
      <c r="B83" s="9"/>
      <c r="C83" s="9"/>
      <c r="D83" s="9"/>
      <c r="E83" s="9"/>
      <c r="F83" s="9"/>
      <c r="G83" s="9"/>
      <c r="H83" s="9"/>
      <c r="I83" s="12"/>
      <c r="J83" s="12"/>
      <c r="K83" s="12"/>
      <c r="L83" s="12"/>
      <c r="M83" s="12"/>
      <c r="N83" s="12"/>
      <c r="O83" s="12"/>
      <c r="P83" s="12"/>
      <c r="Q83" s="9"/>
      <c r="R83" s="9"/>
      <c r="S83" s="9"/>
      <c r="T83" s="9"/>
      <c r="U83" s="12"/>
      <c r="V83" s="242"/>
      <c r="W83" s="24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</row>
    <row r="84" spans="1:53" ht="15.75" x14ac:dyDescent="0.25">
      <c r="A84" s="9"/>
      <c r="B84" s="9"/>
      <c r="C84" s="9"/>
      <c r="D84" s="9"/>
      <c r="E84" s="9"/>
      <c r="F84" s="9"/>
      <c r="G84" s="9"/>
      <c r="H84" s="9"/>
      <c r="I84" s="12"/>
      <c r="J84" s="12"/>
      <c r="K84" s="12"/>
      <c r="L84" s="12"/>
      <c r="M84" s="12"/>
      <c r="N84" s="12"/>
      <c r="O84" s="12"/>
      <c r="P84" s="12"/>
      <c r="Q84" s="9"/>
      <c r="R84" s="9"/>
      <c r="S84" s="9"/>
      <c r="T84" s="9"/>
      <c r="U84" s="12"/>
      <c r="V84" s="242"/>
      <c r="W84" s="24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</row>
    <row r="85" spans="1:53" ht="15.75" x14ac:dyDescent="0.25">
      <c r="A85" s="9"/>
      <c r="B85" s="9"/>
      <c r="C85" s="9"/>
      <c r="D85" s="9"/>
      <c r="E85" s="9"/>
      <c r="F85" s="9"/>
      <c r="G85" s="9"/>
      <c r="H85" s="9"/>
      <c r="I85" s="12"/>
      <c r="J85" s="12"/>
      <c r="K85" s="12"/>
      <c r="L85" s="12"/>
      <c r="M85" s="12"/>
      <c r="N85" s="12"/>
      <c r="O85" s="12"/>
      <c r="P85" s="12"/>
      <c r="Q85" s="9"/>
      <c r="R85" s="9"/>
      <c r="S85" s="9"/>
      <c r="T85" s="9"/>
      <c r="U85" s="12"/>
      <c r="V85" s="242"/>
      <c r="W85" s="24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</row>
    <row r="86" spans="1:53" ht="15.75" x14ac:dyDescent="0.25">
      <c r="A86" s="9"/>
      <c r="B86" s="9"/>
      <c r="C86" s="9"/>
      <c r="D86" s="9"/>
      <c r="E86" s="9"/>
      <c r="F86" s="9"/>
      <c r="G86" s="9"/>
      <c r="H86" s="9"/>
      <c r="I86" s="12"/>
      <c r="J86" s="12"/>
      <c r="K86" s="12"/>
      <c r="L86" s="12"/>
      <c r="M86" s="12"/>
      <c r="N86" s="12"/>
      <c r="O86" s="12"/>
      <c r="P86" s="12"/>
      <c r="Q86" s="9"/>
      <c r="R86" s="9"/>
      <c r="S86" s="9"/>
      <c r="T86" s="9"/>
      <c r="U86" s="12"/>
      <c r="V86" s="242"/>
      <c r="W86" s="24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</row>
    <row r="87" spans="1:53" ht="15.75" x14ac:dyDescent="0.25">
      <c r="A87" s="9"/>
      <c r="B87" s="9"/>
      <c r="C87" s="9"/>
      <c r="D87" s="9"/>
      <c r="E87" s="9"/>
      <c r="F87" s="9"/>
      <c r="G87" s="9"/>
      <c r="H87" s="9"/>
      <c r="I87" s="12"/>
      <c r="J87" s="12"/>
      <c r="K87" s="12"/>
      <c r="L87" s="12"/>
      <c r="M87" s="12"/>
      <c r="N87" s="12"/>
      <c r="O87" s="12"/>
      <c r="P87" s="12"/>
      <c r="Q87" s="9"/>
      <c r="R87" s="9"/>
      <c r="S87" s="9"/>
      <c r="T87" s="9"/>
      <c r="U87" s="12"/>
      <c r="V87" s="242"/>
      <c r="W87" s="24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</row>
    <row r="88" spans="1:53" ht="15.75" x14ac:dyDescent="0.25">
      <c r="A88" s="9"/>
      <c r="B88" s="9"/>
      <c r="C88" s="9"/>
      <c r="D88" s="9"/>
      <c r="E88" s="9"/>
      <c r="F88" s="9"/>
      <c r="G88" s="9"/>
      <c r="H88" s="9"/>
      <c r="I88" s="12"/>
      <c r="J88" s="12"/>
      <c r="K88" s="12"/>
      <c r="L88" s="12"/>
      <c r="M88" s="12"/>
      <c r="N88" s="12"/>
      <c r="O88" s="12"/>
      <c r="P88" s="12"/>
      <c r="Q88" s="9"/>
      <c r="R88" s="9"/>
      <c r="S88" s="9"/>
      <c r="T88" s="9"/>
      <c r="U88" s="12"/>
      <c r="V88" s="242"/>
      <c r="W88" s="24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</row>
    <row r="89" spans="1:53" ht="15.75" x14ac:dyDescent="0.25">
      <c r="A89" s="9"/>
      <c r="B89" s="9"/>
      <c r="C89" s="9"/>
      <c r="D89" s="9"/>
      <c r="E89" s="9"/>
      <c r="F89" s="9"/>
      <c r="G89" s="9"/>
      <c r="H89" s="9"/>
      <c r="I89" s="12"/>
      <c r="J89" s="12"/>
      <c r="K89" s="12"/>
      <c r="L89" s="12"/>
      <c r="M89" s="12"/>
      <c r="N89" s="12"/>
      <c r="O89" s="12"/>
      <c r="P89" s="12"/>
      <c r="Q89" s="9"/>
      <c r="R89" s="9"/>
      <c r="S89" s="9"/>
      <c r="T89" s="9"/>
      <c r="U89" s="12"/>
      <c r="V89" s="242"/>
      <c r="W89" s="24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</row>
    <row r="90" spans="1:53" ht="15.75" x14ac:dyDescent="0.25">
      <c r="A90" s="9"/>
      <c r="B90" s="9"/>
      <c r="C90" s="9"/>
      <c r="D90" s="9"/>
      <c r="E90" s="9"/>
      <c r="F90" s="9"/>
      <c r="G90" s="9"/>
      <c r="H90" s="9"/>
      <c r="I90" s="12"/>
      <c r="J90" s="12"/>
      <c r="K90" s="12"/>
      <c r="L90" s="12"/>
      <c r="M90" s="12"/>
      <c r="N90" s="12"/>
      <c r="O90" s="12"/>
      <c r="P90" s="12"/>
      <c r="Q90" s="9"/>
      <c r="R90" s="9"/>
      <c r="S90" s="9"/>
      <c r="T90" s="9"/>
      <c r="U90" s="12"/>
      <c r="V90" s="242"/>
      <c r="W90" s="24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</row>
    <row r="91" spans="1:53" ht="15.75" x14ac:dyDescent="0.25">
      <c r="A91" s="9"/>
      <c r="B91" s="9"/>
      <c r="C91" s="9"/>
      <c r="D91" s="9"/>
      <c r="E91" s="9"/>
      <c r="F91" s="9"/>
      <c r="G91" s="9"/>
      <c r="H91" s="9"/>
      <c r="I91" s="12"/>
      <c r="J91" s="12"/>
      <c r="K91" s="12"/>
      <c r="L91" s="12"/>
      <c r="M91" s="12"/>
      <c r="N91" s="12"/>
      <c r="O91" s="12"/>
      <c r="P91" s="12"/>
      <c r="Q91" s="9"/>
      <c r="R91" s="9"/>
      <c r="S91" s="9"/>
      <c r="T91" s="9"/>
      <c r="U91" s="12"/>
      <c r="V91" s="242"/>
      <c r="W91" s="24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</row>
    <row r="92" spans="1:53" ht="15.75" x14ac:dyDescent="0.25">
      <c r="A92" s="9"/>
      <c r="B92" s="9"/>
      <c r="C92" s="9"/>
      <c r="D92" s="9"/>
      <c r="E92" s="9"/>
      <c r="F92" s="9"/>
      <c r="G92" s="9"/>
      <c r="H92" s="9"/>
      <c r="I92" s="12"/>
      <c r="J92" s="12"/>
      <c r="K92" s="12"/>
      <c r="L92" s="12"/>
      <c r="M92" s="12"/>
      <c r="N92" s="12"/>
      <c r="O92" s="12"/>
      <c r="P92" s="12"/>
      <c r="Q92" s="9"/>
      <c r="R92" s="9"/>
      <c r="S92" s="9"/>
      <c r="T92" s="9"/>
      <c r="U92" s="12"/>
      <c r="V92" s="242"/>
      <c r="W92" s="24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</row>
    <row r="93" spans="1:53" ht="15.75" x14ac:dyDescent="0.25">
      <c r="A93" s="9"/>
      <c r="B93" s="9"/>
      <c r="C93" s="9"/>
      <c r="D93" s="9"/>
      <c r="E93" s="9"/>
      <c r="F93" s="9"/>
      <c r="G93" s="9"/>
      <c r="H93" s="9"/>
      <c r="I93" s="12"/>
      <c r="J93" s="12"/>
      <c r="K93" s="12"/>
      <c r="L93" s="12"/>
      <c r="M93" s="12"/>
      <c r="N93" s="12"/>
      <c r="O93" s="12"/>
      <c r="P93" s="12"/>
      <c r="Q93" s="9"/>
      <c r="R93" s="9"/>
      <c r="S93" s="9"/>
      <c r="T93" s="9"/>
      <c r="U93" s="12"/>
      <c r="V93" s="242"/>
      <c r="W93" s="24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</row>
    <row r="94" spans="1:53" ht="15.75" x14ac:dyDescent="0.25">
      <c r="A94" s="9"/>
      <c r="B94" s="9"/>
      <c r="C94" s="9"/>
      <c r="D94" s="9"/>
      <c r="E94" s="9"/>
      <c r="F94" s="9"/>
      <c r="G94" s="9"/>
      <c r="H94" s="9"/>
      <c r="I94" s="12"/>
      <c r="J94" s="12"/>
      <c r="K94" s="12"/>
      <c r="L94" s="12"/>
      <c r="M94" s="12"/>
      <c r="N94" s="12"/>
      <c r="O94" s="12"/>
      <c r="P94" s="12"/>
      <c r="Q94" s="9"/>
      <c r="R94" s="9"/>
      <c r="S94" s="9"/>
      <c r="T94" s="9"/>
      <c r="U94" s="12"/>
      <c r="V94" s="242"/>
      <c r="W94" s="24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</row>
    <row r="95" spans="1:53" ht="15.75" x14ac:dyDescent="0.25">
      <c r="A95" s="9"/>
      <c r="B95" s="9"/>
      <c r="C95" s="9"/>
      <c r="D95" s="9"/>
      <c r="E95" s="9"/>
      <c r="F95" s="9"/>
      <c r="G95" s="9"/>
      <c r="H95" s="9"/>
      <c r="I95" s="12"/>
      <c r="J95" s="12"/>
      <c r="K95" s="12"/>
      <c r="L95" s="12"/>
      <c r="M95" s="12"/>
      <c r="N95" s="12"/>
      <c r="O95" s="12"/>
      <c r="P95" s="12"/>
      <c r="Q95" s="9"/>
      <c r="R95" s="9"/>
      <c r="S95" s="9"/>
      <c r="T95" s="9"/>
      <c r="U95" s="12"/>
      <c r="V95" s="242"/>
      <c r="W95" s="24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</row>
    <row r="96" spans="1:53" ht="15.75" x14ac:dyDescent="0.25">
      <c r="A96" s="9"/>
      <c r="B96" s="9"/>
      <c r="C96" s="9"/>
      <c r="D96" s="9"/>
      <c r="E96" s="9"/>
      <c r="F96" s="9"/>
      <c r="G96" s="9"/>
      <c r="H96" s="9"/>
      <c r="I96" s="12"/>
      <c r="J96" s="12"/>
      <c r="K96" s="12"/>
      <c r="L96" s="12"/>
      <c r="M96" s="12"/>
      <c r="N96" s="12"/>
      <c r="O96" s="12"/>
      <c r="P96" s="12"/>
      <c r="Q96" s="9"/>
      <c r="R96" s="9"/>
      <c r="S96" s="9"/>
      <c r="T96" s="9"/>
      <c r="U96" s="12"/>
      <c r="V96" s="242"/>
      <c r="W96" s="24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</row>
    <row r="97" spans="1:53" ht="15.75" x14ac:dyDescent="0.25">
      <c r="A97" s="9"/>
      <c r="B97" s="9"/>
      <c r="C97" s="9"/>
      <c r="D97" s="9"/>
      <c r="E97" s="9"/>
      <c r="F97" s="9"/>
      <c r="G97" s="9"/>
      <c r="H97" s="9"/>
      <c r="I97" s="12"/>
      <c r="J97" s="12"/>
      <c r="K97" s="12"/>
      <c r="L97" s="12"/>
      <c r="M97" s="12"/>
      <c r="N97" s="12"/>
      <c r="O97" s="12"/>
      <c r="P97" s="12"/>
      <c r="Q97" s="9"/>
      <c r="R97" s="9"/>
      <c r="S97" s="9"/>
      <c r="T97" s="9"/>
      <c r="U97" s="12"/>
      <c r="V97" s="242"/>
      <c r="W97" s="24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</row>
    <row r="98" spans="1:53" ht="15.75" x14ac:dyDescent="0.25">
      <c r="A98" s="9"/>
      <c r="B98" s="9"/>
      <c r="C98" s="9"/>
      <c r="D98" s="9"/>
      <c r="E98" s="9"/>
      <c r="F98" s="9"/>
      <c r="G98" s="9"/>
      <c r="H98" s="9"/>
      <c r="I98" s="12"/>
      <c r="J98" s="12"/>
      <c r="K98" s="12"/>
      <c r="L98" s="12"/>
      <c r="M98" s="12"/>
      <c r="N98" s="12"/>
      <c r="O98" s="12"/>
      <c r="P98" s="12"/>
      <c r="Q98" s="9"/>
      <c r="R98" s="9"/>
      <c r="S98" s="9"/>
      <c r="T98" s="9"/>
      <c r="U98" s="12"/>
      <c r="V98" s="242"/>
      <c r="W98" s="24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</row>
    <row r="99" spans="1:53" ht="15.75" x14ac:dyDescent="0.25">
      <c r="A99" s="9"/>
      <c r="B99" s="9"/>
      <c r="C99" s="9"/>
      <c r="D99" s="9"/>
      <c r="E99" s="9"/>
      <c r="F99" s="9"/>
      <c r="G99" s="9"/>
      <c r="H99" s="9"/>
      <c r="I99" s="12"/>
      <c r="J99" s="12"/>
      <c r="K99" s="12"/>
      <c r="L99" s="12"/>
      <c r="M99" s="12"/>
      <c r="N99" s="12"/>
      <c r="O99" s="12"/>
      <c r="P99" s="12"/>
      <c r="Q99" s="9"/>
      <c r="R99" s="9"/>
      <c r="S99" s="9"/>
      <c r="T99" s="9"/>
      <c r="U99" s="12"/>
      <c r="V99" s="242"/>
      <c r="W99" s="24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</row>
    <row r="100" spans="1:53" ht="15.75" x14ac:dyDescent="0.25">
      <c r="A100" s="9"/>
      <c r="B100" s="9"/>
      <c r="C100" s="9"/>
      <c r="D100" s="9"/>
      <c r="E100" s="9"/>
      <c r="F100" s="9"/>
      <c r="G100" s="9"/>
      <c r="H100" s="9"/>
      <c r="I100" s="12"/>
      <c r="J100" s="12"/>
      <c r="K100" s="12"/>
      <c r="L100" s="12"/>
      <c r="M100" s="12"/>
      <c r="N100" s="12"/>
      <c r="O100" s="12"/>
      <c r="P100" s="12"/>
      <c r="Q100" s="9"/>
      <c r="R100" s="9"/>
      <c r="S100" s="9"/>
      <c r="T100" s="9"/>
      <c r="U100" s="12"/>
      <c r="V100" s="242"/>
      <c r="W100" s="24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</row>
    <row r="101" spans="1:53" ht="15.75" x14ac:dyDescent="0.25">
      <c r="A101" s="9"/>
      <c r="B101" s="9"/>
      <c r="C101" s="9"/>
      <c r="D101" s="9"/>
      <c r="E101" s="9"/>
      <c r="F101" s="9"/>
      <c r="G101" s="9"/>
      <c r="H101" s="9"/>
      <c r="I101" s="12"/>
      <c r="J101" s="12"/>
      <c r="K101" s="12"/>
      <c r="L101" s="12"/>
      <c r="M101" s="12"/>
      <c r="N101" s="12"/>
      <c r="O101" s="12"/>
      <c r="P101" s="12"/>
      <c r="Q101" s="9"/>
      <c r="R101" s="9"/>
      <c r="S101" s="9"/>
      <c r="T101" s="9"/>
      <c r="U101" s="12"/>
      <c r="V101" s="242"/>
      <c r="W101" s="24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</row>
    <row r="102" spans="1:53" ht="15.75" x14ac:dyDescent="0.25">
      <c r="A102" s="9"/>
      <c r="B102" s="9"/>
      <c r="C102" s="9"/>
      <c r="D102" s="9"/>
      <c r="E102" s="9"/>
      <c r="F102" s="9"/>
      <c r="G102" s="9"/>
      <c r="H102" s="9"/>
      <c r="I102" s="12"/>
      <c r="J102" s="12"/>
      <c r="K102" s="12"/>
      <c r="L102" s="12"/>
      <c r="M102" s="12"/>
      <c r="N102" s="12"/>
      <c r="O102" s="12"/>
      <c r="P102" s="12"/>
      <c r="Q102" s="9"/>
      <c r="R102" s="9"/>
      <c r="S102" s="9"/>
      <c r="T102" s="9"/>
      <c r="U102" s="12"/>
      <c r="V102" s="242"/>
      <c r="W102" s="24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</row>
    <row r="103" spans="1:53" ht="15.75" x14ac:dyDescent="0.25">
      <c r="A103" s="9"/>
      <c r="B103" s="9"/>
      <c r="C103" s="9"/>
      <c r="D103" s="9"/>
      <c r="E103" s="9"/>
      <c r="F103" s="9"/>
      <c r="G103" s="9"/>
      <c r="H103" s="9"/>
      <c r="I103" s="12"/>
      <c r="J103" s="12"/>
      <c r="K103" s="12"/>
      <c r="L103" s="12"/>
      <c r="M103" s="12"/>
      <c r="N103" s="12"/>
      <c r="O103" s="12"/>
      <c r="P103" s="12"/>
      <c r="Q103" s="9"/>
      <c r="R103" s="9"/>
      <c r="S103" s="9"/>
      <c r="T103" s="9"/>
      <c r="U103" s="12"/>
      <c r="V103" s="242"/>
      <c r="W103" s="24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</row>
    <row r="104" spans="1:53" ht="15.75" x14ac:dyDescent="0.25">
      <c r="A104" s="9"/>
      <c r="B104" s="9"/>
      <c r="C104" s="9"/>
      <c r="D104" s="9"/>
      <c r="E104" s="9"/>
      <c r="F104" s="9"/>
      <c r="G104" s="9"/>
      <c r="H104" s="9"/>
      <c r="I104" s="12"/>
      <c r="J104" s="12"/>
      <c r="K104" s="12"/>
      <c r="L104" s="12"/>
      <c r="M104" s="12"/>
      <c r="N104" s="12"/>
      <c r="O104" s="12"/>
      <c r="P104" s="12"/>
      <c r="Q104" s="9"/>
      <c r="R104" s="9"/>
      <c r="S104" s="9"/>
      <c r="T104" s="9"/>
      <c r="U104" s="12"/>
      <c r="V104" s="242"/>
      <c r="W104" s="24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</row>
    <row r="105" spans="1:53" ht="15.75" x14ac:dyDescent="0.25">
      <c r="A105" s="9"/>
      <c r="B105" s="9"/>
      <c r="C105" s="9"/>
      <c r="D105" s="9"/>
      <c r="E105" s="9"/>
      <c r="F105" s="9"/>
      <c r="G105" s="9"/>
      <c r="H105" s="9"/>
      <c r="I105" s="12"/>
      <c r="J105" s="12"/>
      <c r="K105" s="12"/>
      <c r="L105" s="12"/>
      <c r="M105" s="12"/>
      <c r="N105" s="12"/>
      <c r="O105" s="12"/>
      <c r="P105" s="12"/>
      <c r="Q105" s="9"/>
      <c r="R105" s="9"/>
      <c r="S105" s="9"/>
      <c r="T105" s="9"/>
      <c r="U105" s="12"/>
      <c r="V105" s="242"/>
      <c r="W105" s="24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</row>
    <row r="106" spans="1:53" ht="15.75" x14ac:dyDescent="0.25">
      <c r="A106" s="9"/>
      <c r="B106" s="9"/>
      <c r="C106" s="9"/>
      <c r="D106" s="9"/>
      <c r="E106" s="9"/>
      <c r="F106" s="9"/>
      <c r="G106" s="9"/>
      <c r="H106" s="9"/>
      <c r="I106" s="12"/>
      <c r="J106" s="12"/>
      <c r="K106" s="12"/>
      <c r="L106" s="12"/>
      <c r="M106" s="12"/>
      <c r="N106" s="12"/>
      <c r="O106" s="12"/>
      <c r="P106" s="12"/>
      <c r="Q106" s="9"/>
      <c r="R106" s="9"/>
      <c r="S106" s="9"/>
      <c r="T106" s="9"/>
      <c r="U106" s="12"/>
      <c r="V106" s="242"/>
      <c r="W106" s="24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</row>
    <row r="107" spans="1:53" ht="15.75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84"/>
      <c r="O107" s="9"/>
      <c r="P107" s="9"/>
      <c r="Q107" s="9"/>
      <c r="R107" s="9"/>
      <c r="S107" s="9"/>
      <c r="T107" s="9"/>
      <c r="U107" s="12"/>
      <c r="V107" s="242"/>
      <c r="W107" s="24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</row>
    <row r="108" spans="1:53" ht="15.75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84"/>
      <c r="O108" s="9"/>
      <c r="P108" s="9"/>
      <c r="Q108" s="9"/>
      <c r="R108" s="9"/>
      <c r="S108" s="9"/>
      <c r="T108" s="9"/>
      <c r="U108" s="12"/>
      <c r="V108" s="242"/>
      <c r="W108" s="24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</row>
    <row r="109" spans="1:53" ht="15.75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84"/>
      <c r="O109" s="9"/>
      <c r="P109" s="9"/>
      <c r="Q109" s="9"/>
      <c r="R109" s="9"/>
      <c r="S109" s="9"/>
      <c r="T109" s="9"/>
      <c r="U109" s="12"/>
      <c r="V109" s="242"/>
      <c r="W109" s="24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</row>
    <row r="110" spans="1:53" ht="15.75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84"/>
      <c r="O110" s="9"/>
      <c r="P110" s="9"/>
      <c r="Q110" s="9"/>
      <c r="R110" s="9"/>
      <c r="S110" s="9"/>
      <c r="T110" s="9"/>
      <c r="U110" s="12"/>
      <c r="V110" s="242"/>
      <c r="W110" s="24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</row>
    <row r="111" spans="1:53" ht="15.75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84"/>
      <c r="O111" s="9"/>
      <c r="P111" s="9"/>
      <c r="Q111" s="9"/>
      <c r="R111" s="9"/>
      <c r="S111" s="9"/>
      <c r="T111" s="9"/>
      <c r="U111" s="12"/>
      <c r="V111" s="242"/>
      <c r="W111" s="24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</row>
    <row r="112" spans="1:53" ht="15.75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84"/>
      <c r="O112" s="9"/>
      <c r="P112" s="9"/>
      <c r="Q112" s="9"/>
      <c r="R112" s="9"/>
      <c r="S112" s="9"/>
      <c r="T112" s="9"/>
      <c r="U112" s="12"/>
      <c r="V112" s="242"/>
      <c r="W112" s="24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</row>
    <row r="113" spans="1:53" ht="15.75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84"/>
      <c r="O113" s="9"/>
      <c r="P113" s="9"/>
      <c r="Q113" s="9"/>
      <c r="R113" s="9"/>
      <c r="S113" s="9"/>
      <c r="T113" s="9"/>
      <c r="U113" s="12"/>
      <c r="V113" s="242"/>
      <c r="W113" s="24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</row>
    <row r="114" spans="1:53" ht="15.75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84"/>
      <c r="O114" s="9"/>
      <c r="P114" s="9"/>
      <c r="Q114" s="9"/>
      <c r="R114" s="9"/>
      <c r="S114" s="9"/>
      <c r="T114" s="9"/>
      <c r="U114" s="12"/>
      <c r="V114" s="242"/>
      <c r="W114" s="24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</row>
    <row r="115" spans="1:53" ht="15.75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84"/>
      <c r="O115" s="9"/>
      <c r="P115" s="9"/>
      <c r="Q115" s="9"/>
      <c r="R115" s="9"/>
      <c r="S115" s="9"/>
      <c r="T115" s="9"/>
      <c r="U115" s="12"/>
      <c r="V115" s="242"/>
      <c r="W115" s="24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</row>
    <row r="116" spans="1:53" ht="15.75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84"/>
      <c r="O116" s="9"/>
      <c r="P116" s="9"/>
      <c r="Q116" s="9"/>
      <c r="R116" s="9"/>
      <c r="S116" s="9"/>
      <c r="T116" s="9"/>
      <c r="U116" s="12"/>
      <c r="V116" s="242"/>
      <c r="W116" s="24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</row>
    <row r="117" spans="1:53" ht="15.75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84"/>
      <c r="O117" s="9"/>
      <c r="P117" s="9"/>
      <c r="Q117" s="9"/>
      <c r="R117" s="9"/>
      <c r="S117" s="9"/>
      <c r="T117" s="9"/>
      <c r="U117" s="12"/>
      <c r="V117" s="242"/>
      <c r="W117" s="24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</row>
    <row r="118" spans="1:53" ht="15.75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84"/>
      <c r="O118" s="9"/>
      <c r="P118" s="9"/>
      <c r="Q118" s="9"/>
      <c r="R118" s="9"/>
      <c r="S118" s="9"/>
      <c r="T118" s="9"/>
      <c r="U118" s="12"/>
      <c r="V118" s="242"/>
      <c r="W118" s="24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</row>
    <row r="119" spans="1:53" ht="15.75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84"/>
      <c r="O119" s="9"/>
      <c r="P119" s="9"/>
      <c r="Q119" s="9"/>
      <c r="R119" s="9"/>
      <c r="S119" s="9"/>
      <c r="T119" s="9"/>
      <c r="U119" s="12"/>
      <c r="V119" s="242"/>
      <c r="W119" s="24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</row>
    <row r="120" spans="1:53" ht="15.75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84"/>
      <c r="O120" s="9"/>
      <c r="P120" s="9"/>
      <c r="Q120" s="9"/>
      <c r="R120" s="9"/>
      <c r="S120" s="9"/>
      <c r="T120" s="9"/>
      <c r="U120" s="12"/>
      <c r="V120" s="242"/>
      <c r="W120" s="24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</row>
    <row r="121" spans="1:53" ht="15.75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84"/>
      <c r="O121" s="9"/>
      <c r="P121" s="9"/>
      <c r="Q121" s="9"/>
      <c r="R121" s="9"/>
      <c r="S121" s="9"/>
      <c r="T121" s="9"/>
      <c r="U121" s="12"/>
      <c r="V121" s="242"/>
      <c r="W121" s="24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</row>
    <row r="122" spans="1:53" ht="15.75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84"/>
      <c r="O122" s="9"/>
      <c r="P122" s="9"/>
      <c r="Q122" s="9"/>
      <c r="R122" s="9"/>
      <c r="S122" s="9"/>
      <c r="T122" s="9"/>
      <c r="U122" s="12"/>
      <c r="V122" s="242"/>
      <c r="W122" s="24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</row>
    <row r="123" spans="1:53" ht="15.75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84"/>
      <c r="O123" s="9"/>
      <c r="P123" s="9"/>
      <c r="Q123" s="9"/>
      <c r="R123" s="9"/>
      <c r="S123" s="9"/>
      <c r="T123" s="9"/>
      <c r="U123" s="12"/>
      <c r="V123" s="242"/>
      <c r="W123" s="24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</row>
    <row r="124" spans="1:53" ht="15.75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84"/>
      <c r="O124" s="9"/>
      <c r="P124" s="9"/>
      <c r="Q124" s="9"/>
      <c r="R124" s="9"/>
      <c r="S124" s="9"/>
      <c r="T124" s="9"/>
      <c r="U124" s="12"/>
      <c r="V124" s="242"/>
      <c r="W124" s="24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</row>
    <row r="125" spans="1:53" ht="15.75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84"/>
      <c r="O125" s="9"/>
      <c r="P125" s="9"/>
      <c r="Q125" s="9"/>
      <c r="R125" s="9"/>
      <c r="S125" s="9"/>
      <c r="T125" s="9"/>
      <c r="U125" s="12"/>
      <c r="V125" s="242"/>
      <c r="W125" s="24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</row>
    <row r="126" spans="1:53" ht="15.75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84"/>
      <c r="O126" s="9"/>
      <c r="P126" s="9"/>
      <c r="Q126" s="9"/>
      <c r="R126" s="9"/>
      <c r="S126" s="9"/>
      <c r="T126" s="9"/>
      <c r="U126" s="12"/>
      <c r="V126" s="242"/>
      <c r="W126" s="24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</row>
    <row r="127" spans="1:53" ht="15.75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84"/>
      <c r="O127" s="9"/>
      <c r="P127" s="9"/>
      <c r="Q127" s="9"/>
      <c r="R127" s="9"/>
      <c r="S127" s="9"/>
      <c r="T127" s="9"/>
      <c r="U127" s="12"/>
      <c r="V127" s="242"/>
      <c r="W127" s="24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</row>
    <row r="128" spans="1:53" ht="15.75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84"/>
      <c r="O128" s="9"/>
      <c r="P128" s="9"/>
      <c r="Q128" s="9"/>
      <c r="R128" s="9"/>
      <c r="S128" s="9"/>
      <c r="T128" s="9"/>
      <c r="U128" s="12"/>
      <c r="V128" s="242"/>
      <c r="W128" s="24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</row>
    <row r="129" spans="1:53" ht="15.75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84"/>
      <c r="O129" s="9"/>
      <c r="P129" s="9"/>
      <c r="Q129" s="9"/>
      <c r="R129" s="9"/>
      <c r="S129" s="9"/>
      <c r="T129" s="9"/>
      <c r="U129" s="12"/>
      <c r="V129" s="242"/>
      <c r="W129" s="24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</row>
    <row r="130" spans="1:53" ht="15.75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84"/>
      <c r="O130" s="9"/>
      <c r="P130" s="9"/>
      <c r="Q130" s="9"/>
      <c r="R130" s="9"/>
      <c r="S130" s="9"/>
      <c r="T130" s="9"/>
      <c r="U130" s="12"/>
      <c r="V130" s="242"/>
      <c r="W130" s="24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</row>
    <row r="131" spans="1:53" ht="15.75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84"/>
      <c r="O131" s="9"/>
      <c r="P131" s="9"/>
      <c r="Q131" s="9"/>
      <c r="R131" s="9"/>
      <c r="S131" s="9"/>
      <c r="T131" s="9"/>
      <c r="U131" s="12"/>
      <c r="V131" s="242"/>
      <c r="W131" s="24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</row>
    <row r="132" spans="1:53" ht="15.75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84"/>
      <c r="O132" s="9"/>
      <c r="P132" s="9"/>
      <c r="Q132" s="9"/>
      <c r="R132" s="9"/>
      <c r="S132" s="9"/>
      <c r="T132" s="9"/>
      <c r="U132" s="12"/>
      <c r="V132" s="242"/>
      <c r="W132" s="24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</row>
    <row r="133" spans="1:53" ht="15.75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84"/>
      <c r="O133" s="9"/>
      <c r="P133" s="9"/>
      <c r="Q133" s="9"/>
      <c r="R133" s="9"/>
      <c r="S133" s="9"/>
      <c r="T133" s="9"/>
      <c r="U133" s="12"/>
      <c r="V133" s="242"/>
      <c r="W133" s="24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</row>
    <row r="134" spans="1:53" ht="15.75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84"/>
      <c r="O134" s="9"/>
      <c r="P134" s="9"/>
      <c r="Q134" s="9"/>
      <c r="R134" s="9"/>
      <c r="S134" s="9"/>
      <c r="T134" s="9"/>
      <c r="U134" s="12"/>
      <c r="V134" s="242"/>
      <c r="W134" s="24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</row>
    <row r="135" spans="1:53" ht="15.75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84"/>
      <c r="O135" s="9"/>
      <c r="P135" s="9"/>
      <c r="Q135" s="9"/>
      <c r="R135" s="9"/>
      <c r="S135" s="9"/>
      <c r="T135" s="9"/>
      <c r="U135" s="12"/>
      <c r="V135" s="242"/>
      <c r="W135" s="24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</row>
    <row r="136" spans="1:53" ht="15.75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84"/>
      <c r="O136" s="9"/>
      <c r="P136" s="9"/>
      <c r="Q136" s="9"/>
      <c r="R136" s="9"/>
      <c r="S136" s="9"/>
      <c r="T136" s="9"/>
      <c r="U136" s="12"/>
      <c r="V136" s="242"/>
      <c r="W136" s="24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</row>
    <row r="137" spans="1:53" ht="15.75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84"/>
      <c r="O137" s="9"/>
      <c r="P137" s="9"/>
      <c r="Q137" s="9"/>
      <c r="R137" s="9"/>
      <c r="S137" s="9"/>
      <c r="T137" s="9"/>
      <c r="U137" s="12"/>
      <c r="V137" s="242"/>
      <c r="W137" s="24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</row>
    <row r="138" spans="1:53" ht="15.75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84"/>
      <c r="O138" s="9"/>
      <c r="P138" s="9"/>
      <c r="Q138" s="9"/>
      <c r="R138" s="9"/>
      <c r="S138" s="9"/>
      <c r="T138" s="9"/>
      <c r="U138" s="1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</row>
    <row r="139" spans="1:53" ht="15.75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84"/>
      <c r="O139" s="9"/>
      <c r="P139" s="9"/>
      <c r="Q139" s="9"/>
      <c r="R139" s="9"/>
      <c r="S139" s="9"/>
      <c r="T139" s="9"/>
      <c r="U139" s="1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</row>
    <row r="140" spans="1:53" ht="15.75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84"/>
      <c r="O140" s="9"/>
      <c r="P140" s="9"/>
      <c r="Q140" s="9"/>
      <c r="R140" s="9"/>
      <c r="S140" s="9"/>
      <c r="T140" s="9"/>
      <c r="U140" s="1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</row>
    <row r="141" spans="1:53" ht="15.75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84"/>
      <c r="O141" s="9"/>
      <c r="P141" s="9"/>
      <c r="Q141" s="9"/>
      <c r="R141" s="9"/>
      <c r="S141" s="9"/>
      <c r="T141" s="9"/>
      <c r="U141" s="1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</row>
    <row r="142" spans="1:53" ht="15.75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84"/>
      <c r="O142" s="9"/>
      <c r="P142" s="9"/>
      <c r="Q142" s="9"/>
      <c r="R142" s="9"/>
      <c r="S142" s="9"/>
      <c r="T142" s="9"/>
      <c r="U142" s="1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</row>
    <row r="143" spans="1:53" ht="15.75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84"/>
      <c r="O143" s="9"/>
      <c r="P143" s="9"/>
      <c r="Q143" s="9"/>
      <c r="R143" s="9"/>
      <c r="S143" s="9"/>
      <c r="T143" s="9"/>
      <c r="U143" s="1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</row>
    <row r="144" spans="1:53" ht="15.75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84"/>
      <c r="O144" s="9"/>
      <c r="P144" s="9"/>
      <c r="Q144" s="9"/>
      <c r="R144" s="9"/>
      <c r="S144" s="9"/>
      <c r="T144" s="9"/>
      <c r="U144" s="1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</row>
    <row r="145" spans="1:53" ht="15.75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84"/>
      <c r="O145" s="9"/>
      <c r="P145" s="9"/>
      <c r="Q145" s="9"/>
      <c r="R145" s="9"/>
      <c r="S145" s="9"/>
      <c r="T145" s="9"/>
      <c r="U145" s="1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</row>
    <row r="146" spans="1:53" ht="15.75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84"/>
      <c r="O146" s="9"/>
      <c r="P146" s="9"/>
      <c r="Q146" s="9"/>
      <c r="R146" s="9"/>
      <c r="S146" s="9"/>
      <c r="T146" s="9"/>
      <c r="U146" s="1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</row>
    <row r="147" spans="1:53" ht="15.75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84"/>
      <c r="O147" s="9"/>
      <c r="P147" s="9"/>
      <c r="Q147" s="9"/>
      <c r="R147" s="9"/>
      <c r="S147" s="9"/>
      <c r="T147" s="9"/>
      <c r="U147" s="1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</row>
    <row r="148" spans="1:53" ht="15.75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84"/>
      <c r="O148" s="9"/>
      <c r="P148" s="9"/>
      <c r="Q148" s="9"/>
      <c r="R148" s="9"/>
      <c r="S148" s="9"/>
      <c r="T148" s="9"/>
      <c r="U148" s="1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</row>
    <row r="149" spans="1:53" ht="15.75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84"/>
      <c r="O149" s="9"/>
      <c r="P149" s="9"/>
      <c r="Q149" s="9"/>
      <c r="R149" s="9"/>
      <c r="S149" s="9"/>
      <c r="T149" s="9"/>
      <c r="U149" s="1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</row>
    <row r="150" spans="1:53" ht="15.75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84"/>
      <c r="O150" s="9"/>
      <c r="P150" s="9"/>
      <c r="Q150" s="9"/>
      <c r="R150" s="9"/>
      <c r="S150" s="9"/>
      <c r="T150" s="9"/>
      <c r="U150" s="1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</row>
    <row r="151" spans="1:53" ht="15.75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84"/>
      <c r="O151" s="9"/>
      <c r="P151" s="9"/>
      <c r="Q151" s="9"/>
      <c r="R151" s="9"/>
      <c r="S151" s="9"/>
      <c r="T151" s="9"/>
      <c r="U151" s="1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</row>
    <row r="152" spans="1:53" ht="15.75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84"/>
      <c r="O152" s="9"/>
      <c r="P152" s="9"/>
      <c r="Q152" s="9"/>
      <c r="R152" s="9"/>
      <c r="S152" s="9"/>
      <c r="T152" s="9"/>
      <c r="U152" s="1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</row>
    <row r="153" spans="1:53" ht="15.75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84"/>
      <c r="O153" s="9"/>
      <c r="P153" s="9"/>
      <c r="Q153" s="9"/>
      <c r="R153" s="9"/>
      <c r="S153" s="9"/>
      <c r="T153" s="9"/>
      <c r="U153" s="1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</row>
    <row r="154" spans="1:53" ht="15.75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84"/>
      <c r="O154" s="9"/>
      <c r="P154" s="9"/>
      <c r="Q154" s="9"/>
      <c r="R154" s="9"/>
      <c r="S154" s="9"/>
      <c r="T154" s="9"/>
      <c r="U154" s="1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</row>
    <row r="155" spans="1:53" ht="15.75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84"/>
      <c r="O155" s="9"/>
      <c r="P155" s="9"/>
      <c r="Q155" s="9"/>
      <c r="R155" s="9"/>
      <c r="S155" s="9"/>
      <c r="T155" s="9"/>
      <c r="U155" s="1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</row>
    <row r="156" spans="1:53" ht="15.75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84"/>
      <c r="O156" s="9"/>
      <c r="P156" s="9"/>
      <c r="Q156" s="9"/>
      <c r="R156" s="9"/>
      <c r="S156" s="9"/>
      <c r="T156" s="9"/>
      <c r="U156" s="1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</row>
    <row r="157" spans="1:53" ht="15.75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84"/>
      <c r="O157" s="9"/>
      <c r="P157" s="9"/>
      <c r="Q157" s="9"/>
      <c r="R157" s="9"/>
      <c r="S157" s="9"/>
      <c r="T157" s="9"/>
      <c r="U157" s="1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</row>
    <row r="158" spans="1:53" ht="15.75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84"/>
      <c r="O158" s="9"/>
      <c r="P158" s="9"/>
      <c r="Q158" s="9"/>
      <c r="R158" s="9"/>
      <c r="S158" s="9"/>
      <c r="T158" s="9"/>
      <c r="U158" s="1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</row>
    <row r="159" spans="1:53" ht="15.75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84"/>
      <c r="O159" s="9"/>
      <c r="P159" s="9"/>
      <c r="Q159" s="9"/>
      <c r="R159" s="9"/>
      <c r="S159" s="9"/>
      <c r="T159" s="9"/>
      <c r="U159" s="1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</row>
    <row r="160" spans="1:53" ht="15.75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84"/>
      <c r="O160" s="9"/>
      <c r="P160" s="9"/>
      <c r="Q160" s="9"/>
      <c r="R160" s="9"/>
      <c r="S160" s="9"/>
      <c r="T160" s="9"/>
      <c r="U160" s="1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</row>
    <row r="161" spans="1:53" ht="15.75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84"/>
      <c r="O161" s="9"/>
      <c r="P161" s="9"/>
      <c r="Q161" s="9"/>
      <c r="R161" s="9"/>
      <c r="S161" s="9"/>
      <c r="T161" s="9"/>
      <c r="U161" s="1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</row>
    <row r="162" spans="1:53" ht="15.75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84"/>
      <c r="O162" s="9"/>
      <c r="P162" s="9"/>
      <c r="Q162" s="9"/>
      <c r="R162" s="9"/>
      <c r="S162" s="9"/>
      <c r="T162" s="9"/>
      <c r="U162" s="1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</row>
    <row r="163" spans="1:53" ht="15.75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84"/>
      <c r="O163" s="9"/>
      <c r="P163" s="9"/>
      <c r="Q163" s="9"/>
      <c r="R163" s="9"/>
      <c r="S163" s="9"/>
      <c r="T163" s="9"/>
      <c r="U163" s="1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</row>
    <row r="164" spans="1:53" ht="15.75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84"/>
      <c r="O164" s="9"/>
      <c r="P164" s="9"/>
      <c r="Q164" s="9"/>
      <c r="R164" s="9"/>
      <c r="S164" s="9"/>
      <c r="T164" s="9"/>
      <c r="U164" s="1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</row>
    <row r="165" spans="1:53" ht="15.75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84"/>
      <c r="O165" s="9"/>
      <c r="P165" s="9"/>
      <c r="Q165" s="9"/>
      <c r="R165" s="9"/>
      <c r="S165" s="9"/>
      <c r="T165" s="9"/>
      <c r="U165" s="1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</row>
    <row r="166" spans="1:53" ht="15.75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84"/>
      <c r="O166" s="9"/>
      <c r="P166" s="9"/>
      <c r="Q166" s="9"/>
      <c r="R166" s="9"/>
      <c r="S166" s="9"/>
      <c r="T166" s="9"/>
      <c r="U166" s="1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</row>
    <row r="167" spans="1:53" ht="15.75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84"/>
      <c r="O167" s="9"/>
      <c r="P167" s="9"/>
      <c r="Q167" s="9"/>
      <c r="R167" s="9"/>
      <c r="S167" s="9"/>
      <c r="T167" s="9"/>
      <c r="U167" s="1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</row>
    <row r="168" spans="1:53" ht="15.75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84"/>
      <c r="O168" s="9"/>
      <c r="P168" s="9"/>
      <c r="Q168" s="9"/>
      <c r="R168" s="9"/>
      <c r="S168" s="9"/>
      <c r="T168" s="9"/>
      <c r="U168" s="1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</row>
    <row r="169" spans="1:53" ht="15.75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84"/>
      <c r="O169" s="9"/>
      <c r="P169" s="9"/>
      <c r="Q169" s="9"/>
      <c r="R169" s="9"/>
      <c r="S169" s="9"/>
      <c r="T169" s="9"/>
      <c r="U169" s="1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</row>
    <row r="170" spans="1:53" ht="15.75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84"/>
      <c r="O170" s="9"/>
      <c r="P170" s="9"/>
      <c r="Q170" s="9"/>
      <c r="R170" s="9"/>
      <c r="S170" s="9"/>
      <c r="T170" s="9"/>
      <c r="U170" s="1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</row>
    <row r="171" spans="1:53" ht="15.75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84"/>
      <c r="O171" s="9"/>
      <c r="P171" s="9"/>
      <c r="Q171" s="9"/>
      <c r="R171" s="9"/>
      <c r="S171" s="9"/>
      <c r="T171" s="9"/>
      <c r="U171" s="1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</row>
    <row r="172" spans="1:53" ht="15.75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84"/>
      <c r="O172" s="9"/>
      <c r="P172" s="9"/>
      <c r="Q172" s="9"/>
      <c r="R172" s="9"/>
      <c r="S172" s="9"/>
      <c r="T172" s="9"/>
      <c r="U172" s="1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</row>
    <row r="173" spans="1:53" ht="15.75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84"/>
      <c r="O173" s="9"/>
      <c r="P173" s="9"/>
      <c r="Q173" s="9"/>
      <c r="R173" s="9"/>
      <c r="S173" s="9"/>
      <c r="T173" s="9"/>
      <c r="U173" s="1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</row>
    <row r="174" spans="1:53" ht="15.75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84"/>
      <c r="O174" s="9"/>
      <c r="P174" s="9"/>
      <c r="Q174" s="9"/>
      <c r="R174" s="9"/>
      <c r="S174" s="9"/>
      <c r="T174" s="9"/>
      <c r="U174" s="1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</row>
    <row r="175" spans="1:53" ht="15.75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84"/>
      <c r="O175" s="9"/>
      <c r="P175" s="9"/>
      <c r="Q175" s="9"/>
      <c r="R175" s="9"/>
      <c r="S175" s="9"/>
      <c r="T175" s="9"/>
      <c r="U175" s="1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</row>
    <row r="176" spans="1:53" ht="15.75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84"/>
      <c r="O176" s="9"/>
      <c r="P176" s="9"/>
      <c r="Q176" s="9"/>
      <c r="R176" s="9"/>
      <c r="S176" s="9"/>
      <c r="T176" s="9"/>
      <c r="U176" s="1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</row>
    <row r="177" spans="1:53" ht="15.75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84"/>
      <c r="O177" s="9"/>
      <c r="P177" s="9"/>
      <c r="Q177" s="9"/>
      <c r="R177" s="9"/>
      <c r="S177" s="9"/>
      <c r="T177" s="9"/>
      <c r="U177" s="1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</row>
    <row r="178" spans="1:53" ht="15.75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84"/>
      <c r="O178" s="9"/>
      <c r="P178" s="9"/>
      <c r="Q178" s="9"/>
      <c r="R178" s="9"/>
      <c r="S178" s="9"/>
      <c r="T178" s="9"/>
      <c r="U178" s="1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</row>
    <row r="179" spans="1:53" ht="15.75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84"/>
      <c r="O179" s="9"/>
      <c r="P179" s="9"/>
      <c r="Q179" s="9"/>
      <c r="R179" s="9"/>
      <c r="S179" s="9"/>
      <c r="T179" s="9"/>
      <c r="U179" s="1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</row>
    <row r="180" spans="1:53" ht="15.75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84"/>
      <c r="O180" s="9"/>
      <c r="P180" s="9"/>
      <c r="Q180" s="9"/>
      <c r="R180" s="9"/>
      <c r="S180" s="9"/>
      <c r="T180" s="9"/>
      <c r="U180" s="1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</row>
    <row r="181" spans="1:53" ht="15.75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84"/>
      <c r="O181" s="9"/>
      <c r="P181" s="9"/>
      <c r="Q181" s="9"/>
      <c r="R181" s="9"/>
      <c r="S181" s="9"/>
      <c r="T181" s="9"/>
      <c r="U181" s="1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</row>
    <row r="182" spans="1:53" ht="15.75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84"/>
      <c r="O182" s="9"/>
      <c r="P182" s="9"/>
      <c r="Q182" s="9"/>
      <c r="R182" s="9"/>
      <c r="S182" s="9"/>
      <c r="T182" s="9"/>
      <c r="U182" s="1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</row>
    <row r="183" spans="1:53" ht="15.75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84"/>
      <c r="O183" s="9"/>
      <c r="P183" s="9"/>
      <c r="Q183" s="9"/>
      <c r="R183" s="9"/>
      <c r="S183" s="9"/>
      <c r="T183" s="9"/>
      <c r="U183" s="1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</row>
    <row r="184" spans="1:53" ht="15.75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84"/>
      <c r="O184" s="9"/>
      <c r="P184" s="9"/>
      <c r="Q184" s="9"/>
      <c r="R184" s="9"/>
      <c r="S184" s="9"/>
      <c r="T184" s="9"/>
      <c r="U184" s="1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</row>
    <row r="185" spans="1:53" ht="15.75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84"/>
      <c r="O185" s="9"/>
      <c r="P185" s="9"/>
      <c r="Q185" s="9"/>
      <c r="R185" s="9"/>
      <c r="S185" s="9"/>
      <c r="T185" s="9"/>
      <c r="U185" s="1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</row>
    <row r="186" spans="1:53" ht="15.75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84"/>
      <c r="O186" s="9"/>
      <c r="P186" s="9"/>
      <c r="Q186" s="9"/>
      <c r="R186" s="9"/>
      <c r="S186" s="9"/>
      <c r="T186" s="9"/>
      <c r="U186" s="1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</row>
    <row r="187" spans="1:53" ht="15.75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84"/>
      <c r="O187" s="9"/>
      <c r="P187" s="9"/>
      <c r="Q187" s="9"/>
      <c r="R187" s="9"/>
      <c r="S187" s="9"/>
      <c r="T187" s="9"/>
      <c r="U187" s="1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</row>
    <row r="188" spans="1:53" ht="15.75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84"/>
      <c r="O188" s="9"/>
      <c r="P188" s="9"/>
      <c r="Q188" s="9"/>
      <c r="R188" s="9"/>
      <c r="S188" s="9"/>
      <c r="T188" s="9"/>
      <c r="U188" s="1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</row>
    <row r="189" spans="1:53" ht="15.75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84"/>
      <c r="O189" s="9"/>
      <c r="P189" s="9"/>
      <c r="Q189" s="9"/>
      <c r="R189" s="9"/>
      <c r="S189" s="9"/>
      <c r="T189" s="9"/>
      <c r="U189" s="1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</row>
    <row r="190" spans="1:53" ht="15.75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84"/>
      <c r="O190" s="9"/>
      <c r="P190" s="9"/>
      <c r="Q190" s="9"/>
      <c r="R190" s="9"/>
      <c r="S190" s="9"/>
      <c r="T190" s="9"/>
      <c r="U190" s="1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</row>
    <row r="191" spans="1:53" ht="15.75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84"/>
      <c r="O191" s="9"/>
      <c r="P191" s="9"/>
      <c r="Q191" s="9"/>
      <c r="R191" s="9"/>
      <c r="S191" s="9"/>
      <c r="T191" s="9"/>
      <c r="U191" s="1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</row>
    <row r="192" spans="1:53" ht="15.75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84"/>
      <c r="O192" s="9"/>
      <c r="P192" s="9"/>
      <c r="Q192" s="9"/>
      <c r="R192" s="9"/>
      <c r="S192" s="9"/>
      <c r="T192" s="9"/>
      <c r="U192" s="1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</row>
    <row r="193" spans="1:53" ht="15.75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84"/>
      <c r="O193" s="9"/>
      <c r="P193" s="9"/>
      <c r="Q193" s="9"/>
      <c r="R193" s="9"/>
      <c r="S193" s="9"/>
      <c r="T193" s="9"/>
      <c r="U193" s="1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</row>
    <row r="194" spans="1:53" ht="15.75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84"/>
      <c r="O194" s="9"/>
      <c r="P194" s="9"/>
      <c r="Q194" s="9"/>
      <c r="R194" s="9"/>
      <c r="S194" s="9"/>
      <c r="T194" s="9"/>
      <c r="U194" s="1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</row>
    <row r="195" spans="1:53" ht="15.75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84"/>
      <c r="O195" s="9"/>
      <c r="P195" s="9"/>
      <c r="Q195" s="9"/>
      <c r="R195" s="9"/>
      <c r="S195" s="9"/>
      <c r="T195" s="9"/>
      <c r="U195" s="1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</row>
    <row r="196" spans="1:53" ht="15.75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84"/>
      <c r="O196" s="9"/>
      <c r="P196" s="9"/>
      <c r="Q196" s="9"/>
      <c r="R196" s="9"/>
      <c r="S196" s="9"/>
      <c r="T196" s="9"/>
      <c r="U196" s="1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</row>
    <row r="197" spans="1:53" ht="15.75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84"/>
      <c r="O197" s="9"/>
      <c r="P197" s="9"/>
      <c r="Q197" s="9"/>
      <c r="R197" s="9"/>
      <c r="S197" s="9"/>
      <c r="T197" s="9"/>
      <c r="U197" s="1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</row>
    <row r="198" spans="1:53" ht="15.75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84"/>
      <c r="O198" s="9"/>
      <c r="P198" s="9"/>
      <c r="Q198" s="9"/>
      <c r="R198" s="9"/>
      <c r="S198" s="9"/>
      <c r="T198" s="9"/>
      <c r="U198" s="1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</row>
    <row r="199" spans="1:53" ht="15.75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84"/>
      <c r="O199" s="9"/>
      <c r="P199" s="9"/>
      <c r="Q199" s="9"/>
      <c r="R199" s="9"/>
      <c r="S199" s="9"/>
      <c r="T199" s="9"/>
      <c r="U199" s="1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</row>
    <row r="200" spans="1:53" ht="15.75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84"/>
      <c r="O200" s="9"/>
      <c r="P200" s="9"/>
      <c r="Q200" s="9"/>
      <c r="R200" s="9"/>
      <c r="S200" s="9"/>
      <c r="T200" s="9"/>
      <c r="U200" s="1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</row>
    <row r="201" spans="1:53" ht="15.75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84"/>
      <c r="O201" s="9"/>
      <c r="P201" s="9"/>
      <c r="Q201" s="9"/>
      <c r="R201" s="9"/>
      <c r="S201" s="9"/>
      <c r="T201" s="9"/>
      <c r="U201" s="1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</row>
    <row r="202" spans="1:53" ht="15.75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84"/>
      <c r="O202" s="9"/>
      <c r="P202" s="9"/>
      <c r="Q202" s="9"/>
      <c r="R202" s="9"/>
      <c r="S202" s="9"/>
      <c r="T202" s="9"/>
      <c r="U202" s="1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</row>
    <row r="203" spans="1:53" ht="15.75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84"/>
      <c r="O203" s="9"/>
      <c r="P203" s="9"/>
      <c r="Q203" s="9"/>
      <c r="R203" s="9"/>
      <c r="S203" s="9"/>
      <c r="T203" s="9"/>
      <c r="U203" s="1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</row>
    <row r="204" spans="1:53" ht="15.75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84"/>
      <c r="O204" s="9"/>
      <c r="P204" s="9"/>
      <c r="Q204" s="9"/>
      <c r="R204" s="9"/>
      <c r="S204" s="9"/>
      <c r="T204" s="9"/>
      <c r="U204" s="1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</row>
    <row r="205" spans="1:53" ht="15.75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84"/>
      <c r="O205" s="9"/>
      <c r="P205" s="9"/>
      <c r="Q205" s="9"/>
      <c r="R205" s="9"/>
      <c r="S205" s="9"/>
      <c r="T205" s="9"/>
      <c r="U205" s="1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</row>
    <row r="206" spans="1:53" ht="15.75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84"/>
      <c r="O206" s="9"/>
      <c r="P206" s="9"/>
      <c r="Q206" s="9"/>
      <c r="R206" s="9"/>
      <c r="S206" s="9"/>
      <c r="T206" s="9"/>
      <c r="U206" s="1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</row>
    <row r="207" spans="1:53" ht="15.75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84"/>
      <c r="O207" s="9"/>
      <c r="P207" s="9"/>
      <c r="Q207" s="9"/>
      <c r="R207" s="9"/>
      <c r="S207" s="9"/>
      <c r="T207" s="9"/>
      <c r="U207" s="1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</row>
    <row r="208" spans="1:53" ht="15.75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84"/>
      <c r="O208" s="9"/>
      <c r="P208" s="9"/>
      <c r="Q208" s="9"/>
      <c r="R208" s="9"/>
      <c r="S208" s="9"/>
      <c r="T208" s="9"/>
      <c r="U208" s="1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</row>
    <row r="209" spans="1:53" ht="15.75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84"/>
      <c r="O209" s="9"/>
      <c r="P209" s="9"/>
      <c r="Q209" s="9"/>
      <c r="R209" s="9"/>
      <c r="S209" s="9"/>
      <c r="T209" s="9"/>
      <c r="U209" s="1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</row>
    <row r="210" spans="1:53" ht="15.75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84"/>
      <c r="O210" s="9"/>
      <c r="P210" s="9"/>
      <c r="Q210" s="9"/>
      <c r="R210" s="9"/>
      <c r="S210" s="9"/>
      <c r="T210" s="9"/>
      <c r="U210" s="1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</row>
    <row r="211" spans="1:53" ht="15.75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84"/>
      <c r="O211" s="9"/>
      <c r="P211" s="9"/>
      <c r="Q211" s="9"/>
      <c r="R211" s="9"/>
      <c r="S211" s="9"/>
      <c r="T211" s="9"/>
      <c r="U211" s="1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</row>
    <row r="212" spans="1:53" ht="15.75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84"/>
      <c r="O212" s="9"/>
      <c r="P212" s="9"/>
      <c r="Q212" s="9"/>
      <c r="R212" s="9"/>
      <c r="S212" s="9"/>
      <c r="T212" s="9"/>
      <c r="U212" s="1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</row>
    <row r="213" spans="1:53" ht="15.75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84"/>
      <c r="O213" s="9"/>
      <c r="P213" s="9"/>
      <c r="Q213" s="9"/>
      <c r="R213" s="9"/>
      <c r="S213" s="9"/>
      <c r="T213" s="9"/>
      <c r="U213" s="1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</row>
    <row r="214" spans="1:53" ht="15.75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84"/>
      <c r="O214" s="9"/>
      <c r="P214" s="9"/>
      <c r="Q214" s="9"/>
      <c r="R214" s="9"/>
      <c r="S214" s="9"/>
      <c r="T214" s="9"/>
      <c r="U214" s="1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</row>
    <row r="215" spans="1:53" ht="15.75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84"/>
      <c r="O215" s="9"/>
      <c r="P215" s="9"/>
      <c r="Q215" s="9"/>
      <c r="R215" s="9"/>
      <c r="S215" s="9"/>
      <c r="T215" s="9"/>
      <c r="U215" s="1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</row>
    <row r="216" spans="1:53" ht="15.75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84"/>
      <c r="O216" s="9"/>
      <c r="P216" s="9"/>
      <c r="Q216" s="9"/>
      <c r="R216" s="9"/>
      <c r="S216" s="9"/>
      <c r="T216" s="9"/>
      <c r="U216" s="1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</row>
    <row r="217" spans="1:53" ht="15.75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84"/>
      <c r="O217" s="9"/>
      <c r="P217" s="9"/>
      <c r="Q217" s="9"/>
      <c r="R217" s="9"/>
      <c r="S217" s="9"/>
      <c r="T217" s="9"/>
      <c r="U217" s="1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</row>
    <row r="218" spans="1:53" x14ac:dyDescent="0.25"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</row>
    <row r="219" spans="1:53" x14ac:dyDescent="0.25"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</row>
    <row r="220" spans="1:53" x14ac:dyDescent="0.25"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</row>
    <row r="221" spans="1:53" x14ac:dyDescent="0.25"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</row>
    <row r="222" spans="1:53" x14ac:dyDescent="0.25"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</row>
    <row r="223" spans="1:53" x14ac:dyDescent="0.25"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</row>
    <row r="224" spans="1:53" x14ac:dyDescent="0.25"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</row>
    <row r="225" spans="21:53" x14ac:dyDescent="0.25"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</row>
    <row r="226" spans="21:53" x14ac:dyDescent="0.25"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</row>
    <row r="227" spans="21:53" x14ac:dyDescent="0.25"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</row>
    <row r="228" spans="21:53" x14ac:dyDescent="0.25"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</row>
    <row r="229" spans="21:53" x14ac:dyDescent="0.25"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</row>
    <row r="230" spans="21:53" x14ac:dyDescent="0.25"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</row>
    <row r="231" spans="21:53" x14ac:dyDescent="0.25"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</row>
    <row r="232" spans="21:53" x14ac:dyDescent="0.25"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</row>
    <row r="233" spans="21:53" x14ac:dyDescent="0.25"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</row>
    <row r="234" spans="21:53" x14ac:dyDescent="0.25"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</row>
    <row r="235" spans="21:53" x14ac:dyDescent="0.25"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</row>
    <row r="236" spans="21:53" x14ac:dyDescent="0.25"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</row>
    <row r="237" spans="21:53" x14ac:dyDescent="0.25"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</row>
    <row r="238" spans="21:53" x14ac:dyDescent="0.25"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</row>
    <row r="239" spans="21:53" x14ac:dyDescent="0.25"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</row>
    <row r="240" spans="21:53" x14ac:dyDescent="0.25"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</row>
    <row r="241" spans="21:53" x14ac:dyDescent="0.25"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</row>
    <row r="242" spans="21:53" x14ac:dyDescent="0.25"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</row>
    <row r="243" spans="21:53" x14ac:dyDescent="0.25"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</row>
    <row r="244" spans="21:53" x14ac:dyDescent="0.25"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</row>
    <row r="245" spans="21:53" x14ac:dyDescent="0.25"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</row>
    <row r="246" spans="21:53" x14ac:dyDescent="0.25"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</row>
    <row r="247" spans="21:53" x14ac:dyDescent="0.25"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</row>
    <row r="248" spans="21:53" x14ac:dyDescent="0.25"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</row>
    <row r="249" spans="21:53" x14ac:dyDescent="0.25"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</row>
    <row r="250" spans="21:53" x14ac:dyDescent="0.25"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</row>
    <row r="251" spans="21:53" x14ac:dyDescent="0.25"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</row>
    <row r="252" spans="21:53" x14ac:dyDescent="0.25"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</row>
    <row r="253" spans="21:53" x14ac:dyDescent="0.25"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</row>
    <row r="254" spans="21:53" x14ac:dyDescent="0.25"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</row>
    <row r="255" spans="21:53" x14ac:dyDescent="0.25"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</row>
    <row r="256" spans="21:53" x14ac:dyDescent="0.25"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</row>
    <row r="257" spans="21:53" x14ac:dyDescent="0.25"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</row>
    <row r="258" spans="21:53" x14ac:dyDescent="0.25"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</row>
    <row r="259" spans="21:53" x14ac:dyDescent="0.25"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</row>
    <row r="260" spans="21:53" x14ac:dyDescent="0.25"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</row>
    <row r="261" spans="21:53" x14ac:dyDescent="0.25"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</row>
    <row r="262" spans="21:53" x14ac:dyDescent="0.25"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</row>
    <row r="263" spans="21:53" x14ac:dyDescent="0.25"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</row>
    <row r="264" spans="21:53" x14ac:dyDescent="0.25"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</row>
    <row r="265" spans="21:53" x14ac:dyDescent="0.25"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</row>
    <row r="266" spans="21:53" x14ac:dyDescent="0.25"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</row>
    <row r="267" spans="21:53" x14ac:dyDescent="0.25"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</row>
    <row r="268" spans="21:53" x14ac:dyDescent="0.25"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</row>
    <row r="269" spans="21:53" x14ac:dyDescent="0.25"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</row>
    <row r="270" spans="21:53" x14ac:dyDescent="0.25"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</row>
    <row r="271" spans="21:53" x14ac:dyDescent="0.25"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</row>
    <row r="272" spans="21:53" x14ac:dyDescent="0.25"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</row>
    <row r="273" spans="21:53" x14ac:dyDescent="0.25"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</row>
    <row r="274" spans="21:53" x14ac:dyDescent="0.25"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</row>
    <row r="275" spans="21:53" x14ac:dyDescent="0.25"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</row>
    <row r="276" spans="21:53" x14ac:dyDescent="0.25"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</row>
    <row r="277" spans="21:53" x14ac:dyDescent="0.25"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</row>
    <row r="278" spans="21:53" x14ac:dyDescent="0.25"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</row>
    <row r="279" spans="21:53" x14ac:dyDescent="0.25"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</row>
    <row r="280" spans="21:53" x14ac:dyDescent="0.25"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</row>
    <row r="281" spans="21:53" x14ac:dyDescent="0.25"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</row>
    <row r="282" spans="21:53" x14ac:dyDescent="0.25"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</row>
    <row r="283" spans="21:53" x14ac:dyDescent="0.25"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</row>
    <row r="284" spans="21:53" x14ac:dyDescent="0.25"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</row>
    <row r="285" spans="21:53" x14ac:dyDescent="0.25"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</row>
    <row r="286" spans="21:53" x14ac:dyDescent="0.25"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</row>
    <row r="287" spans="21:53" x14ac:dyDescent="0.25"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</row>
    <row r="288" spans="21:53" x14ac:dyDescent="0.25"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</row>
    <row r="289" spans="21:53" x14ac:dyDescent="0.25"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</row>
    <row r="290" spans="21:53" x14ac:dyDescent="0.25"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</row>
    <row r="291" spans="21:53" x14ac:dyDescent="0.25"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</row>
    <row r="292" spans="21:53" x14ac:dyDescent="0.25"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</row>
    <row r="293" spans="21:53" x14ac:dyDescent="0.25"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</row>
    <row r="294" spans="21:53" x14ac:dyDescent="0.25"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</row>
    <row r="295" spans="21:53" x14ac:dyDescent="0.25"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</row>
    <row r="296" spans="21:53" x14ac:dyDescent="0.25"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</row>
    <row r="297" spans="21:53" x14ac:dyDescent="0.25"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</row>
    <row r="298" spans="21:53" x14ac:dyDescent="0.25"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</row>
    <row r="299" spans="21:53" x14ac:dyDescent="0.25"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</row>
    <row r="300" spans="21:53" x14ac:dyDescent="0.25"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</row>
    <row r="301" spans="21:53" x14ac:dyDescent="0.25"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</row>
    <row r="302" spans="21:53" x14ac:dyDescent="0.25"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</row>
    <row r="303" spans="21:53" x14ac:dyDescent="0.25"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</row>
    <row r="304" spans="21:53" x14ac:dyDescent="0.25"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</row>
    <row r="305" spans="21:53" x14ac:dyDescent="0.25"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</row>
    <row r="306" spans="21:53" x14ac:dyDescent="0.25"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</row>
    <row r="307" spans="21:53" x14ac:dyDescent="0.25"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</row>
    <row r="308" spans="21:53" x14ac:dyDescent="0.25"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</row>
    <row r="309" spans="21:53" x14ac:dyDescent="0.25"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</row>
    <row r="310" spans="21:53" x14ac:dyDescent="0.25"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</row>
    <row r="311" spans="21:53" x14ac:dyDescent="0.25"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</row>
    <row r="312" spans="21:53" x14ac:dyDescent="0.25"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</row>
    <row r="313" spans="21:53" x14ac:dyDescent="0.25"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</row>
    <row r="314" spans="21:53" x14ac:dyDescent="0.25"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</row>
    <row r="315" spans="21:53" x14ac:dyDescent="0.25"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</row>
    <row r="316" spans="21:53" x14ac:dyDescent="0.25"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</row>
    <row r="317" spans="21:53" x14ac:dyDescent="0.25"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</row>
    <row r="318" spans="21:53" x14ac:dyDescent="0.25"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</row>
    <row r="319" spans="21:53" x14ac:dyDescent="0.25"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</row>
    <row r="320" spans="21:53" x14ac:dyDescent="0.25"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</row>
    <row r="321" spans="21:21" x14ac:dyDescent="0.25">
      <c r="U321" s="2"/>
    </row>
    <row r="322" spans="21:21" x14ac:dyDescent="0.25">
      <c r="U322" s="2"/>
    </row>
    <row r="323" spans="21:21" x14ac:dyDescent="0.25">
      <c r="U323" s="2"/>
    </row>
    <row r="324" spans="21:21" x14ac:dyDescent="0.25">
      <c r="U324" s="2"/>
    </row>
    <row r="325" spans="21:21" x14ac:dyDescent="0.25">
      <c r="U325" s="2"/>
    </row>
    <row r="326" spans="21:21" x14ac:dyDescent="0.25">
      <c r="U326" s="2"/>
    </row>
    <row r="327" spans="21:21" x14ac:dyDescent="0.25">
      <c r="U327" s="2"/>
    </row>
    <row r="328" spans="21:21" x14ac:dyDescent="0.25">
      <c r="U328" s="2"/>
    </row>
    <row r="329" spans="21:21" x14ac:dyDescent="0.25">
      <c r="U329" s="2"/>
    </row>
    <row r="330" spans="21:21" x14ac:dyDescent="0.25">
      <c r="U330" s="2"/>
    </row>
    <row r="331" spans="21:21" x14ac:dyDescent="0.25">
      <c r="U331" s="2"/>
    </row>
    <row r="332" spans="21:21" x14ac:dyDescent="0.25">
      <c r="U332" s="2"/>
    </row>
    <row r="333" spans="21:21" x14ac:dyDescent="0.25">
      <c r="U333" s="2"/>
    </row>
    <row r="334" spans="21:21" x14ac:dyDescent="0.25">
      <c r="U334" s="2"/>
    </row>
    <row r="335" spans="21:21" x14ac:dyDescent="0.25">
      <c r="U335" s="2"/>
    </row>
    <row r="336" spans="21:21" x14ac:dyDescent="0.25">
      <c r="U336" s="2"/>
    </row>
    <row r="337" spans="21:21" x14ac:dyDescent="0.25">
      <c r="U337" s="2"/>
    </row>
    <row r="338" spans="21:21" x14ac:dyDescent="0.25">
      <c r="U338" s="2"/>
    </row>
    <row r="339" spans="21:21" x14ac:dyDescent="0.25">
      <c r="U339" s="2"/>
    </row>
    <row r="340" spans="21:21" x14ac:dyDescent="0.25">
      <c r="U340" s="2"/>
    </row>
    <row r="341" spans="21:21" x14ac:dyDescent="0.25">
      <c r="U341" s="2"/>
    </row>
    <row r="342" spans="21:21" x14ac:dyDescent="0.25">
      <c r="U342" s="2"/>
    </row>
    <row r="343" spans="21:21" x14ac:dyDescent="0.25">
      <c r="U343" s="2"/>
    </row>
    <row r="344" spans="21:21" x14ac:dyDescent="0.25">
      <c r="U344" s="2"/>
    </row>
    <row r="345" spans="21:21" x14ac:dyDescent="0.25">
      <c r="U345" s="2"/>
    </row>
    <row r="346" spans="21:21" x14ac:dyDescent="0.25">
      <c r="U346" s="2"/>
    </row>
    <row r="347" spans="21:21" x14ac:dyDescent="0.25">
      <c r="U347" s="2"/>
    </row>
    <row r="348" spans="21:21" x14ac:dyDescent="0.25">
      <c r="U348" s="2"/>
    </row>
    <row r="349" spans="21:21" x14ac:dyDescent="0.25">
      <c r="U349" s="2"/>
    </row>
    <row r="350" spans="21:21" x14ac:dyDescent="0.25">
      <c r="U350" s="2"/>
    </row>
    <row r="351" spans="21:21" x14ac:dyDescent="0.25">
      <c r="U351" s="2"/>
    </row>
    <row r="352" spans="21:21" x14ac:dyDescent="0.25">
      <c r="U352" s="2"/>
    </row>
    <row r="353" spans="21:21" x14ac:dyDescent="0.25">
      <c r="U353" s="2"/>
    </row>
    <row r="354" spans="21:21" x14ac:dyDescent="0.25">
      <c r="U354" s="2"/>
    </row>
    <row r="355" spans="21:21" x14ac:dyDescent="0.25">
      <c r="U355" s="2"/>
    </row>
    <row r="356" spans="21:21" x14ac:dyDescent="0.25">
      <c r="U356" s="2"/>
    </row>
    <row r="357" spans="21:21" x14ac:dyDescent="0.25">
      <c r="U357" s="2"/>
    </row>
    <row r="358" spans="21:21" x14ac:dyDescent="0.25">
      <c r="U358" s="2"/>
    </row>
    <row r="359" spans="21:21" x14ac:dyDescent="0.25">
      <c r="U359" s="2"/>
    </row>
    <row r="360" spans="21:21" x14ac:dyDescent="0.25">
      <c r="U360" s="2"/>
    </row>
    <row r="361" spans="21:21" x14ac:dyDescent="0.25">
      <c r="U361" s="2"/>
    </row>
    <row r="362" spans="21:21" x14ac:dyDescent="0.25">
      <c r="U362" s="2"/>
    </row>
    <row r="363" spans="21:21" x14ac:dyDescent="0.25">
      <c r="U363" s="2"/>
    </row>
    <row r="364" spans="21:21" x14ac:dyDescent="0.25">
      <c r="U364" s="2"/>
    </row>
    <row r="365" spans="21:21" x14ac:dyDescent="0.25">
      <c r="U365" s="2"/>
    </row>
    <row r="366" spans="21:21" x14ac:dyDescent="0.25">
      <c r="U366" s="2"/>
    </row>
    <row r="367" spans="21:21" x14ac:dyDescent="0.25">
      <c r="U367" s="2"/>
    </row>
    <row r="368" spans="21:21" x14ac:dyDescent="0.25">
      <c r="U368" s="2"/>
    </row>
    <row r="369" spans="21:21" x14ac:dyDescent="0.25">
      <c r="U369" s="2"/>
    </row>
    <row r="370" spans="21:21" x14ac:dyDescent="0.25">
      <c r="U370" s="2"/>
    </row>
    <row r="371" spans="21:21" x14ac:dyDescent="0.25">
      <c r="U371" s="2"/>
    </row>
    <row r="372" spans="21:21" x14ac:dyDescent="0.25">
      <c r="U372" s="2"/>
    </row>
    <row r="373" spans="21:21" x14ac:dyDescent="0.25">
      <c r="U373" s="2"/>
    </row>
    <row r="374" spans="21:21" x14ac:dyDescent="0.25">
      <c r="U374" s="2"/>
    </row>
    <row r="375" spans="21:21" x14ac:dyDescent="0.25">
      <c r="U375" s="2"/>
    </row>
    <row r="376" spans="21:21" x14ac:dyDescent="0.25">
      <c r="U376" s="2"/>
    </row>
    <row r="377" spans="21:21" x14ac:dyDescent="0.25">
      <c r="U377" s="2"/>
    </row>
    <row r="378" spans="21:21" x14ac:dyDescent="0.25">
      <c r="U378" s="2"/>
    </row>
    <row r="379" spans="21:21" x14ac:dyDescent="0.25">
      <c r="U379" s="2"/>
    </row>
    <row r="380" spans="21:21" x14ac:dyDescent="0.25">
      <c r="U380" s="2"/>
    </row>
    <row r="381" spans="21:21" x14ac:dyDescent="0.25">
      <c r="U381" s="2"/>
    </row>
    <row r="382" spans="21:21" x14ac:dyDescent="0.25">
      <c r="U382" s="2"/>
    </row>
    <row r="383" spans="21:21" x14ac:dyDescent="0.25">
      <c r="U383" s="2"/>
    </row>
    <row r="384" spans="21:21" x14ac:dyDescent="0.25">
      <c r="U384" s="2"/>
    </row>
    <row r="385" spans="10:21" x14ac:dyDescent="0.25">
      <c r="U385" s="2"/>
    </row>
    <row r="386" spans="10:21" x14ac:dyDescent="0.25">
      <c r="U386" s="2"/>
    </row>
    <row r="387" spans="10:21" x14ac:dyDescent="0.25">
      <c r="U387" s="2"/>
    </row>
    <row r="388" spans="10:21" x14ac:dyDescent="0.25">
      <c r="U388" s="2"/>
    </row>
    <row r="389" spans="10:21" x14ac:dyDescent="0.25">
      <c r="U389" s="2"/>
    </row>
    <row r="390" spans="10:21" x14ac:dyDescent="0.25">
      <c r="U390" s="2"/>
    </row>
    <row r="391" spans="10:21" x14ac:dyDescent="0.25">
      <c r="U391" s="2"/>
    </row>
    <row r="392" spans="10:21" x14ac:dyDescent="0.25">
      <c r="U392" s="2"/>
    </row>
    <row r="393" spans="10:21" x14ac:dyDescent="0.25">
      <c r="U393" s="2"/>
    </row>
    <row r="394" spans="10:21" x14ac:dyDescent="0.25">
      <c r="U394" s="2"/>
    </row>
    <row r="395" spans="10:21" x14ac:dyDescent="0.25">
      <c r="U395" s="2"/>
    </row>
    <row r="396" spans="10:21" x14ac:dyDescent="0.25">
      <c r="U396" s="2"/>
    </row>
    <row r="397" spans="10:21" x14ac:dyDescent="0.25">
      <c r="U397" s="2"/>
    </row>
    <row r="398" spans="10:21" x14ac:dyDescent="0.25">
      <c r="J398" s="2"/>
      <c r="K398" s="2"/>
      <c r="L398" s="2"/>
      <c r="M398" s="2"/>
      <c r="O398" s="2"/>
      <c r="P398" s="2"/>
      <c r="Q398" s="2"/>
      <c r="R398" s="2"/>
      <c r="S398" s="2"/>
      <c r="U398" s="2"/>
    </row>
    <row r="399" spans="10:21" x14ac:dyDescent="0.25">
      <c r="U399" s="2"/>
    </row>
    <row r="400" spans="10:21" x14ac:dyDescent="0.25">
      <c r="U400" s="2"/>
    </row>
    <row r="401" spans="21:21" x14ac:dyDescent="0.25">
      <c r="U401" s="2"/>
    </row>
    <row r="402" spans="21:21" x14ac:dyDescent="0.25">
      <c r="U402" s="2"/>
    </row>
    <row r="403" spans="21:21" x14ac:dyDescent="0.25">
      <c r="U403" s="2"/>
    </row>
    <row r="404" spans="21:21" x14ac:dyDescent="0.25">
      <c r="U404" s="2"/>
    </row>
    <row r="405" spans="21:21" x14ac:dyDescent="0.25">
      <c r="U405" s="2"/>
    </row>
    <row r="406" spans="21:21" x14ac:dyDescent="0.25">
      <c r="U406" s="2"/>
    </row>
    <row r="407" spans="21:21" x14ac:dyDescent="0.25">
      <c r="U407" s="2"/>
    </row>
    <row r="408" spans="21:21" x14ac:dyDescent="0.25">
      <c r="U408" s="2"/>
    </row>
    <row r="409" spans="21:21" x14ac:dyDescent="0.25">
      <c r="U409" s="2"/>
    </row>
    <row r="410" spans="21:21" x14ac:dyDescent="0.25">
      <c r="U410" s="2"/>
    </row>
    <row r="411" spans="21:21" x14ac:dyDescent="0.25">
      <c r="U411" s="2"/>
    </row>
    <row r="412" spans="21:21" x14ac:dyDescent="0.25">
      <c r="U412" s="2"/>
    </row>
    <row r="413" spans="21:21" x14ac:dyDescent="0.25">
      <c r="U413" s="2"/>
    </row>
    <row r="414" spans="21:21" x14ac:dyDescent="0.25">
      <c r="U414" s="2"/>
    </row>
    <row r="415" spans="21:21" x14ac:dyDescent="0.25">
      <c r="U415" s="2"/>
    </row>
    <row r="416" spans="21:21" x14ac:dyDescent="0.25">
      <c r="U416" s="2"/>
    </row>
    <row r="417" spans="21:21" x14ac:dyDescent="0.25">
      <c r="U417" s="2"/>
    </row>
    <row r="418" spans="21:21" x14ac:dyDescent="0.25">
      <c r="U418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15E81-FCB7-4BC2-87BD-1C7B2FBBBA7F}">
  <dimension ref="A1:AM232"/>
  <sheetViews>
    <sheetView zoomScale="70" zoomScaleNormal="70" workbookViewId="0">
      <selection sqref="A1:XFD1048576"/>
    </sheetView>
  </sheetViews>
  <sheetFormatPr defaultColWidth="8.7109375" defaultRowHeight="15.75" x14ac:dyDescent="0.25"/>
  <cols>
    <col min="1" max="1" width="11.7109375" style="9" customWidth="1"/>
    <col min="2" max="5" width="8.7109375" style="9"/>
    <col min="6" max="7" width="9.7109375" style="9" bestFit="1" customWidth="1"/>
    <col min="8" max="8" width="13.28515625" style="9" customWidth="1"/>
    <col min="9" max="9" width="14" style="9" customWidth="1"/>
    <col min="10" max="10" width="10" style="9" bestFit="1" customWidth="1"/>
    <col min="11" max="11" width="14.140625" style="9" customWidth="1"/>
    <col min="12" max="12" width="12.140625" style="9" customWidth="1"/>
    <col min="13" max="13" width="14" style="9" customWidth="1"/>
    <col min="14" max="14" width="8.7109375" style="9"/>
    <col min="15" max="15" width="12.28515625" style="9" customWidth="1"/>
    <col min="16" max="16" width="13.7109375" style="9" bestFit="1" customWidth="1"/>
    <col min="17" max="17" width="13.140625" style="9" customWidth="1"/>
    <col min="18" max="18" width="13.7109375" style="9" customWidth="1"/>
    <col min="19" max="19" width="15.28515625" style="9" customWidth="1"/>
    <col min="20" max="31" width="8.7109375" style="9"/>
    <col min="32" max="32" width="8.7109375" style="73"/>
    <col min="33" max="16384" width="8.7109375" style="9"/>
  </cols>
  <sheetData>
    <row r="1" spans="1:35" x14ac:dyDescent="0.25">
      <c r="K1" s="68" t="s">
        <v>224</v>
      </c>
    </row>
    <row r="2" spans="1:35" x14ac:dyDescent="0.25">
      <c r="H2" s="10" t="s">
        <v>227</v>
      </c>
      <c r="K2" s="68" t="s">
        <v>238</v>
      </c>
      <c r="M2" s="28"/>
      <c r="O2" s="10" t="s">
        <v>245</v>
      </c>
    </row>
    <row r="3" spans="1:35" ht="16.5" thickBot="1" x14ac:dyDescent="0.3">
      <c r="B3" s="10" t="s">
        <v>38</v>
      </c>
      <c r="E3" s="10" t="s">
        <v>39</v>
      </c>
      <c r="H3" s="57" t="s">
        <v>214</v>
      </c>
      <c r="I3" s="57" t="s">
        <v>214</v>
      </c>
      <c r="K3" s="68" t="s">
        <v>237</v>
      </c>
      <c r="L3" s="78" t="s">
        <v>214</v>
      </c>
      <c r="M3" s="78" t="s">
        <v>214</v>
      </c>
      <c r="N3" s="57"/>
      <c r="O3" s="57" t="s">
        <v>240</v>
      </c>
      <c r="P3" s="57" t="s">
        <v>241</v>
      </c>
      <c r="Q3" s="57" t="s">
        <v>242</v>
      </c>
      <c r="R3" s="57" t="s">
        <v>243</v>
      </c>
      <c r="S3" s="57" t="s">
        <v>244</v>
      </c>
    </row>
    <row r="4" spans="1:35" ht="16.5" thickBot="1" x14ac:dyDescent="0.3">
      <c r="A4" s="10" t="s">
        <v>11</v>
      </c>
      <c r="F4" s="117">
        <v>2015</v>
      </c>
      <c r="G4" s="117">
        <v>2016</v>
      </c>
      <c r="H4" s="117">
        <v>2017</v>
      </c>
      <c r="I4" s="117">
        <v>2018</v>
      </c>
      <c r="J4" s="123"/>
      <c r="K4" s="173">
        <v>2016</v>
      </c>
      <c r="L4" s="173">
        <v>2017</v>
      </c>
      <c r="M4" s="173">
        <v>2018</v>
      </c>
      <c r="N4" s="123"/>
      <c r="O4" s="174">
        <v>2019</v>
      </c>
      <c r="P4" s="117">
        <v>2020</v>
      </c>
      <c r="Q4" s="117">
        <v>2021</v>
      </c>
      <c r="R4" s="117">
        <v>2022</v>
      </c>
      <c r="S4" s="117">
        <v>2023</v>
      </c>
    </row>
    <row r="5" spans="1:35" x14ac:dyDescent="0.25">
      <c r="B5" s="10" t="s">
        <v>25</v>
      </c>
      <c r="E5" s="12"/>
      <c r="F5" s="119"/>
      <c r="G5" s="119"/>
      <c r="H5" s="119"/>
      <c r="I5" s="119"/>
      <c r="J5" s="111"/>
      <c r="K5" s="188"/>
      <c r="L5" s="188"/>
      <c r="M5" s="175"/>
      <c r="N5" s="111"/>
      <c r="O5" s="111"/>
      <c r="P5" s="111"/>
      <c r="Q5" s="111"/>
      <c r="R5" s="111"/>
      <c r="S5" s="176"/>
      <c r="T5" s="12"/>
      <c r="U5" s="12"/>
      <c r="V5" s="12"/>
      <c r="W5" s="73"/>
      <c r="X5" s="73"/>
      <c r="Y5" s="73"/>
      <c r="Z5" s="73"/>
      <c r="AA5" s="73"/>
      <c r="AB5" s="73"/>
      <c r="AC5" s="73"/>
      <c r="AD5" s="73"/>
      <c r="AE5" s="73"/>
    </row>
    <row r="6" spans="1:35" x14ac:dyDescent="0.25">
      <c r="B6" s="28" t="s">
        <v>146</v>
      </c>
      <c r="C6" s="28"/>
      <c r="D6" s="28"/>
      <c r="E6" s="28"/>
      <c r="F6" s="98">
        <v>7075</v>
      </c>
      <c r="G6" s="99">
        <v>7157</v>
      </c>
      <c r="H6" s="98">
        <f>G6+(G6*0.03)</f>
        <v>7371.71</v>
      </c>
      <c r="I6" s="98">
        <f t="shared" ref="I6" si="0">H6+(H6*0.03)</f>
        <v>7592.8613000000005</v>
      </c>
      <c r="K6" s="100">
        <f>G6</f>
        <v>7157</v>
      </c>
      <c r="L6" s="100">
        <f>K6+(K6*0.03)</f>
        <v>7371.71</v>
      </c>
      <c r="M6" s="100">
        <f>L6+(L6*0.03)</f>
        <v>7592.8613000000005</v>
      </c>
      <c r="N6" s="123"/>
      <c r="O6" s="98">
        <f>I6*(1+2.16%)</f>
        <v>7756.8671040800009</v>
      </c>
      <c r="P6" s="98">
        <f>O6*(1+(-3.51%))</f>
        <v>7484.6010687267926</v>
      </c>
      <c r="Q6" s="98">
        <f>P6*(1+6.39%)</f>
        <v>7962.8670770184353</v>
      </c>
      <c r="R6" s="98">
        <f>Q6*(1+3.52%)</f>
        <v>8243.1599981294839</v>
      </c>
      <c r="S6" s="98">
        <f>R6*(1+1.41%)</f>
        <v>8359.3885541031104</v>
      </c>
      <c r="T6" s="12"/>
      <c r="U6" s="12"/>
      <c r="V6" s="12"/>
      <c r="W6" s="73"/>
      <c r="X6" s="73"/>
      <c r="Y6" s="73"/>
      <c r="Z6" s="73"/>
      <c r="AA6" s="73"/>
      <c r="AB6" s="73"/>
      <c r="AC6" s="73"/>
      <c r="AD6" s="73"/>
      <c r="AE6" s="73"/>
    </row>
    <row r="7" spans="1:35" s="44" customFormat="1" x14ac:dyDescent="0.25">
      <c r="A7" s="28"/>
      <c r="B7" s="28" t="s">
        <v>147</v>
      </c>
      <c r="C7" s="28"/>
      <c r="D7" s="28"/>
      <c r="E7" s="28"/>
      <c r="F7" s="100">
        <v>10653</v>
      </c>
      <c r="G7" s="100">
        <v>11481</v>
      </c>
      <c r="H7" s="100">
        <f t="shared" ref="H7:I7" si="1">G7+(G7*0.03)</f>
        <v>11825.43</v>
      </c>
      <c r="I7" s="100">
        <f t="shared" si="1"/>
        <v>12180.1929</v>
      </c>
      <c r="J7" s="109" t="s">
        <v>222</v>
      </c>
      <c r="K7" s="100">
        <v>11481</v>
      </c>
      <c r="L7" s="100">
        <f>K7+(K7*0.03)+15000</f>
        <v>26825.43</v>
      </c>
      <c r="M7" s="100">
        <f t="shared" ref="M7" si="2">L7+(L7*0.03)</f>
        <v>27630.192900000002</v>
      </c>
      <c r="N7" s="139"/>
      <c r="O7" s="100">
        <f t="shared" ref="O7:O42" si="3">I7*(1+2.16%)</f>
        <v>12443.285066640001</v>
      </c>
      <c r="P7" s="100">
        <f t="shared" ref="P7:P42" si="4">O7*(1+(-3.51%))</f>
        <v>12006.525760800936</v>
      </c>
      <c r="Q7" s="100">
        <f t="shared" ref="Q7:Q42" si="5">P7*(1+6.39%)</f>
        <v>12773.742756916117</v>
      </c>
      <c r="R7" s="100">
        <f t="shared" ref="R7:R42" si="6">Q7*(1+3.52%)</f>
        <v>13223.378501959563</v>
      </c>
      <c r="S7" s="100">
        <f t="shared" ref="S7:S42" si="7">R7*(1+1.41%)</f>
        <v>13409.828138837192</v>
      </c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28"/>
      <c r="AH7" s="28"/>
      <c r="AI7" s="28"/>
    </row>
    <row r="8" spans="1:35" s="44" customFormat="1" x14ac:dyDescent="0.25">
      <c r="A8" s="28"/>
      <c r="B8" s="28" t="s">
        <v>148</v>
      </c>
      <c r="C8" s="28"/>
      <c r="D8" s="28"/>
      <c r="E8" s="28"/>
      <c r="F8" s="100">
        <v>8135</v>
      </c>
      <c r="G8" s="100">
        <v>8704</v>
      </c>
      <c r="H8" s="100">
        <f t="shared" ref="H8:I8" si="8">G8+(G8*0.03)</f>
        <v>8965.1200000000008</v>
      </c>
      <c r="I8" s="100">
        <f t="shared" si="8"/>
        <v>9234.0736000000015</v>
      </c>
      <c r="J8" s="139" t="s">
        <v>247</v>
      </c>
      <c r="K8" s="100">
        <v>8704</v>
      </c>
      <c r="L8" s="100">
        <f>K8+(K8*0.03)+5000</f>
        <v>13965.12</v>
      </c>
      <c r="M8" s="100">
        <f t="shared" ref="M8" si="9">L8+(L8*0.03)</f>
        <v>14384.073600000002</v>
      </c>
      <c r="N8" s="139"/>
      <c r="O8" s="100">
        <f t="shared" si="3"/>
        <v>9433.5295897600026</v>
      </c>
      <c r="P8" s="100">
        <f t="shared" si="4"/>
        <v>9102.4127011594264</v>
      </c>
      <c r="Q8" s="100">
        <f t="shared" si="5"/>
        <v>9684.0568727635145</v>
      </c>
      <c r="R8" s="100">
        <f t="shared" si="6"/>
        <v>10024.93567468479</v>
      </c>
      <c r="S8" s="100">
        <f t="shared" si="7"/>
        <v>10166.287267697846</v>
      </c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28"/>
      <c r="AH8" s="28"/>
      <c r="AI8" s="28"/>
    </row>
    <row r="9" spans="1:35" x14ac:dyDescent="0.25">
      <c r="A9" s="12"/>
      <c r="B9" s="28" t="s">
        <v>149</v>
      </c>
      <c r="C9" s="28"/>
      <c r="D9" s="28"/>
      <c r="E9" s="28"/>
      <c r="F9" s="98">
        <v>843</v>
      </c>
      <c r="G9" s="98">
        <v>1208</v>
      </c>
      <c r="H9" s="98">
        <f t="shared" ref="H9:I9" si="10">G9+(G9*0.03)</f>
        <v>1244.24</v>
      </c>
      <c r="I9" s="98">
        <f t="shared" si="10"/>
        <v>1281.5672</v>
      </c>
      <c r="J9" s="132"/>
      <c r="K9" s="100">
        <v>1208</v>
      </c>
      <c r="L9" s="100">
        <f t="shared" ref="L9:M9" si="11">K9+(K9*0.03)</f>
        <v>1244.24</v>
      </c>
      <c r="M9" s="100">
        <f t="shared" si="11"/>
        <v>1281.5672</v>
      </c>
      <c r="N9" s="177"/>
      <c r="O9" s="98">
        <f t="shared" si="3"/>
        <v>1309.24905152</v>
      </c>
      <c r="P9" s="98">
        <f t="shared" si="4"/>
        <v>1263.2944098116479</v>
      </c>
      <c r="Q9" s="98">
        <f t="shared" si="5"/>
        <v>1344.0189225986123</v>
      </c>
      <c r="R9" s="98">
        <f t="shared" si="6"/>
        <v>1391.3283886740833</v>
      </c>
      <c r="S9" s="98">
        <f t="shared" si="7"/>
        <v>1410.9461189543879</v>
      </c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</row>
    <row r="10" spans="1:35" s="42" customFormat="1" x14ac:dyDescent="0.25">
      <c r="A10" s="73"/>
      <c r="B10" s="96" t="s">
        <v>150</v>
      </c>
      <c r="C10" s="96"/>
      <c r="D10" s="96"/>
      <c r="E10" s="96"/>
      <c r="F10" s="100">
        <v>26706</v>
      </c>
      <c r="G10" s="100">
        <v>28550</v>
      </c>
      <c r="H10" s="100">
        <f t="shared" ref="H10:I10" si="12">G10+(G10*0.03)</f>
        <v>29406.5</v>
      </c>
      <c r="I10" s="100">
        <f t="shared" si="12"/>
        <v>30288.695</v>
      </c>
      <c r="J10" s="177"/>
      <c r="K10" s="100">
        <f>SUM(K6:K9)</f>
        <v>28550</v>
      </c>
      <c r="L10" s="100">
        <f>SUM(L6:L9)</f>
        <v>49406.5</v>
      </c>
      <c r="M10" s="100">
        <f t="shared" ref="M10" si="13">L10+(L10*0.03)</f>
        <v>50888.695</v>
      </c>
      <c r="N10" s="177"/>
      <c r="O10" s="98">
        <f t="shared" si="3"/>
        <v>30942.930812000002</v>
      </c>
      <c r="P10" s="98">
        <f t="shared" si="4"/>
        <v>29856.8339404988</v>
      </c>
      <c r="Q10" s="98">
        <f t="shared" si="5"/>
        <v>31764.685629296677</v>
      </c>
      <c r="R10" s="98">
        <f t="shared" si="6"/>
        <v>32882.80256344792</v>
      </c>
      <c r="S10" s="98">
        <f t="shared" si="7"/>
        <v>33346.450079592534</v>
      </c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</row>
    <row r="11" spans="1:35" x14ac:dyDescent="0.25">
      <c r="A11" s="12"/>
      <c r="B11" s="28" t="s">
        <v>151</v>
      </c>
      <c r="C11" s="28"/>
      <c r="D11" s="28"/>
      <c r="E11" s="28"/>
      <c r="F11" s="98">
        <v>1018</v>
      </c>
      <c r="G11" s="98">
        <v>1398</v>
      </c>
      <c r="H11" s="98">
        <f t="shared" ref="H11:I11" si="14">G11+(G11*0.03)</f>
        <v>1439.94</v>
      </c>
      <c r="I11" s="98">
        <f t="shared" si="14"/>
        <v>1483.1382000000001</v>
      </c>
      <c r="J11" s="139"/>
      <c r="K11" s="100">
        <v>1398</v>
      </c>
      <c r="L11" s="100">
        <f t="shared" ref="L11:M11" si="15">K11+(K11*0.03)</f>
        <v>1439.94</v>
      </c>
      <c r="M11" s="100">
        <f t="shared" si="15"/>
        <v>1483.1382000000001</v>
      </c>
      <c r="N11" s="123"/>
      <c r="O11" s="98">
        <f t="shared" si="3"/>
        <v>1515.1739851200002</v>
      </c>
      <c r="P11" s="98">
        <f t="shared" si="4"/>
        <v>1461.9913782422882</v>
      </c>
      <c r="Q11" s="98">
        <f t="shared" si="5"/>
        <v>1555.4126273119705</v>
      </c>
      <c r="R11" s="98">
        <f t="shared" si="6"/>
        <v>1610.1631517933517</v>
      </c>
      <c r="S11" s="98">
        <f t="shared" si="7"/>
        <v>1632.866452233638</v>
      </c>
      <c r="T11" s="12"/>
      <c r="U11" s="12"/>
      <c r="V11" s="12"/>
      <c r="W11" s="73"/>
      <c r="X11" s="73"/>
      <c r="Y11" s="73"/>
      <c r="Z11" s="73"/>
      <c r="AA11" s="73"/>
      <c r="AB11" s="73"/>
      <c r="AC11" s="73"/>
      <c r="AD11" s="73"/>
      <c r="AE11" s="73"/>
    </row>
    <row r="12" spans="1:35" x14ac:dyDescent="0.25">
      <c r="A12" s="12"/>
      <c r="B12" s="28" t="s">
        <v>152</v>
      </c>
      <c r="C12" s="28"/>
      <c r="D12" s="28"/>
      <c r="E12" s="28"/>
      <c r="F12" s="98">
        <v>1961</v>
      </c>
      <c r="G12" s="98">
        <v>1809</v>
      </c>
      <c r="H12" s="98">
        <f t="shared" ref="H12:I12" si="16">G12+(G12*0.03)</f>
        <v>1863.27</v>
      </c>
      <c r="I12" s="98">
        <f t="shared" si="16"/>
        <v>1919.1680999999999</v>
      </c>
      <c r="J12" s="139"/>
      <c r="K12" s="100">
        <v>1809</v>
      </c>
      <c r="L12" s="100">
        <f t="shared" ref="L12:M12" si="17">K12+(K12*0.03)</f>
        <v>1863.27</v>
      </c>
      <c r="M12" s="100">
        <f t="shared" si="17"/>
        <v>1919.1680999999999</v>
      </c>
      <c r="N12" s="123"/>
      <c r="O12" s="98">
        <f t="shared" si="3"/>
        <v>1960.62213096</v>
      </c>
      <c r="P12" s="98">
        <f t="shared" si="4"/>
        <v>1891.8042941633041</v>
      </c>
      <c r="Q12" s="98">
        <f t="shared" si="5"/>
        <v>2012.6905885603394</v>
      </c>
      <c r="R12" s="98">
        <f t="shared" si="6"/>
        <v>2083.5372972776631</v>
      </c>
      <c r="S12" s="98">
        <f t="shared" si="7"/>
        <v>2112.9151731692782</v>
      </c>
      <c r="T12" s="12"/>
      <c r="U12" s="12"/>
      <c r="V12" s="12"/>
      <c r="W12" s="73"/>
      <c r="X12" s="73"/>
      <c r="Y12" s="73"/>
      <c r="Z12" s="73"/>
      <c r="AA12" s="73"/>
      <c r="AB12" s="73"/>
      <c r="AC12" s="73"/>
      <c r="AD12" s="73"/>
      <c r="AE12" s="73"/>
    </row>
    <row r="13" spans="1:35" x14ac:dyDescent="0.25">
      <c r="A13" s="12"/>
      <c r="B13" s="28" t="s">
        <v>153</v>
      </c>
      <c r="C13" s="28"/>
      <c r="D13" s="28"/>
      <c r="E13" s="28"/>
      <c r="F13" s="98">
        <v>8732</v>
      </c>
      <c r="G13" s="98">
        <v>9158</v>
      </c>
      <c r="H13" s="98">
        <f t="shared" ref="H13:I13" si="18">G13+(G13*0.03)</f>
        <v>9432.74</v>
      </c>
      <c r="I13" s="98">
        <f t="shared" si="18"/>
        <v>9715.7222000000002</v>
      </c>
      <c r="J13" s="139"/>
      <c r="K13" s="100">
        <v>9158</v>
      </c>
      <c r="L13" s="100">
        <f t="shared" ref="L13:M13" si="19">K13+(K13*0.03)</f>
        <v>9432.74</v>
      </c>
      <c r="M13" s="100">
        <f t="shared" si="19"/>
        <v>9715.7222000000002</v>
      </c>
      <c r="N13" s="123"/>
      <c r="O13" s="98">
        <f t="shared" si="3"/>
        <v>9925.5817995200014</v>
      </c>
      <c r="P13" s="98">
        <f t="shared" si="4"/>
        <v>9577.1938783568494</v>
      </c>
      <c r="Q13" s="98">
        <f t="shared" si="5"/>
        <v>10189.176567183853</v>
      </c>
      <c r="R13" s="98">
        <f t="shared" si="6"/>
        <v>10547.835582348724</v>
      </c>
      <c r="S13" s="98">
        <f t="shared" si="7"/>
        <v>10696.56006405984</v>
      </c>
      <c r="T13" s="12"/>
      <c r="U13" s="12"/>
      <c r="V13" s="12"/>
      <c r="W13" s="73"/>
      <c r="X13" s="73"/>
      <c r="Y13" s="73"/>
      <c r="Z13" s="73"/>
      <c r="AA13" s="73"/>
      <c r="AB13" s="73"/>
      <c r="AC13" s="73"/>
      <c r="AD13" s="73"/>
      <c r="AE13" s="73"/>
    </row>
    <row r="14" spans="1:35" x14ac:dyDescent="0.25">
      <c r="A14" s="12"/>
      <c r="B14" s="28" t="s">
        <v>154</v>
      </c>
      <c r="C14" s="28"/>
      <c r="D14" s="28"/>
      <c r="E14" s="28"/>
      <c r="F14" s="98">
        <v>27301</v>
      </c>
      <c r="G14" s="98">
        <v>27059</v>
      </c>
      <c r="H14" s="98">
        <f t="shared" ref="H14:I14" si="20">G14+(G14*0.03)</f>
        <v>27870.77</v>
      </c>
      <c r="I14" s="98">
        <f t="shared" si="20"/>
        <v>28706.893100000001</v>
      </c>
      <c r="J14" s="139"/>
      <c r="K14" s="100">
        <v>27059</v>
      </c>
      <c r="L14" s="100">
        <f t="shared" ref="L14:M14" si="21">K14+(K14*0.03)</f>
        <v>27870.77</v>
      </c>
      <c r="M14" s="100">
        <f t="shared" si="21"/>
        <v>28706.893100000001</v>
      </c>
      <c r="N14" s="139"/>
      <c r="O14" s="98">
        <f t="shared" si="3"/>
        <v>29326.961990960004</v>
      </c>
      <c r="P14" s="98">
        <f t="shared" si="4"/>
        <v>28297.585625077307</v>
      </c>
      <c r="Q14" s="98">
        <f t="shared" si="5"/>
        <v>30105.801346519747</v>
      </c>
      <c r="R14" s="98">
        <f t="shared" si="6"/>
        <v>31165.525553917239</v>
      </c>
      <c r="S14" s="98">
        <f t="shared" si="7"/>
        <v>31604.959464227471</v>
      </c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</row>
    <row r="15" spans="1:35" x14ac:dyDescent="0.25">
      <c r="A15" s="12"/>
      <c r="B15" s="28" t="s">
        <v>155</v>
      </c>
      <c r="C15" s="28"/>
      <c r="D15" s="28"/>
      <c r="E15" s="28"/>
      <c r="F15" s="98">
        <v>15603</v>
      </c>
      <c r="G15" s="98">
        <v>15684</v>
      </c>
      <c r="H15" s="98">
        <f t="shared" ref="H15:I15" si="22">G15+(G15*0.03)</f>
        <v>16154.52</v>
      </c>
      <c r="I15" s="98">
        <f t="shared" si="22"/>
        <v>16639.155600000002</v>
      </c>
      <c r="J15" s="139"/>
      <c r="K15" s="100">
        <v>15684</v>
      </c>
      <c r="L15" s="100">
        <f t="shared" ref="L15:M15" si="23">K15+(K15*0.03)</f>
        <v>16154.52</v>
      </c>
      <c r="M15" s="100">
        <f t="shared" si="23"/>
        <v>16639.155600000002</v>
      </c>
      <c r="N15" s="139"/>
      <c r="O15" s="98">
        <f t="shared" si="3"/>
        <v>16998.561360960004</v>
      </c>
      <c r="P15" s="98">
        <f t="shared" si="4"/>
        <v>16401.911857190309</v>
      </c>
      <c r="Q15" s="98">
        <f t="shared" si="5"/>
        <v>17449.994024864773</v>
      </c>
      <c r="R15" s="98">
        <f t="shared" si="6"/>
        <v>18064.23381454001</v>
      </c>
      <c r="S15" s="98">
        <f t="shared" si="7"/>
        <v>18318.939511325025</v>
      </c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</row>
    <row r="16" spans="1:35" x14ac:dyDescent="0.25">
      <c r="A16" s="12"/>
      <c r="B16" s="28" t="s">
        <v>156</v>
      </c>
      <c r="C16" s="28"/>
      <c r="D16" s="28"/>
      <c r="E16" s="28"/>
      <c r="F16" s="98">
        <v>6163</v>
      </c>
      <c r="G16" s="98">
        <v>6048</v>
      </c>
      <c r="H16" s="98">
        <f t="shared" ref="H16:I16" si="24">G16+(G16*0.03)</f>
        <v>6229.44</v>
      </c>
      <c r="I16" s="98">
        <f t="shared" si="24"/>
        <v>6416.3231999999998</v>
      </c>
      <c r="J16" s="132"/>
      <c r="K16" s="100">
        <v>6046</v>
      </c>
      <c r="L16" s="100">
        <f t="shared" ref="L16:M16" si="25">K16+(K16*0.03)</f>
        <v>6227.38</v>
      </c>
      <c r="M16" s="100">
        <f t="shared" si="25"/>
        <v>6414.2013999999999</v>
      </c>
      <c r="N16" s="177"/>
      <c r="O16" s="98">
        <f t="shared" si="3"/>
        <v>6554.9157811200002</v>
      </c>
      <c r="P16" s="98">
        <f t="shared" si="4"/>
        <v>6324.8382372026881</v>
      </c>
      <c r="Q16" s="98">
        <f t="shared" si="5"/>
        <v>6728.9954005599402</v>
      </c>
      <c r="R16" s="98">
        <f t="shared" si="6"/>
        <v>6965.8560386596491</v>
      </c>
      <c r="S16" s="98">
        <f t="shared" si="7"/>
        <v>7064.0746088047499</v>
      </c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</row>
    <row r="17" spans="1:32" s="41" customFormat="1" ht="16.5" thickBot="1" x14ac:dyDescent="0.3">
      <c r="A17" s="73"/>
      <c r="B17" s="189" t="s">
        <v>157</v>
      </c>
      <c r="C17" s="189"/>
      <c r="D17" s="189"/>
      <c r="E17" s="189"/>
      <c r="F17" s="100">
        <v>87484</v>
      </c>
      <c r="G17" s="100">
        <v>89706</v>
      </c>
      <c r="H17" s="98">
        <f t="shared" ref="H17:I17" si="26">G17+(G17*0.03)</f>
        <v>92397.18</v>
      </c>
      <c r="I17" s="98">
        <f t="shared" si="26"/>
        <v>95169.095399999991</v>
      </c>
      <c r="J17" s="177"/>
      <c r="K17" s="100">
        <f>SUM(K10:K16)</f>
        <v>89704</v>
      </c>
      <c r="L17" s="100">
        <f>SUM(L10:L16)</f>
        <v>112395.12000000001</v>
      </c>
      <c r="M17" s="100">
        <f t="shared" ref="M17" si="27">L17+(L17*0.03)</f>
        <v>115766.97360000001</v>
      </c>
      <c r="N17" s="177"/>
      <c r="O17" s="98">
        <f t="shared" si="3"/>
        <v>97224.747860639996</v>
      </c>
      <c r="P17" s="98">
        <f t="shared" si="4"/>
        <v>93812.159210731537</v>
      </c>
      <c r="Q17" s="98">
        <f t="shared" si="5"/>
        <v>99806.756184297294</v>
      </c>
      <c r="R17" s="98">
        <f t="shared" si="6"/>
        <v>103319.95400198454</v>
      </c>
      <c r="S17" s="98">
        <f t="shared" si="7"/>
        <v>104776.76535341253</v>
      </c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</row>
    <row r="18" spans="1:32" x14ac:dyDescent="0.25">
      <c r="A18" s="12"/>
      <c r="B18" s="28"/>
      <c r="C18" s="28"/>
      <c r="D18" s="28"/>
      <c r="E18" s="94"/>
      <c r="F18" s="101"/>
      <c r="G18" s="101"/>
      <c r="H18" s="102"/>
      <c r="I18" s="102"/>
      <c r="J18" s="130"/>
      <c r="K18" s="178"/>
      <c r="L18" s="178"/>
      <c r="M18" s="178"/>
      <c r="N18" s="130"/>
      <c r="O18" s="169"/>
      <c r="P18" s="169"/>
      <c r="Q18" s="169"/>
      <c r="R18" s="169"/>
      <c r="S18" s="167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</row>
    <row r="19" spans="1:32" x14ac:dyDescent="0.25">
      <c r="A19" s="12"/>
      <c r="B19" s="68" t="s">
        <v>28</v>
      </c>
      <c r="C19" s="28"/>
      <c r="D19" s="28"/>
      <c r="E19" s="73"/>
      <c r="F19" s="103"/>
      <c r="G19" s="103"/>
      <c r="H19" s="104"/>
      <c r="I19" s="104"/>
      <c r="J19" s="139"/>
      <c r="K19" s="100"/>
      <c r="L19" s="100"/>
      <c r="M19" s="100"/>
      <c r="N19" s="139"/>
      <c r="O19" s="98"/>
      <c r="P19" s="98"/>
      <c r="Q19" s="98"/>
      <c r="R19" s="98"/>
      <c r="S19" s="98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</row>
    <row r="20" spans="1:32" x14ac:dyDescent="0.25">
      <c r="A20" s="12"/>
      <c r="B20" s="28" t="s">
        <v>158</v>
      </c>
      <c r="C20" s="28"/>
      <c r="D20" s="28"/>
      <c r="E20" s="28"/>
      <c r="F20" s="98">
        <v>926</v>
      </c>
      <c r="G20" s="98">
        <v>601</v>
      </c>
      <c r="H20" s="98">
        <f t="shared" ref="H20:I20" si="28">G20+(G20*0.03)</f>
        <v>619.03</v>
      </c>
      <c r="I20" s="98">
        <f t="shared" si="28"/>
        <v>637.60090000000002</v>
      </c>
      <c r="J20" s="139"/>
      <c r="K20" s="100">
        <v>601</v>
      </c>
      <c r="L20" s="100">
        <f t="shared" ref="L20:M20" si="29">K20+(K20*0.03)</f>
        <v>619.03</v>
      </c>
      <c r="M20" s="100">
        <f t="shared" si="29"/>
        <v>637.60090000000002</v>
      </c>
      <c r="N20" s="139"/>
      <c r="O20" s="98">
        <f t="shared" si="3"/>
        <v>651.37307944000008</v>
      </c>
      <c r="P20" s="98">
        <f t="shared" si="4"/>
        <v>628.50988435165607</v>
      </c>
      <c r="Q20" s="98">
        <f t="shared" si="5"/>
        <v>668.67166596172694</v>
      </c>
      <c r="R20" s="98">
        <f t="shared" si="6"/>
        <v>692.20890860357963</v>
      </c>
      <c r="S20" s="98">
        <f t="shared" si="7"/>
        <v>701.96905421489009</v>
      </c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</row>
    <row r="21" spans="1:32" x14ac:dyDescent="0.25">
      <c r="A21" s="12"/>
      <c r="B21" s="28" t="s">
        <v>159</v>
      </c>
      <c r="C21" s="28"/>
      <c r="D21" s="28"/>
      <c r="E21" s="28"/>
      <c r="F21" s="98">
        <v>6875</v>
      </c>
      <c r="G21" s="98">
        <v>7483</v>
      </c>
      <c r="H21" s="98">
        <f t="shared" ref="H21:I21" si="30">G21+(G21*0.03)</f>
        <v>7707.49</v>
      </c>
      <c r="I21" s="98">
        <f t="shared" si="30"/>
        <v>7938.7146999999995</v>
      </c>
      <c r="J21" s="139"/>
      <c r="K21" s="100">
        <v>7483</v>
      </c>
      <c r="L21" s="100">
        <f t="shared" ref="L21:M21" si="31">K21+(K21*0.03)</f>
        <v>7707.49</v>
      </c>
      <c r="M21" s="100">
        <f t="shared" si="31"/>
        <v>7938.7146999999995</v>
      </c>
      <c r="N21" s="139"/>
      <c r="O21" s="98">
        <f t="shared" si="3"/>
        <v>8110.1909375200003</v>
      </c>
      <c r="P21" s="98">
        <f t="shared" si="4"/>
        <v>7825.5232356130482</v>
      </c>
      <c r="Q21" s="98">
        <f t="shared" si="5"/>
        <v>8325.5741703687218</v>
      </c>
      <c r="R21" s="98">
        <f t="shared" si="6"/>
        <v>8618.6343811657007</v>
      </c>
      <c r="S21" s="98">
        <f t="shared" si="7"/>
        <v>8740.1571259401371</v>
      </c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</row>
    <row r="22" spans="1:32" x14ac:dyDescent="0.25">
      <c r="A22" s="12"/>
      <c r="B22" s="28" t="s">
        <v>160</v>
      </c>
      <c r="C22" s="28"/>
      <c r="D22" s="28"/>
      <c r="E22" s="28"/>
      <c r="F22" s="98">
        <v>14638</v>
      </c>
      <c r="G22" s="98">
        <v>12219</v>
      </c>
      <c r="H22" s="98">
        <f t="shared" ref="H22:I22" si="32">G22+(G22*0.03)</f>
        <v>12585.57</v>
      </c>
      <c r="I22" s="98">
        <f t="shared" si="32"/>
        <v>12963.1371</v>
      </c>
      <c r="J22" s="139"/>
      <c r="K22" s="100">
        <v>12219</v>
      </c>
      <c r="L22" s="100">
        <f t="shared" ref="L22:M22" si="33">K22+(K22*0.03)</f>
        <v>12585.57</v>
      </c>
      <c r="M22" s="100">
        <f t="shared" si="33"/>
        <v>12963.1371</v>
      </c>
      <c r="N22" s="139"/>
      <c r="O22" s="98">
        <f t="shared" si="3"/>
        <v>13243.140861360002</v>
      </c>
      <c r="P22" s="98">
        <f t="shared" si="4"/>
        <v>12778.306617126265</v>
      </c>
      <c r="Q22" s="98">
        <f t="shared" si="5"/>
        <v>13594.840409960634</v>
      </c>
      <c r="R22" s="98">
        <f t="shared" si="6"/>
        <v>14073.378792391248</v>
      </c>
      <c r="S22" s="98">
        <f t="shared" si="7"/>
        <v>14271.813433363965</v>
      </c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</row>
    <row r="23" spans="1:32" x14ac:dyDescent="0.25">
      <c r="A23" s="12"/>
      <c r="B23" s="28" t="s">
        <v>161</v>
      </c>
      <c r="C23" s="28"/>
      <c r="D23" s="28"/>
      <c r="E23" s="28"/>
      <c r="F23" s="98">
        <v>179</v>
      </c>
      <c r="G23" s="98">
        <v>1603</v>
      </c>
      <c r="H23" s="98">
        <f t="shared" ref="H23:I23" si="34">G23+(G23*0.03)</f>
        <v>1651.09</v>
      </c>
      <c r="I23" s="98">
        <f t="shared" si="34"/>
        <v>1700.6226999999999</v>
      </c>
      <c r="J23" s="132"/>
      <c r="K23" s="100">
        <v>1603</v>
      </c>
      <c r="L23" s="100">
        <f t="shared" ref="L23:M23" si="35">K23+(K23*0.03)</f>
        <v>1651.09</v>
      </c>
      <c r="M23" s="100">
        <f t="shared" si="35"/>
        <v>1700.6226999999999</v>
      </c>
      <c r="N23" s="177"/>
      <c r="O23" s="98">
        <f t="shared" si="3"/>
        <v>1737.3561503200001</v>
      </c>
      <c r="P23" s="98">
        <f t="shared" si="4"/>
        <v>1676.3749494437679</v>
      </c>
      <c r="Q23" s="98">
        <f t="shared" si="5"/>
        <v>1783.4953087132249</v>
      </c>
      <c r="R23" s="98">
        <f t="shared" si="6"/>
        <v>1846.2743435799302</v>
      </c>
      <c r="S23" s="98">
        <f t="shared" si="7"/>
        <v>1872.3068118244073</v>
      </c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</row>
    <row r="24" spans="1:32" s="42" customFormat="1" x14ac:dyDescent="0.25">
      <c r="A24" s="73"/>
      <c r="B24" s="96" t="s">
        <v>162</v>
      </c>
      <c r="C24" s="96"/>
      <c r="D24" s="96"/>
      <c r="E24" s="96"/>
      <c r="F24" s="100">
        <v>22618</v>
      </c>
      <c r="G24" s="100">
        <v>21906</v>
      </c>
      <c r="H24" s="100">
        <f t="shared" ref="H24:I24" si="36">G24+(G24*0.03)</f>
        <v>22563.18</v>
      </c>
      <c r="I24" s="100">
        <f t="shared" si="36"/>
        <v>23240.075400000002</v>
      </c>
      <c r="J24" s="175"/>
      <c r="K24" s="100">
        <v>21906</v>
      </c>
      <c r="L24" s="100">
        <f t="shared" ref="L24:M24" si="37">K24+(K24*0.03)</f>
        <v>22563.18</v>
      </c>
      <c r="M24" s="100">
        <f t="shared" si="37"/>
        <v>23240.075400000002</v>
      </c>
      <c r="N24" s="177"/>
      <c r="O24" s="98">
        <f t="shared" si="3"/>
        <v>23742.061028640004</v>
      </c>
      <c r="P24" s="98">
        <f t="shared" si="4"/>
        <v>22908.714686534739</v>
      </c>
      <c r="Q24" s="98">
        <f t="shared" si="5"/>
        <v>24372.581555004312</v>
      </c>
      <c r="R24" s="98">
        <f t="shared" si="6"/>
        <v>25230.496425740461</v>
      </c>
      <c r="S24" s="98">
        <f t="shared" si="7"/>
        <v>25586.246425343401</v>
      </c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</row>
    <row r="25" spans="1:32" x14ac:dyDescent="0.25">
      <c r="A25" s="12"/>
      <c r="B25" s="28" t="s">
        <v>163</v>
      </c>
      <c r="C25" s="28"/>
      <c r="D25" s="28"/>
      <c r="E25" s="28"/>
      <c r="F25" s="100">
        <v>19320</v>
      </c>
      <c r="G25" s="100">
        <v>21697</v>
      </c>
      <c r="H25" s="100">
        <f t="shared" ref="H25:I25" si="38">G25+(G25*0.03)</f>
        <v>22347.91</v>
      </c>
      <c r="I25" s="100">
        <f t="shared" si="38"/>
        <v>23018.347300000001</v>
      </c>
      <c r="J25" s="139"/>
      <c r="K25" s="100">
        <f>21697</f>
        <v>21697</v>
      </c>
      <c r="L25" s="100">
        <f t="shared" ref="L25:M25" si="39">K25+(K25*0.03)</f>
        <v>22347.91</v>
      </c>
      <c r="M25" s="100">
        <f t="shared" si="39"/>
        <v>23018.347300000001</v>
      </c>
      <c r="N25" s="139"/>
      <c r="O25" s="98">
        <f t="shared" si="3"/>
        <v>23515.543601680001</v>
      </c>
      <c r="P25" s="98">
        <f t="shared" si="4"/>
        <v>22690.148021261033</v>
      </c>
      <c r="Q25" s="98">
        <f t="shared" si="5"/>
        <v>24140.048479819616</v>
      </c>
      <c r="R25" s="98">
        <f t="shared" si="6"/>
        <v>24989.778186309264</v>
      </c>
      <c r="S25" s="98">
        <f t="shared" si="7"/>
        <v>25342.134058736225</v>
      </c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</row>
    <row r="26" spans="1:32" x14ac:dyDescent="0.25">
      <c r="A26" s="12"/>
      <c r="B26" s="28" t="s">
        <v>164</v>
      </c>
      <c r="C26" s="28"/>
      <c r="D26" s="28"/>
      <c r="E26" s="28"/>
      <c r="F26" s="100">
        <v>6022</v>
      </c>
      <c r="G26" s="100">
        <v>5612</v>
      </c>
      <c r="H26" s="100">
        <f t="shared" ref="H26:I26" si="40">G26+(G26*0.03)</f>
        <v>5780.36</v>
      </c>
      <c r="I26" s="100">
        <f t="shared" si="40"/>
        <v>5953.7707999999993</v>
      </c>
      <c r="J26" s="123"/>
      <c r="K26" s="100">
        <v>5612</v>
      </c>
      <c r="L26" s="100">
        <f t="shared" ref="L26:M26" si="41">K26+(K26*0.03)</f>
        <v>5780.36</v>
      </c>
      <c r="M26" s="100">
        <f t="shared" si="41"/>
        <v>5953.7707999999993</v>
      </c>
      <c r="N26" s="139"/>
      <c r="O26" s="98">
        <f t="shared" si="3"/>
        <v>6082.3722492799998</v>
      </c>
      <c r="P26" s="98">
        <f t="shared" si="4"/>
        <v>5868.8809833302721</v>
      </c>
      <c r="Q26" s="98">
        <f t="shared" si="5"/>
        <v>6243.9024781650769</v>
      </c>
      <c r="R26" s="98">
        <f t="shared" si="6"/>
        <v>6463.6878453964873</v>
      </c>
      <c r="S26" s="98">
        <f t="shared" si="7"/>
        <v>6554.8258440165782</v>
      </c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</row>
    <row r="27" spans="1:32" x14ac:dyDescent="0.25">
      <c r="A27" s="12"/>
      <c r="B27" s="28" t="s">
        <v>165</v>
      </c>
      <c r="C27" s="28"/>
      <c r="D27" s="28"/>
      <c r="E27" s="28"/>
      <c r="F27" s="100">
        <v>10558</v>
      </c>
      <c r="G27" s="100">
        <v>11026</v>
      </c>
      <c r="H27" s="100">
        <f t="shared" ref="H27:I27" si="42">G27+(G27*0.03)</f>
        <v>11356.78</v>
      </c>
      <c r="I27" s="100">
        <f t="shared" si="42"/>
        <v>11697.483400000001</v>
      </c>
      <c r="J27" s="140"/>
      <c r="K27" s="100">
        <v>11026</v>
      </c>
      <c r="L27" s="100">
        <f t="shared" ref="L27:M27" si="43">K27+(K27*0.03)</f>
        <v>11356.78</v>
      </c>
      <c r="M27" s="100">
        <f t="shared" si="43"/>
        <v>11697.483400000001</v>
      </c>
      <c r="N27" s="177"/>
      <c r="O27" s="98">
        <f t="shared" si="3"/>
        <v>11950.149041440001</v>
      </c>
      <c r="P27" s="98">
        <f t="shared" si="4"/>
        <v>11530.698810085458</v>
      </c>
      <c r="Q27" s="98">
        <f t="shared" si="5"/>
        <v>12267.510464049919</v>
      </c>
      <c r="R27" s="98">
        <f t="shared" si="6"/>
        <v>12699.326832384475</v>
      </c>
      <c r="S27" s="98">
        <f t="shared" si="7"/>
        <v>12878.387340721096</v>
      </c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</row>
    <row r="28" spans="1:32" s="42" customFormat="1" x14ac:dyDescent="0.25">
      <c r="A28" s="73"/>
      <c r="B28" s="96" t="s">
        <v>166</v>
      </c>
      <c r="C28" s="96"/>
      <c r="D28" s="96"/>
      <c r="E28" s="96"/>
      <c r="F28" s="100">
        <v>58518</v>
      </c>
      <c r="G28" s="100">
        <v>60241</v>
      </c>
      <c r="H28" s="100">
        <f t="shared" ref="H28:I28" si="44">G28+(G28*0.03)</f>
        <v>62048.23</v>
      </c>
      <c r="I28" s="100">
        <f t="shared" si="44"/>
        <v>63909.676900000006</v>
      </c>
      <c r="J28" s="132"/>
      <c r="K28" s="100">
        <f>SUM(K24:K27)</f>
        <v>60241</v>
      </c>
      <c r="L28" s="100">
        <f t="shared" ref="L28:M28" si="45">K28+(K28*0.03)</f>
        <v>62048.23</v>
      </c>
      <c r="M28" s="100">
        <f t="shared" si="45"/>
        <v>63909.676900000006</v>
      </c>
      <c r="N28" s="177"/>
      <c r="O28" s="98">
        <f t="shared" si="3"/>
        <v>65290.125921040009</v>
      </c>
      <c r="P28" s="98">
        <f t="shared" si="4"/>
        <v>62998.442501211503</v>
      </c>
      <c r="Q28" s="98">
        <f t="shared" si="5"/>
        <v>67024.042977038916</v>
      </c>
      <c r="R28" s="98">
        <f t="shared" si="6"/>
        <v>69383.289289830675</v>
      </c>
      <c r="S28" s="98">
        <f t="shared" si="7"/>
        <v>70361.593668817281</v>
      </c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</row>
    <row r="29" spans="1:32" x14ac:dyDescent="0.25">
      <c r="A29" s="9" t="s">
        <v>198</v>
      </c>
      <c r="B29" s="28" t="s">
        <v>197</v>
      </c>
      <c r="C29" s="28"/>
      <c r="D29" s="28"/>
      <c r="E29" s="28"/>
      <c r="F29" s="100"/>
      <c r="G29" s="100"/>
      <c r="H29" s="100">
        <f t="shared" ref="H29:I29" si="46">G29+(G29*0.03)</f>
        <v>0</v>
      </c>
      <c r="I29" s="100">
        <f t="shared" si="46"/>
        <v>0</v>
      </c>
      <c r="J29" s="123"/>
      <c r="K29" s="100"/>
      <c r="L29" s="100">
        <f t="shared" ref="L29:M29" si="47">K29+(K29*0.03)</f>
        <v>0</v>
      </c>
      <c r="M29" s="100">
        <f t="shared" si="47"/>
        <v>0</v>
      </c>
      <c r="N29" s="139"/>
      <c r="O29" s="98">
        <f t="shared" si="3"/>
        <v>0</v>
      </c>
      <c r="P29" s="98">
        <f t="shared" si="4"/>
        <v>0</v>
      </c>
      <c r="Q29" s="98">
        <f t="shared" si="5"/>
        <v>0</v>
      </c>
      <c r="R29" s="98">
        <f t="shared" si="6"/>
        <v>0</v>
      </c>
      <c r="S29" s="98">
        <f t="shared" si="7"/>
        <v>0</v>
      </c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</row>
    <row r="30" spans="1:32" x14ac:dyDescent="0.25">
      <c r="B30" s="28" t="s">
        <v>167</v>
      </c>
      <c r="C30" s="28"/>
      <c r="D30" s="28"/>
      <c r="E30" s="28"/>
      <c r="F30" s="100">
        <v>122</v>
      </c>
      <c r="G30" s="100">
        <v>296</v>
      </c>
      <c r="H30" s="100">
        <f t="shared" ref="H30:I30" si="48">G30+(G30*0.03)</f>
        <v>304.88</v>
      </c>
      <c r="I30" s="100">
        <f t="shared" si="48"/>
        <v>314.02639999999997</v>
      </c>
      <c r="J30" s="123"/>
      <c r="K30" s="100">
        <v>296</v>
      </c>
      <c r="L30" s="100">
        <f t="shared" ref="L30:M30" si="49">K30+(K30*0.03)</f>
        <v>304.88</v>
      </c>
      <c r="M30" s="100">
        <f t="shared" si="49"/>
        <v>314.02639999999997</v>
      </c>
      <c r="N30" s="139"/>
      <c r="O30" s="98">
        <f t="shared" si="3"/>
        <v>320.80937023999996</v>
      </c>
      <c r="P30" s="98">
        <f t="shared" si="4"/>
        <v>309.54896134457596</v>
      </c>
      <c r="Q30" s="98">
        <f t="shared" si="5"/>
        <v>329.32913997449441</v>
      </c>
      <c r="R30" s="98">
        <f t="shared" si="6"/>
        <v>340.92152570159658</v>
      </c>
      <c r="S30" s="98">
        <f t="shared" si="7"/>
        <v>345.7285192139891</v>
      </c>
      <c r="T30" s="73"/>
      <c r="U30" s="73"/>
      <c r="V30" s="73"/>
      <c r="W30" s="73"/>
      <c r="X30" s="73"/>
      <c r="Y30" s="73"/>
      <c r="Z30" s="73"/>
      <c r="AA30" s="12"/>
      <c r="AB30" s="12"/>
      <c r="AC30" s="12"/>
      <c r="AD30" s="12"/>
      <c r="AE30" s="12"/>
    </row>
    <row r="31" spans="1:32" x14ac:dyDescent="0.25">
      <c r="B31" s="28" t="s">
        <v>29</v>
      </c>
      <c r="C31" s="28"/>
      <c r="D31" s="28"/>
      <c r="E31" s="28"/>
      <c r="F31" s="100"/>
      <c r="G31" s="100"/>
      <c r="H31" s="100"/>
      <c r="I31" s="100"/>
      <c r="J31" s="123"/>
      <c r="K31" s="100"/>
      <c r="L31" s="100"/>
      <c r="M31" s="100"/>
      <c r="N31" s="139"/>
      <c r="O31" s="98"/>
      <c r="P31" s="98"/>
      <c r="Q31" s="98"/>
      <c r="R31" s="98"/>
      <c r="S31" s="98"/>
      <c r="T31" s="73"/>
      <c r="U31" s="73"/>
      <c r="V31" s="73"/>
      <c r="W31" s="73"/>
      <c r="X31" s="73"/>
      <c r="Y31" s="73"/>
      <c r="Z31" s="73"/>
      <c r="AA31" s="12"/>
      <c r="AB31" s="12"/>
      <c r="AC31" s="12"/>
      <c r="AD31" s="12"/>
      <c r="AE31" s="12"/>
    </row>
    <row r="32" spans="1:32" x14ac:dyDescent="0.25">
      <c r="B32" s="28" t="s">
        <v>98</v>
      </c>
      <c r="C32" s="28"/>
      <c r="D32" s="28"/>
      <c r="E32" s="28"/>
      <c r="F32" s="100"/>
      <c r="G32" s="100"/>
      <c r="H32" s="100"/>
      <c r="I32" s="100"/>
      <c r="J32" s="123"/>
      <c r="K32" s="100"/>
      <c r="L32" s="100"/>
      <c r="M32" s="100"/>
      <c r="N32" s="139"/>
      <c r="O32" s="98"/>
      <c r="P32" s="98"/>
      <c r="Q32" s="98"/>
      <c r="R32" s="98"/>
      <c r="S32" s="98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</row>
    <row r="33" spans="1:39" x14ac:dyDescent="0.25">
      <c r="B33" s="28" t="s">
        <v>168</v>
      </c>
      <c r="C33" s="28"/>
      <c r="D33" s="28"/>
      <c r="E33" s="28"/>
      <c r="F33" s="100" t="s">
        <v>169</v>
      </c>
      <c r="G33" s="100">
        <v>0</v>
      </c>
      <c r="H33" s="100">
        <f t="shared" ref="H33:I33" si="50">G33+(G33*0.03)</f>
        <v>0</v>
      </c>
      <c r="I33" s="100">
        <f t="shared" si="50"/>
        <v>0</v>
      </c>
      <c r="J33" s="123"/>
      <c r="K33" s="100">
        <v>0</v>
      </c>
      <c r="L33" s="100">
        <f t="shared" ref="L33:M33" si="51">K33+(K33*0.03)</f>
        <v>0</v>
      </c>
      <c r="M33" s="100">
        <f t="shared" si="51"/>
        <v>0</v>
      </c>
      <c r="N33" s="139"/>
      <c r="O33" s="98">
        <f t="shared" si="3"/>
        <v>0</v>
      </c>
      <c r="P33" s="98">
        <f t="shared" si="4"/>
        <v>0</v>
      </c>
      <c r="Q33" s="98">
        <f t="shared" si="5"/>
        <v>0</v>
      </c>
      <c r="R33" s="98">
        <f t="shared" si="6"/>
        <v>0</v>
      </c>
      <c r="S33" s="98">
        <f t="shared" si="7"/>
        <v>0</v>
      </c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</row>
    <row r="34" spans="1:39" s="44" customFormat="1" x14ac:dyDescent="0.25">
      <c r="A34" s="28"/>
      <c r="B34" s="28" t="s">
        <v>170</v>
      </c>
      <c r="C34" s="28"/>
      <c r="D34" s="28"/>
      <c r="E34" s="28"/>
      <c r="F34" s="100">
        <v>16033</v>
      </c>
      <c r="G34" s="100">
        <v>17285</v>
      </c>
      <c r="H34" s="100">
        <f t="shared" ref="H34:I34" si="52">G34+(G34*0.03)</f>
        <v>17803.55</v>
      </c>
      <c r="I34" s="100">
        <f t="shared" si="52"/>
        <v>18337.656500000001</v>
      </c>
      <c r="J34" s="28"/>
      <c r="K34" s="100">
        <v>17285</v>
      </c>
      <c r="L34" s="100">
        <f t="shared" ref="L34:M34" si="53">K34+(K34*0.03)</f>
        <v>17803.55</v>
      </c>
      <c r="M34" s="100">
        <f t="shared" si="53"/>
        <v>18337.656500000001</v>
      </c>
      <c r="N34" s="139"/>
      <c r="O34" s="98">
        <f t="shared" si="3"/>
        <v>18733.749880400002</v>
      </c>
      <c r="P34" s="98">
        <f t="shared" si="4"/>
        <v>18076.195259597964</v>
      </c>
      <c r="Q34" s="98">
        <f t="shared" si="5"/>
        <v>19231.264136686274</v>
      </c>
      <c r="R34" s="98">
        <f t="shared" si="6"/>
        <v>19908.204634297628</v>
      </c>
      <c r="S34" s="98">
        <f t="shared" si="7"/>
        <v>20188.910319641225</v>
      </c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</row>
    <row r="35" spans="1:39" x14ac:dyDescent="0.25">
      <c r="B35" s="28" t="s">
        <v>171</v>
      </c>
      <c r="C35" s="28"/>
      <c r="D35" s="28"/>
      <c r="E35" s="28"/>
      <c r="F35" s="100">
        <v>-30907</v>
      </c>
      <c r="G35" s="100">
        <v>-34150</v>
      </c>
      <c r="H35" s="100">
        <f t="shared" ref="H35:I35" si="54">G35+(G35*0.03)</f>
        <v>-35174.5</v>
      </c>
      <c r="I35" s="100">
        <f t="shared" si="54"/>
        <v>-36229.735000000001</v>
      </c>
      <c r="J35" s="123"/>
      <c r="K35" s="100">
        <v>-34150</v>
      </c>
      <c r="L35" s="100">
        <f t="shared" ref="L35:M35" si="55">K35+(K35*0.03)</f>
        <v>-35174.5</v>
      </c>
      <c r="M35" s="100">
        <f t="shared" si="55"/>
        <v>-36229.735000000001</v>
      </c>
      <c r="N35" s="139"/>
      <c r="O35" s="98">
        <f t="shared" si="3"/>
        <v>-37012.297276000005</v>
      </c>
      <c r="P35" s="98">
        <f t="shared" si="4"/>
        <v>-35713.165641612402</v>
      </c>
      <c r="Q35" s="98">
        <f t="shared" si="5"/>
        <v>-37995.236926111436</v>
      </c>
      <c r="R35" s="98">
        <f t="shared" si="6"/>
        <v>-39332.669265910554</v>
      </c>
      <c r="S35" s="98">
        <f t="shared" si="7"/>
        <v>-39887.25990255989</v>
      </c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</row>
    <row r="36" spans="1:39" x14ac:dyDescent="0.25">
      <c r="B36" s="28" t="s">
        <v>172</v>
      </c>
      <c r="C36" s="28"/>
      <c r="D36" s="28"/>
      <c r="E36" s="28"/>
      <c r="F36" s="100">
        <v>49956</v>
      </c>
      <c r="G36" s="100">
        <v>52873</v>
      </c>
      <c r="H36" s="100">
        <f t="shared" ref="H36:I36" si="56">G36+(G36*0.03)</f>
        <v>54459.19</v>
      </c>
      <c r="I36" s="100">
        <f t="shared" si="56"/>
        <v>56092.965700000001</v>
      </c>
      <c r="J36" s="139" t="s">
        <v>223</v>
      </c>
      <c r="K36" s="100">
        <v>52873</v>
      </c>
      <c r="L36" s="100">
        <f>K36+(K36*0.03)+20000</f>
        <v>74459.19</v>
      </c>
      <c r="M36" s="100">
        <f t="shared" ref="M36" si="57">L36+(L36*0.03)</f>
        <v>76692.965700000001</v>
      </c>
      <c r="N36" s="139"/>
      <c r="O36" s="98">
        <f t="shared" si="3"/>
        <v>57304.573759120001</v>
      </c>
      <c r="P36" s="98">
        <f t="shared" si="4"/>
        <v>55293.183220174891</v>
      </c>
      <c r="Q36" s="98">
        <f t="shared" si="5"/>
        <v>58826.417627944073</v>
      </c>
      <c r="R36" s="98">
        <f t="shared" si="6"/>
        <v>60897.107528447697</v>
      </c>
      <c r="S36" s="98">
        <f t="shared" si="7"/>
        <v>61755.75674459881</v>
      </c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</row>
    <row r="37" spans="1:39" x14ac:dyDescent="0.25">
      <c r="B37" s="28" t="s">
        <v>173</v>
      </c>
      <c r="C37" s="28"/>
      <c r="D37" s="28"/>
      <c r="E37" s="28"/>
      <c r="F37" s="100">
        <v>-105</v>
      </c>
      <c r="G37" s="100">
        <v>-95</v>
      </c>
      <c r="H37" s="100">
        <f t="shared" ref="H37:I37" si="58">G37+(G37*0.03)</f>
        <v>-97.85</v>
      </c>
      <c r="I37" s="100">
        <f t="shared" si="58"/>
        <v>-100.7855</v>
      </c>
      <c r="J37" s="123"/>
      <c r="K37" s="100">
        <v>-95</v>
      </c>
      <c r="L37" s="100">
        <f t="shared" ref="L37:M37" si="59">K37+(K37*0.03)</f>
        <v>-97.85</v>
      </c>
      <c r="M37" s="100">
        <f t="shared" si="59"/>
        <v>-100.7855</v>
      </c>
      <c r="N37" s="139"/>
      <c r="O37" s="98">
        <f t="shared" si="3"/>
        <v>-102.9624668</v>
      </c>
      <c r="P37" s="98">
        <f t="shared" si="4"/>
        <v>-99.348484215319999</v>
      </c>
      <c r="Q37" s="98">
        <f t="shared" si="5"/>
        <v>-105.69685235667896</v>
      </c>
      <c r="R37" s="98">
        <f t="shared" si="6"/>
        <v>-109.41738155963405</v>
      </c>
      <c r="S37" s="98">
        <f t="shared" si="7"/>
        <v>-110.96016663962489</v>
      </c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</row>
    <row r="38" spans="1:39" s="34" customFormat="1" x14ac:dyDescent="0.25">
      <c r="A38" s="12"/>
      <c r="B38" s="82" t="s">
        <v>174</v>
      </c>
      <c r="C38" s="82"/>
      <c r="D38" s="82"/>
      <c r="E38" s="82"/>
      <c r="F38" s="100">
        <v>-7619</v>
      </c>
      <c r="G38" s="100">
        <v>-8334</v>
      </c>
      <c r="H38" s="100">
        <f t="shared" ref="H38:I38" si="60">G38+(G38*0.03)</f>
        <v>-8584.02</v>
      </c>
      <c r="I38" s="100">
        <f t="shared" si="60"/>
        <v>-8841.5406000000003</v>
      </c>
      <c r="J38" s="140"/>
      <c r="K38" s="100">
        <v>-8334</v>
      </c>
      <c r="L38" s="100">
        <f t="shared" ref="L38:M38" si="61">K38+(K38*0.03)</f>
        <v>-8584.02</v>
      </c>
      <c r="M38" s="100">
        <f t="shared" si="61"/>
        <v>-8841.5406000000003</v>
      </c>
      <c r="N38" s="177"/>
      <c r="O38" s="98">
        <f t="shared" si="3"/>
        <v>-9032.5178769600006</v>
      </c>
      <c r="P38" s="98">
        <f t="shared" si="4"/>
        <v>-8715.4764994787038</v>
      </c>
      <c r="Q38" s="98">
        <f t="shared" si="5"/>
        <v>-9272.3954477953939</v>
      </c>
      <c r="R38" s="98">
        <f t="shared" si="6"/>
        <v>-9598.7837675577903</v>
      </c>
      <c r="S38" s="98">
        <f t="shared" si="7"/>
        <v>-9734.126618680355</v>
      </c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</row>
    <row r="39" spans="1:39" s="44" customFormat="1" x14ac:dyDescent="0.25">
      <c r="A39" s="73"/>
      <c r="B39" s="28" t="s">
        <v>175</v>
      </c>
      <c r="C39" s="28"/>
      <c r="D39" s="28"/>
      <c r="E39" s="28"/>
      <c r="F39" s="100">
        <v>27358</v>
      </c>
      <c r="G39" s="100">
        <v>27579</v>
      </c>
      <c r="H39" s="100">
        <f t="shared" ref="H39:I39" si="62">G39+(G39*0.03)</f>
        <v>28406.37</v>
      </c>
      <c r="I39" s="100">
        <f t="shared" si="62"/>
        <v>29258.561099999999</v>
      </c>
      <c r="J39" s="139"/>
      <c r="K39" s="100">
        <v>27579</v>
      </c>
      <c r="L39" s="100">
        <v>48406</v>
      </c>
      <c r="M39" s="100">
        <f t="shared" ref="M39" si="63">L39+(L39*0.03)</f>
        <v>49858.18</v>
      </c>
      <c r="N39" s="139"/>
      <c r="O39" s="98">
        <f t="shared" si="3"/>
        <v>29890.54601976</v>
      </c>
      <c r="P39" s="98">
        <f t="shared" si="4"/>
        <v>28841.387854466422</v>
      </c>
      <c r="Q39" s="98">
        <f t="shared" si="5"/>
        <v>30684.352538366828</v>
      </c>
      <c r="R39" s="98">
        <f t="shared" si="6"/>
        <v>31764.441747717337</v>
      </c>
      <c r="S39" s="98">
        <f t="shared" si="7"/>
        <v>32212.320376360152</v>
      </c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</row>
    <row r="40" spans="1:39" x14ac:dyDescent="0.25">
      <c r="A40" s="12"/>
      <c r="B40" s="28" t="s">
        <v>176</v>
      </c>
      <c r="C40" s="28"/>
      <c r="D40" s="28"/>
      <c r="E40" s="28"/>
      <c r="F40" s="100">
        <v>1486</v>
      </c>
      <c r="G40" s="100">
        <v>1590</v>
      </c>
      <c r="H40" s="100">
        <f t="shared" ref="H40:I40" si="64">G40+(G40*0.03)</f>
        <v>1637.7</v>
      </c>
      <c r="I40" s="100">
        <f t="shared" si="64"/>
        <v>1686.8310000000001</v>
      </c>
      <c r="J40" s="132"/>
      <c r="K40" s="100">
        <v>1590</v>
      </c>
      <c r="L40" s="100">
        <f t="shared" ref="L40:M40" si="65">K40+(K40*0.03)</f>
        <v>1637.7</v>
      </c>
      <c r="M40" s="100">
        <f t="shared" si="65"/>
        <v>1686.8310000000001</v>
      </c>
      <c r="N40" s="177"/>
      <c r="O40" s="98">
        <f t="shared" si="3"/>
        <v>1723.2665496000002</v>
      </c>
      <c r="P40" s="98">
        <f t="shared" si="4"/>
        <v>1662.7798937090402</v>
      </c>
      <c r="Q40" s="98">
        <f t="shared" si="5"/>
        <v>1769.031528917048</v>
      </c>
      <c r="R40" s="98">
        <f t="shared" si="6"/>
        <v>1831.3014387349278</v>
      </c>
      <c r="S40" s="98">
        <f t="shared" si="7"/>
        <v>1857.1227890210903</v>
      </c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</row>
    <row r="41" spans="1:39" s="55" customFormat="1" ht="14.65" customHeight="1" x14ac:dyDescent="0.25">
      <c r="A41" s="73"/>
      <c r="B41" s="190" t="s">
        <v>177</v>
      </c>
      <c r="C41" s="190"/>
      <c r="D41" s="190"/>
      <c r="E41" s="190"/>
      <c r="F41" s="100">
        <v>28844</v>
      </c>
      <c r="G41" s="100">
        <v>29169</v>
      </c>
      <c r="H41" s="100">
        <f t="shared" ref="H41:I41" si="66">G41+(G41*0.03)</f>
        <v>30044.07</v>
      </c>
      <c r="I41" s="100">
        <f t="shared" si="66"/>
        <v>30945.392100000001</v>
      </c>
      <c r="J41" s="132"/>
      <c r="K41" s="100">
        <f>SUM(K39:K40)</f>
        <v>29169</v>
      </c>
      <c r="L41" s="100">
        <v>50044</v>
      </c>
      <c r="M41" s="100">
        <f t="shared" ref="M41" si="67">L41+(L41*0.03)</f>
        <v>51545.32</v>
      </c>
      <c r="N41" s="177"/>
      <c r="O41" s="98">
        <f t="shared" si="3"/>
        <v>31613.812569360001</v>
      </c>
      <c r="P41" s="98">
        <f t="shared" si="4"/>
        <v>30504.167748175463</v>
      </c>
      <c r="Q41" s="98">
        <f t="shared" si="5"/>
        <v>32453.384067283878</v>
      </c>
      <c r="R41" s="98">
        <f t="shared" si="6"/>
        <v>33595.743186452266</v>
      </c>
      <c r="S41" s="98">
        <f t="shared" si="7"/>
        <v>34069.443165381243</v>
      </c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</row>
    <row r="42" spans="1:39" s="35" customFormat="1" ht="16.5" thickBot="1" x14ac:dyDescent="0.3">
      <c r="A42" s="12"/>
      <c r="B42" s="189" t="s">
        <v>178</v>
      </c>
      <c r="C42" s="189"/>
      <c r="D42" s="189"/>
      <c r="E42" s="189"/>
      <c r="F42" s="105">
        <v>87484</v>
      </c>
      <c r="G42" s="105">
        <v>89706</v>
      </c>
      <c r="H42" s="105">
        <f t="shared" ref="H42:I42" si="68">G42+(G42*0.03)</f>
        <v>92397.18</v>
      </c>
      <c r="I42" s="105">
        <f t="shared" si="68"/>
        <v>95169.095399999991</v>
      </c>
      <c r="J42" s="140"/>
      <c r="K42" s="179">
        <f>K28+K41</f>
        <v>89410</v>
      </c>
      <c r="L42" s="179">
        <v>112092</v>
      </c>
      <c r="M42" s="179">
        <f t="shared" ref="M42" si="69">L42+(L42*0.03)</f>
        <v>115454.76</v>
      </c>
      <c r="N42" s="177"/>
      <c r="O42" s="105">
        <f t="shared" si="3"/>
        <v>97224.747860639996</v>
      </c>
      <c r="P42" s="105">
        <f t="shared" si="4"/>
        <v>93812.159210731537</v>
      </c>
      <c r="Q42" s="105">
        <f t="shared" si="5"/>
        <v>99806.756184297294</v>
      </c>
      <c r="R42" s="105">
        <f t="shared" si="6"/>
        <v>103319.95400198454</v>
      </c>
      <c r="S42" s="105">
        <f t="shared" si="7"/>
        <v>104776.76535341253</v>
      </c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</row>
    <row r="43" spans="1:39" x14ac:dyDescent="0.25">
      <c r="A43" s="12"/>
      <c r="N43" s="73"/>
      <c r="O43" s="57"/>
      <c r="P43" s="57"/>
      <c r="Q43" s="57"/>
      <c r="R43" s="57"/>
      <c r="S43" s="57"/>
      <c r="T43" s="73"/>
      <c r="U43" s="73"/>
      <c r="V43" s="73"/>
      <c r="W43" s="73"/>
      <c r="X43" s="73"/>
      <c r="Y43" s="73"/>
      <c r="Z43" s="12"/>
      <c r="AA43" s="73"/>
      <c r="AB43" s="73"/>
      <c r="AC43" s="73"/>
      <c r="AD43" s="73"/>
      <c r="AE43" s="73"/>
    </row>
    <row r="44" spans="1:39" x14ac:dyDescent="0.25">
      <c r="N44" s="12"/>
      <c r="O44" s="57"/>
      <c r="P44" s="57"/>
      <c r="Q44" s="57"/>
      <c r="R44" s="57"/>
      <c r="S44" s="57"/>
      <c r="T44" s="12"/>
      <c r="U44" s="12"/>
      <c r="V44" s="12"/>
      <c r="W44" s="12"/>
      <c r="X44" s="12"/>
      <c r="Y44" s="12"/>
      <c r="Z44" s="12"/>
      <c r="AA44" s="73"/>
      <c r="AB44" s="73"/>
      <c r="AC44" s="73"/>
      <c r="AD44" s="73"/>
      <c r="AE44" s="73"/>
      <c r="AG44" s="12"/>
      <c r="AH44" s="12"/>
    </row>
    <row r="45" spans="1:39" x14ac:dyDescent="0.25"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G45" s="12"/>
      <c r="AH45" s="12"/>
      <c r="AI45" s="12"/>
      <c r="AJ45" s="12"/>
      <c r="AK45" s="12"/>
      <c r="AL45" s="12"/>
      <c r="AM45" s="12"/>
    </row>
    <row r="46" spans="1:39" x14ac:dyDescent="0.25">
      <c r="N46" s="12"/>
      <c r="O46" s="71"/>
      <c r="P46" s="71"/>
      <c r="Q46" s="71"/>
      <c r="R46" s="71"/>
      <c r="S46" s="71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G46" s="12"/>
      <c r="AH46" s="12"/>
      <c r="AI46" s="12"/>
      <c r="AJ46" s="12"/>
      <c r="AK46" s="12"/>
      <c r="AL46" s="12"/>
      <c r="AM46" s="12"/>
    </row>
    <row r="47" spans="1:39" x14ac:dyDescent="0.25">
      <c r="N47" s="12"/>
      <c r="O47" s="71"/>
      <c r="P47" s="71"/>
      <c r="Q47" s="71"/>
      <c r="R47" s="71"/>
      <c r="S47" s="71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G47" s="12"/>
      <c r="AH47" s="12"/>
      <c r="AI47" s="12"/>
      <c r="AJ47" s="12"/>
      <c r="AK47" s="12"/>
      <c r="AL47" s="12"/>
      <c r="AM47" s="12"/>
    </row>
    <row r="48" spans="1:39" x14ac:dyDescent="0.25">
      <c r="N48" s="12"/>
      <c r="O48" s="71"/>
      <c r="P48" s="71"/>
      <c r="Q48" s="71"/>
      <c r="R48" s="71"/>
      <c r="S48" s="71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G48" s="12"/>
      <c r="AH48" s="12"/>
      <c r="AI48" s="12"/>
      <c r="AJ48" s="12"/>
      <c r="AK48" s="12"/>
      <c r="AL48" s="12"/>
      <c r="AM48" s="12"/>
    </row>
    <row r="49" spans="14:39" x14ac:dyDescent="0.25">
      <c r="N49" s="12"/>
      <c r="O49" s="70"/>
      <c r="P49" s="70"/>
      <c r="Q49" s="70"/>
      <c r="R49" s="70"/>
      <c r="S49" s="70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G49" s="12"/>
      <c r="AH49" s="12"/>
      <c r="AI49" s="12"/>
      <c r="AJ49" s="12"/>
      <c r="AK49" s="12"/>
      <c r="AL49" s="12"/>
      <c r="AM49" s="12"/>
    </row>
    <row r="50" spans="14:39" x14ac:dyDescent="0.25">
      <c r="N50" s="12"/>
      <c r="O50" s="70"/>
      <c r="P50" s="70"/>
      <c r="Q50" s="70"/>
      <c r="R50" s="70"/>
      <c r="S50" s="70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G50" s="12"/>
      <c r="AH50" s="12"/>
      <c r="AI50" s="12"/>
      <c r="AJ50" s="12"/>
      <c r="AK50" s="12"/>
      <c r="AL50" s="12"/>
      <c r="AM50" s="12"/>
    </row>
    <row r="51" spans="14:39" x14ac:dyDescent="0.25">
      <c r="N51" s="12"/>
      <c r="O51" s="70"/>
      <c r="P51" s="70"/>
      <c r="Q51" s="70"/>
      <c r="R51" s="70"/>
      <c r="S51" s="70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G51" s="12"/>
      <c r="AH51" s="12"/>
      <c r="AI51" s="12"/>
      <c r="AJ51" s="12"/>
      <c r="AK51" s="12"/>
      <c r="AL51" s="12"/>
      <c r="AM51" s="12"/>
    </row>
    <row r="52" spans="14:39" x14ac:dyDescent="0.25">
      <c r="N52" s="12"/>
      <c r="O52" s="70"/>
      <c r="P52" s="70"/>
      <c r="Q52" s="70"/>
      <c r="R52" s="70"/>
      <c r="S52" s="70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G52" s="12"/>
      <c r="AH52" s="12"/>
      <c r="AI52" s="12"/>
      <c r="AJ52" s="12"/>
      <c r="AK52" s="12"/>
      <c r="AL52" s="12"/>
      <c r="AM52" s="12"/>
    </row>
    <row r="53" spans="14:39" x14ac:dyDescent="0.25">
      <c r="N53" s="12"/>
      <c r="O53" s="70"/>
      <c r="P53" s="70"/>
      <c r="Q53" s="70"/>
      <c r="R53" s="70"/>
      <c r="S53" s="70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G53" s="12"/>
      <c r="AH53" s="12"/>
      <c r="AI53" s="12"/>
      <c r="AJ53" s="12"/>
      <c r="AK53" s="12"/>
      <c r="AL53" s="12"/>
      <c r="AM53" s="12"/>
    </row>
    <row r="54" spans="14:39" x14ac:dyDescent="0.25">
      <c r="N54" s="12"/>
      <c r="O54" s="70"/>
      <c r="P54" s="70"/>
      <c r="Q54" s="70"/>
      <c r="R54" s="70"/>
      <c r="S54" s="70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G54" s="12"/>
      <c r="AH54" s="12"/>
      <c r="AI54" s="12"/>
      <c r="AJ54" s="12"/>
      <c r="AK54" s="12"/>
      <c r="AL54" s="12"/>
      <c r="AM54" s="12"/>
    </row>
    <row r="55" spans="14:39" x14ac:dyDescent="0.25">
      <c r="N55" s="12"/>
      <c r="O55" s="70"/>
      <c r="P55" s="70"/>
      <c r="Q55" s="70"/>
      <c r="R55" s="70"/>
      <c r="S55" s="70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G55" s="12"/>
      <c r="AH55" s="12"/>
      <c r="AI55" s="12"/>
      <c r="AJ55" s="12"/>
      <c r="AK55" s="12"/>
      <c r="AL55" s="12"/>
      <c r="AM55" s="12"/>
    </row>
    <row r="56" spans="14:39" x14ac:dyDescent="0.25">
      <c r="N56" s="12"/>
      <c r="O56" s="70"/>
      <c r="P56" s="70"/>
      <c r="Q56" s="70"/>
      <c r="R56" s="70"/>
      <c r="S56" s="70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G56" s="12"/>
      <c r="AH56" s="12"/>
      <c r="AI56" s="12"/>
      <c r="AJ56" s="12"/>
      <c r="AK56" s="12"/>
      <c r="AL56" s="12"/>
      <c r="AM56" s="12"/>
    </row>
    <row r="57" spans="14:39" x14ac:dyDescent="0.25">
      <c r="N57" s="12"/>
      <c r="O57" s="70"/>
      <c r="P57" s="70"/>
      <c r="Q57" s="70"/>
      <c r="R57" s="70"/>
      <c r="S57" s="70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G57" s="12"/>
      <c r="AH57" s="12"/>
      <c r="AI57" s="12"/>
      <c r="AJ57" s="12"/>
      <c r="AK57" s="12"/>
      <c r="AL57" s="12"/>
      <c r="AM57" s="12"/>
    </row>
    <row r="58" spans="14:39" x14ac:dyDescent="0.25">
      <c r="N58" s="12"/>
      <c r="O58" s="70"/>
      <c r="P58" s="70"/>
      <c r="Q58" s="70"/>
      <c r="R58" s="70"/>
      <c r="S58" s="70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G58" s="12"/>
      <c r="AH58" s="12"/>
      <c r="AI58" s="12"/>
      <c r="AJ58" s="12"/>
      <c r="AK58" s="12"/>
      <c r="AL58" s="12"/>
      <c r="AM58" s="12"/>
    </row>
    <row r="59" spans="14:39" x14ac:dyDescent="0.25">
      <c r="N59" s="12"/>
      <c r="O59" s="70"/>
      <c r="P59" s="70"/>
      <c r="Q59" s="70"/>
      <c r="R59" s="70"/>
      <c r="S59" s="70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G59" s="12"/>
      <c r="AH59" s="12"/>
      <c r="AI59" s="12"/>
      <c r="AJ59" s="12"/>
      <c r="AK59" s="12"/>
      <c r="AL59" s="12"/>
      <c r="AM59" s="12"/>
    </row>
    <row r="60" spans="14:39" x14ac:dyDescent="0.25">
      <c r="N60" s="12"/>
      <c r="O60" s="70"/>
      <c r="P60" s="70"/>
      <c r="Q60" s="70"/>
      <c r="R60" s="70"/>
      <c r="S60" s="70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G60" s="12"/>
      <c r="AH60" s="12"/>
      <c r="AI60" s="12"/>
      <c r="AJ60" s="12"/>
      <c r="AK60" s="12"/>
      <c r="AL60" s="12"/>
      <c r="AM60" s="12"/>
    </row>
    <row r="61" spans="14:39" x14ac:dyDescent="0.25">
      <c r="N61" s="12"/>
      <c r="O61" s="70"/>
      <c r="P61" s="70"/>
      <c r="Q61" s="70"/>
      <c r="R61" s="70"/>
      <c r="S61" s="70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G61" s="12"/>
      <c r="AH61" s="12"/>
      <c r="AI61" s="12"/>
      <c r="AJ61" s="12"/>
      <c r="AK61" s="12"/>
      <c r="AL61" s="12"/>
      <c r="AM61" s="12"/>
    </row>
    <row r="62" spans="14:39" x14ac:dyDescent="0.25">
      <c r="N62" s="12"/>
      <c r="O62" s="70"/>
      <c r="P62" s="70"/>
      <c r="Q62" s="70"/>
      <c r="R62" s="70"/>
      <c r="S62" s="70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G62" s="12"/>
      <c r="AH62" s="12"/>
      <c r="AI62" s="12"/>
      <c r="AJ62" s="12"/>
      <c r="AK62" s="12"/>
      <c r="AL62" s="12"/>
      <c r="AM62" s="12"/>
    </row>
    <row r="63" spans="14:39" x14ac:dyDescent="0.25">
      <c r="N63" s="12"/>
      <c r="O63" s="70"/>
      <c r="P63" s="70"/>
      <c r="Q63" s="70"/>
      <c r="R63" s="70"/>
      <c r="S63" s="70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G63" s="12"/>
      <c r="AH63" s="12"/>
      <c r="AI63" s="12"/>
      <c r="AJ63" s="12"/>
      <c r="AK63" s="12"/>
      <c r="AL63" s="12"/>
      <c r="AM63" s="12"/>
    </row>
    <row r="64" spans="14:39" x14ac:dyDescent="0.25">
      <c r="N64" s="12"/>
      <c r="O64" s="70"/>
      <c r="P64" s="70"/>
      <c r="Q64" s="70"/>
      <c r="R64" s="70"/>
      <c r="S64" s="70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G64" s="12"/>
      <c r="AH64" s="12"/>
      <c r="AI64" s="12"/>
      <c r="AJ64" s="12"/>
      <c r="AK64" s="12"/>
      <c r="AL64" s="12"/>
      <c r="AM64" s="12"/>
    </row>
    <row r="65" spans="14:39" x14ac:dyDescent="0.25">
      <c r="N65" s="12"/>
      <c r="O65" s="70"/>
      <c r="P65" s="70"/>
      <c r="Q65" s="70"/>
      <c r="R65" s="70"/>
      <c r="S65" s="70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G65" s="12"/>
      <c r="AH65" s="12"/>
      <c r="AI65" s="12"/>
      <c r="AJ65" s="12"/>
      <c r="AK65" s="12"/>
      <c r="AL65" s="12"/>
      <c r="AM65" s="12"/>
    </row>
    <row r="66" spans="14:39" x14ac:dyDescent="0.25">
      <c r="N66" s="12"/>
      <c r="O66" s="70"/>
      <c r="P66" s="70"/>
      <c r="Q66" s="70"/>
      <c r="R66" s="70"/>
      <c r="S66" s="70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G66" s="12"/>
      <c r="AH66" s="12"/>
      <c r="AI66" s="12"/>
      <c r="AJ66" s="12"/>
      <c r="AK66" s="12"/>
      <c r="AL66" s="12"/>
      <c r="AM66" s="12"/>
    </row>
    <row r="67" spans="14:39" x14ac:dyDescent="0.25">
      <c r="N67" s="12"/>
      <c r="O67" s="70"/>
      <c r="P67" s="70"/>
      <c r="Q67" s="70"/>
      <c r="R67" s="70"/>
      <c r="S67" s="70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G67" s="12"/>
      <c r="AH67" s="12"/>
      <c r="AI67" s="12"/>
      <c r="AJ67" s="12"/>
      <c r="AK67" s="12"/>
      <c r="AL67" s="12"/>
      <c r="AM67" s="12"/>
    </row>
    <row r="68" spans="14:39" x14ac:dyDescent="0.25">
      <c r="N68" s="12"/>
      <c r="O68" s="70"/>
      <c r="P68" s="70"/>
      <c r="Q68" s="70"/>
      <c r="R68" s="70"/>
      <c r="S68" s="70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G68" s="12"/>
      <c r="AH68" s="12"/>
      <c r="AI68" s="12"/>
      <c r="AJ68" s="12"/>
      <c r="AK68" s="12"/>
      <c r="AL68" s="12"/>
      <c r="AM68" s="12"/>
    </row>
    <row r="69" spans="14:39" x14ac:dyDescent="0.25">
      <c r="N69" s="12"/>
      <c r="O69" s="70"/>
      <c r="P69" s="70"/>
      <c r="Q69" s="70"/>
      <c r="R69" s="70"/>
      <c r="S69" s="70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G69" s="12"/>
      <c r="AH69" s="12"/>
      <c r="AI69" s="12"/>
      <c r="AJ69" s="12"/>
      <c r="AK69" s="12"/>
      <c r="AL69" s="12"/>
      <c r="AM69" s="12"/>
    </row>
    <row r="70" spans="14:39" x14ac:dyDescent="0.25">
      <c r="N70" s="12"/>
      <c r="O70" s="70"/>
      <c r="P70" s="70"/>
      <c r="Q70" s="70"/>
      <c r="R70" s="70"/>
      <c r="S70" s="70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G70" s="12"/>
      <c r="AH70" s="12"/>
      <c r="AI70" s="12"/>
      <c r="AJ70" s="12"/>
      <c r="AK70" s="12"/>
      <c r="AL70" s="12"/>
      <c r="AM70" s="12"/>
    </row>
    <row r="71" spans="14:39" x14ac:dyDescent="0.25">
      <c r="N71" s="12"/>
      <c r="O71" s="70"/>
      <c r="P71" s="70"/>
      <c r="Q71" s="70"/>
      <c r="R71" s="70"/>
      <c r="S71" s="70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G71" s="12"/>
      <c r="AH71" s="12"/>
      <c r="AI71" s="12"/>
      <c r="AJ71" s="12"/>
      <c r="AK71" s="12"/>
      <c r="AL71" s="12"/>
      <c r="AM71" s="12"/>
    </row>
    <row r="72" spans="14:39" x14ac:dyDescent="0.25">
      <c r="N72" s="12"/>
      <c r="O72" s="70"/>
      <c r="P72" s="70"/>
      <c r="Q72" s="70"/>
      <c r="R72" s="70"/>
      <c r="S72" s="70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G72" s="12"/>
      <c r="AH72" s="12"/>
      <c r="AI72" s="12"/>
      <c r="AJ72" s="12"/>
      <c r="AK72" s="12"/>
      <c r="AL72" s="12"/>
      <c r="AM72" s="12"/>
    </row>
    <row r="73" spans="14:39" x14ac:dyDescent="0.25">
      <c r="N73" s="12"/>
      <c r="O73" s="70"/>
      <c r="P73" s="70"/>
      <c r="Q73" s="70"/>
      <c r="R73" s="70"/>
      <c r="S73" s="70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G73" s="12"/>
      <c r="AH73" s="12"/>
      <c r="AI73" s="12"/>
      <c r="AJ73" s="12"/>
      <c r="AK73" s="12"/>
      <c r="AL73" s="12"/>
      <c r="AM73" s="12"/>
    </row>
    <row r="74" spans="14:39" x14ac:dyDescent="0.25">
      <c r="N74" s="12"/>
      <c r="O74" s="70"/>
      <c r="P74" s="70"/>
      <c r="Q74" s="70"/>
      <c r="R74" s="70"/>
      <c r="S74" s="70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G74" s="12"/>
      <c r="AH74" s="12"/>
      <c r="AI74" s="12"/>
      <c r="AJ74" s="12"/>
      <c r="AK74" s="12"/>
      <c r="AL74" s="12"/>
      <c r="AM74" s="12"/>
    </row>
    <row r="75" spans="14:39" x14ac:dyDescent="0.25">
      <c r="N75" s="12"/>
      <c r="O75" s="70"/>
      <c r="P75" s="70"/>
      <c r="Q75" s="70"/>
      <c r="R75" s="70"/>
      <c r="S75" s="70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G75" s="12"/>
      <c r="AH75" s="12"/>
      <c r="AI75" s="12"/>
      <c r="AJ75" s="12"/>
      <c r="AK75" s="12"/>
      <c r="AL75" s="12"/>
      <c r="AM75" s="12"/>
    </row>
    <row r="76" spans="14:39" x14ac:dyDescent="0.25">
      <c r="N76" s="12"/>
      <c r="O76" s="70"/>
      <c r="P76" s="70"/>
      <c r="Q76" s="70"/>
      <c r="R76" s="70"/>
      <c r="S76" s="70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G76" s="12"/>
      <c r="AH76" s="12"/>
      <c r="AI76" s="12"/>
      <c r="AJ76" s="12"/>
      <c r="AK76" s="12"/>
      <c r="AL76" s="12"/>
      <c r="AM76" s="12"/>
    </row>
    <row r="77" spans="14:39" x14ac:dyDescent="0.25">
      <c r="N77" s="12"/>
      <c r="O77" s="70"/>
      <c r="P77" s="70"/>
      <c r="Q77" s="70"/>
      <c r="R77" s="70"/>
      <c r="S77" s="70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G77" s="12"/>
      <c r="AH77" s="12"/>
      <c r="AI77" s="12"/>
      <c r="AJ77" s="12"/>
      <c r="AK77" s="12"/>
      <c r="AL77" s="12"/>
      <c r="AM77" s="12"/>
    </row>
    <row r="78" spans="14:39" x14ac:dyDescent="0.25"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G78" s="12"/>
      <c r="AH78" s="12"/>
      <c r="AI78" s="12"/>
      <c r="AJ78" s="12"/>
      <c r="AK78" s="12"/>
      <c r="AL78" s="12"/>
      <c r="AM78" s="12"/>
    </row>
    <row r="79" spans="14:39" x14ac:dyDescent="0.25"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G79" s="12"/>
      <c r="AH79" s="12"/>
      <c r="AI79" s="12"/>
      <c r="AJ79" s="12"/>
      <c r="AK79" s="12"/>
      <c r="AL79" s="12"/>
      <c r="AM79" s="12"/>
    </row>
    <row r="80" spans="14:39" x14ac:dyDescent="0.25"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G80" s="12"/>
      <c r="AH80" s="12"/>
      <c r="AI80" s="12"/>
      <c r="AJ80" s="12"/>
      <c r="AK80" s="12"/>
      <c r="AL80" s="12"/>
      <c r="AM80" s="12"/>
    </row>
    <row r="81" spans="14:39" x14ac:dyDescent="0.25"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G81" s="12"/>
      <c r="AH81" s="12"/>
      <c r="AI81" s="12"/>
      <c r="AJ81" s="12"/>
      <c r="AK81" s="12"/>
      <c r="AL81" s="12"/>
      <c r="AM81" s="12"/>
    </row>
    <row r="82" spans="14:39" x14ac:dyDescent="0.25"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G82" s="12"/>
      <c r="AH82" s="12"/>
      <c r="AI82" s="12"/>
      <c r="AJ82" s="12"/>
      <c r="AK82" s="12"/>
      <c r="AL82" s="12"/>
      <c r="AM82" s="12"/>
    </row>
    <row r="83" spans="14:39" x14ac:dyDescent="0.25"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G83" s="12"/>
      <c r="AH83" s="12"/>
      <c r="AI83" s="12"/>
      <c r="AJ83" s="12"/>
      <c r="AK83" s="12"/>
      <c r="AL83" s="12"/>
      <c r="AM83" s="12"/>
    </row>
    <row r="84" spans="14:39" x14ac:dyDescent="0.25"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G84" s="12"/>
      <c r="AH84" s="12"/>
      <c r="AI84" s="12"/>
      <c r="AJ84" s="12"/>
      <c r="AK84" s="12"/>
      <c r="AL84" s="12"/>
      <c r="AM84" s="12"/>
    </row>
    <row r="85" spans="14:39" x14ac:dyDescent="0.25"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G85" s="12"/>
      <c r="AH85" s="12"/>
      <c r="AI85" s="12"/>
      <c r="AJ85" s="12"/>
      <c r="AK85" s="12"/>
      <c r="AL85" s="12"/>
      <c r="AM85" s="12"/>
    </row>
    <row r="86" spans="14:39" x14ac:dyDescent="0.25"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G86" s="12"/>
      <c r="AH86" s="12"/>
      <c r="AI86" s="12"/>
      <c r="AJ86" s="12"/>
      <c r="AK86" s="12"/>
      <c r="AL86" s="12"/>
      <c r="AM86" s="12"/>
    </row>
    <row r="87" spans="14:39" x14ac:dyDescent="0.25"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G87" s="12"/>
      <c r="AH87" s="12"/>
      <c r="AI87" s="12"/>
      <c r="AJ87" s="12"/>
      <c r="AK87" s="12"/>
      <c r="AL87" s="12"/>
      <c r="AM87" s="12"/>
    </row>
    <row r="88" spans="14:39" x14ac:dyDescent="0.25"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G88" s="12"/>
      <c r="AH88" s="12"/>
      <c r="AI88" s="12"/>
      <c r="AJ88" s="12"/>
      <c r="AK88" s="12"/>
      <c r="AL88" s="12"/>
      <c r="AM88" s="12"/>
    </row>
    <row r="89" spans="14:39" x14ac:dyDescent="0.25"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G89" s="12"/>
      <c r="AH89" s="12"/>
      <c r="AI89" s="12"/>
      <c r="AJ89" s="12"/>
      <c r="AK89" s="12"/>
      <c r="AL89" s="12"/>
      <c r="AM89" s="12"/>
    </row>
    <row r="90" spans="14:39" x14ac:dyDescent="0.25"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G90" s="12"/>
      <c r="AH90" s="12"/>
      <c r="AI90" s="12"/>
      <c r="AJ90" s="12"/>
      <c r="AK90" s="12"/>
      <c r="AL90" s="12"/>
      <c r="AM90" s="12"/>
    </row>
    <row r="91" spans="14:39" x14ac:dyDescent="0.25"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G91" s="12"/>
      <c r="AH91" s="12"/>
      <c r="AI91" s="12"/>
      <c r="AJ91" s="12"/>
      <c r="AK91" s="12"/>
      <c r="AL91" s="12"/>
      <c r="AM91" s="12"/>
    </row>
    <row r="92" spans="14:39" x14ac:dyDescent="0.25"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G92" s="12"/>
      <c r="AH92" s="12"/>
      <c r="AI92" s="12"/>
      <c r="AJ92" s="12"/>
      <c r="AK92" s="12"/>
      <c r="AL92" s="12"/>
      <c r="AM92" s="12"/>
    </row>
    <row r="93" spans="14:39" x14ac:dyDescent="0.25"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G93" s="12"/>
      <c r="AH93" s="12"/>
      <c r="AI93" s="12"/>
      <c r="AJ93" s="12"/>
      <c r="AK93" s="12"/>
      <c r="AL93" s="12"/>
      <c r="AM93" s="12"/>
    </row>
    <row r="94" spans="14:39" x14ac:dyDescent="0.25"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G94" s="12"/>
      <c r="AH94" s="12"/>
      <c r="AI94" s="12"/>
      <c r="AJ94" s="12"/>
      <c r="AK94" s="12"/>
      <c r="AL94" s="12"/>
      <c r="AM94" s="12"/>
    </row>
    <row r="95" spans="14:39" x14ac:dyDescent="0.25"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G95" s="12"/>
      <c r="AH95" s="12"/>
      <c r="AI95" s="12"/>
      <c r="AJ95" s="12"/>
      <c r="AK95" s="12"/>
      <c r="AL95" s="12"/>
      <c r="AM95" s="12"/>
    </row>
    <row r="96" spans="14:39" x14ac:dyDescent="0.25"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G96" s="12"/>
      <c r="AH96" s="12"/>
      <c r="AI96" s="12"/>
      <c r="AJ96" s="12"/>
      <c r="AK96" s="12"/>
      <c r="AL96" s="12"/>
      <c r="AM96" s="12"/>
    </row>
    <row r="97" spans="14:39" x14ac:dyDescent="0.25"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G97" s="12"/>
      <c r="AH97" s="12"/>
      <c r="AI97" s="12"/>
      <c r="AJ97" s="12"/>
      <c r="AK97" s="12"/>
      <c r="AL97" s="12"/>
      <c r="AM97" s="12"/>
    </row>
    <row r="98" spans="14:39" x14ac:dyDescent="0.25"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G98" s="12"/>
      <c r="AH98" s="12"/>
      <c r="AI98" s="12"/>
      <c r="AJ98" s="12"/>
      <c r="AK98" s="12"/>
      <c r="AL98" s="12"/>
      <c r="AM98" s="12"/>
    </row>
    <row r="99" spans="14:39" x14ac:dyDescent="0.25"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G99" s="12"/>
      <c r="AH99" s="12"/>
      <c r="AI99" s="12"/>
      <c r="AJ99" s="12"/>
      <c r="AK99" s="12"/>
      <c r="AL99" s="12"/>
      <c r="AM99" s="12"/>
    </row>
    <row r="100" spans="14:39" x14ac:dyDescent="0.25"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G100" s="12"/>
      <c r="AH100" s="12"/>
      <c r="AI100" s="12"/>
      <c r="AJ100" s="12"/>
      <c r="AK100" s="12"/>
      <c r="AL100" s="12"/>
      <c r="AM100" s="12"/>
    </row>
    <row r="101" spans="14:39" x14ac:dyDescent="0.25"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G101" s="12"/>
      <c r="AH101" s="12"/>
      <c r="AI101" s="12"/>
      <c r="AJ101" s="12"/>
      <c r="AK101" s="12"/>
      <c r="AL101" s="12"/>
      <c r="AM101" s="12"/>
    </row>
    <row r="102" spans="14:39" x14ac:dyDescent="0.25"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G102" s="12"/>
      <c r="AH102" s="12"/>
      <c r="AI102" s="12"/>
      <c r="AJ102" s="12"/>
      <c r="AK102" s="12"/>
      <c r="AL102" s="12"/>
      <c r="AM102" s="12"/>
    </row>
    <row r="103" spans="14:39" x14ac:dyDescent="0.25"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G103" s="12"/>
      <c r="AH103" s="12"/>
      <c r="AI103" s="12"/>
      <c r="AJ103" s="12"/>
      <c r="AK103" s="12"/>
      <c r="AL103" s="12"/>
      <c r="AM103" s="12"/>
    </row>
    <row r="104" spans="14:39" x14ac:dyDescent="0.25"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G104" s="12"/>
      <c r="AH104" s="12"/>
      <c r="AI104" s="12"/>
      <c r="AJ104" s="12"/>
      <c r="AK104" s="12"/>
      <c r="AL104" s="12"/>
      <c r="AM104" s="12"/>
    </row>
    <row r="105" spans="14:39" x14ac:dyDescent="0.25"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G105" s="12"/>
      <c r="AH105" s="12"/>
      <c r="AI105" s="12"/>
      <c r="AJ105" s="12"/>
      <c r="AK105" s="12"/>
      <c r="AL105" s="12"/>
      <c r="AM105" s="12"/>
    </row>
    <row r="106" spans="14:39" x14ac:dyDescent="0.25"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G106" s="12"/>
      <c r="AH106" s="12"/>
      <c r="AI106" s="12"/>
      <c r="AJ106" s="12"/>
      <c r="AK106" s="12"/>
      <c r="AL106" s="12"/>
      <c r="AM106" s="12"/>
    </row>
    <row r="107" spans="14:39" x14ac:dyDescent="0.25"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G107" s="12"/>
      <c r="AH107" s="12"/>
      <c r="AI107" s="12"/>
      <c r="AJ107" s="12"/>
      <c r="AK107" s="12"/>
      <c r="AL107" s="12"/>
      <c r="AM107" s="12"/>
    </row>
    <row r="108" spans="14:39" x14ac:dyDescent="0.25"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G108" s="12"/>
      <c r="AH108" s="12"/>
      <c r="AI108" s="12"/>
      <c r="AJ108" s="12"/>
      <c r="AK108" s="12"/>
      <c r="AL108" s="12"/>
      <c r="AM108" s="12"/>
    </row>
    <row r="109" spans="14:39" x14ac:dyDescent="0.25"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G109" s="12"/>
      <c r="AH109" s="12"/>
      <c r="AI109" s="12"/>
      <c r="AJ109" s="12"/>
      <c r="AK109" s="12"/>
      <c r="AL109" s="12"/>
      <c r="AM109" s="12"/>
    </row>
    <row r="110" spans="14:39" x14ac:dyDescent="0.25"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G110" s="12"/>
      <c r="AH110" s="12"/>
      <c r="AI110" s="12"/>
      <c r="AJ110" s="12"/>
      <c r="AK110" s="12"/>
      <c r="AL110" s="12"/>
      <c r="AM110" s="12"/>
    </row>
    <row r="111" spans="14:39" x14ac:dyDescent="0.25"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G111" s="12"/>
      <c r="AH111" s="12"/>
      <c r="AI111" s="12"/>
      <c r="AJ111" s="12"/>
      <c r="AK111" s="12"/>
      <c r="AL111" s="12"/>
      <c r="AM111" s="12"/>
    </row>
    <row r="112" spans="14:39" x14ac:dyDescent="0.25"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G112" s="12"/>
      <c r="AH112" s="12"/>
      <c r="AI112" s="12"/>
      <c r="AJ112" s="12"/>
      <c r="AK112" s="12"/>
      <c r="AL112" s="12"/>
      <c r="AM112" s="12"/>
    </row>
    <row r="113" spans="14:39" x14ac:dyDescent="0.25"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G113" s="12"/>
      <c r="AH113" s="12"/>
      <c r="AI113" s="12"/>
      <c r="AJ113" s="12"/>
      <c r="AK113" s="12"/>
      <c r="AL113" s="12"/>
      <c r="AM113" s="12"/>
    </row>
    <row r="114" spans="14:39" x14ac:dyDescent="0.25"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G114" s="12"/>
      <c r="AH114" s="12"/>
      <c r="AI114" s="12"/>
      <c r="AJ114" s="12"/>
      <c r="AK114" s="12"/>
      <c r="AL114" s="12"/>
      <c r="AM114" s="12"/>
    </row>
    <row r="115" spans="14:39" x14ac:dyDescent="0.25"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G115" s="12"/>
      <c r="AH115" s="12"/>
      <c r="AI115" s="12"/>
      <c r="AJ115" s="12"/>
      <c r="AK115" s="12"/>
      <c r="AL115" s="12"/>
      <c r="AM115" s="12"/>
    </row>
    <row r="116" spans="14:39" x14ac:dyDescent="0.25"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G116" s="12"/>
      <c r="AH116" s="12"/>
      <c r="AI116" s="12"/>
      <c r="AJ116" s="12"/>
      <c r="AK116" s="12"/>
      <c r="AL116" s="12"/>
      <c r="AM116" s="12"/>
    </row>
    <row r="117" spans="14:39" x14ac:dyDescent="0.25"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G117" s="12"/>
      <c r="AH117" s="12"/>
      <c r="AI117" s="12"/>
      <c r="AJ117" s="12"/>
      <c r="AK117" s="12"/>
      <c r="AL117" s="12"/>
      <c r="AM117" s="12"/>
    </row>
    <row r="118" spans="14:39" x14ac:dyDescent="0.25"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G118" s="12"/>
      <c r="AH118" s="12"/>
      <c r="AI118" s="12"/>
      <c r="AJ118" s="12"/>
      <c r="AK118" s="12"/>
      <c r="AL118" s="12"/>
      <c r="AM118" s="12"/>
    </row>
    <row r="119" spans="14:39" x14ac:dyDescent="0.25"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G119" s="12"/>
      <c r="AH119" s="12"/>
      <c r="AI119" s="12"/>
      <c r="AJ119" s="12"/>
      <c r="AK119" s="12"/>
      <c r="AL119" s="12"/>
      <c r="AM119" s="12"/>
    </row>
    <row r="120" spans="14:39" x14ac:dyDescent="0.25"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G120" s="12"/>
      <c r="AH120" s="12"/>
      <c r="AI120" s="12"/>
      <c r="AJ120" s="12"/>
      <c r="AK120" s="12"/>
      <c r="AL120" s="12"/>
      <c r="AM120" s="12"/>
    </row>
    <row r="121" spans="14:39" x14ac:dyDescent="0.25"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G121" s="12"/>
      <c r="AH121" s="12"/>
      <c r="AI121" s="12"/>
      <c r="AJ121" s="12"/>
      <c r="AK121" s="12"/>
      <c r="AL121" s="12"/>
      <c r="AM121" s="12"/>
    </row>
    <row r="122" spans="14:39" x14ac:dyDescent="0.25"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G122" s="12"/>
      <c r="AH122" s="12"/>
      <c r="AI122" s="12"/>
      <c r="AJ122" s="12"/>
      <c r="AK122" s="12"/>
      <c r="AL122" s="12"/>
      <c r="AM122" s="12"/>
    </row>
    <row r="123" spans="14:39" x14ac:dyDescent="0.25"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G123" s="12"/>
      <c r="AH123" s="12"/>
      <c r="AI123" s="12"/>
      <c r="AJ123" s="12"/>
      <c r="AK123" s="12"/>
      <c r="AL123" s="12"/>
      <c r="AM123" s="12"/>
    </row>
    <row r="124" spans="14:39" x14ac:dyDescent="0.25"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G124" s="12"/>
      <c r="AH124" s="12"/>
      <c r="AI124" s="12"/>
      <c r="AJ124" s="12"/>
      <c r="AK124" s="12"/>
      <c r="AL124" s="12"/>
      <c r="AM124" s="12"/>
    </row>
    <row r="125" spans="14:39" x14ac:dyDescent="0.25"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G125" s="12"/>
      <c r="AH125" s="12"/>
      <c r="AI125" s="12"/>
      <c r="AJ125" s="12"/>
      <c r="AK125" s="12"/>
      <c r="AL125" s="12"/>
      <c r="AM125" s="12"/>
    </row>
    <row r="126" spans="14:39" x14ac:dyDescent="0.25"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G126" s="12"/>
      <c r="AH126" s="12"/>
      <c r="AI126" s="12"/>
      <c r="AJ126" s="12"/>
      <c r="AK126" s="12"/>
      <c r="AL126" s="12"/>
      <c r="AM126" s="12"/>
    </row>
    <row r="127" spans="14:39" x14ac:dyDescent="0.25"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G127" s="12"/>
      <c r="AH127" s="12"/>
      <c r="AI127" s="12"/>
      <c r="AJ127" s="12"/>
      <c r="AK127" s="12"/>
      <c r="AL127" s="12"/>
      <c r="AM127" s="12"/>
    </row>
    <row r="128" spans="14:39" x14ac:dyDescent="0.25"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G128" s="12"/>
      <c r="AH128" s="12"/>
      <c r="AI128" s="12"/>
      <c r="AJ128" s="12"/>
      <c r="AK128" s="12"/>
      <c r="AL128" s="12"/>
      <c r="AM128" s="12"/>
    </row>
    <row r="129" spans="14:39" x14ac:dyDescent="0.25"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G129" s="12"/>
      <c r="AH129" s="12"/>
      <c r="AI129" s="12"/>
      <c r="AJ129" s="12"/>
      <c r="AK129" s="12"/>
      <c r="AL129" s="12"/>
      <c r="AM129" s="12"/>
    </row>
    <row r="130" spans="14:39" x14ac:dyDescent="0.25"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G130" s="12"/>
      <c r="AH130" s="12"/>
      <c r="AI130" s="12"/>
      <c r="AJ130" s="12"/>
      <c r="AK130" s="12"/>
      <c r="AL130" s="12"/>
      <c r="AM130" s="12"/>
    </row>
    <row r="131" spans="14:39" x14ac:dyDescent="0.25"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G131" s="12"/>
      <c r="AH131" s="12"/>
      <c r="AI131" s="12"/>
      <c r="AJ131" s="12"/>
      <c r="AK131" s="12"/>
      <c r="AL131" s="12"/>
      <c r="AM131" s="12"/>
    </row>
    <row r="132" spans="14:39" x14ac:dyDescent="0.25"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G132" s="12"/>
      <c r="AH132" s="12"/>
      <c r="AI132" s="12"/>
      <c r="AJ132" s="12"/>
      <c r="AK132" s="12"/>
      <c r="AL132" s="12"/>
      <c r="AM132" s="12"/>
    </row>
    <row r="133" spans="14:39" x14ac:dyDescent="0.25"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G133" s="12"/>
      <c r="AH133" s="12"/>
      <c r="AI133" s="12"/>
      <c r="AJ133" s="12"/>
      <c r="AK133" s="12"/>
      <c r="AL133" s="12"/>
      <c r="AM133" s="12"/>
    </row>
    <row r="134" spans="14:39" x14ac:dyDescent="0.25"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G134" s="12"/>
      <c r="AH134" s="12"/>
      <c r="AI134" s="12"/>
      <c r="AJ134" s="12"/>
      <c r="AK134" s="12"/>
      <c r="AL134" s="12"/>
      <c r="AM134" s="12"/>
    </row>
    <row r="135" spans="14:39" x14ac:dyDescent="0.25"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G135" s="12"/>
      <c r="AH135" s="12"/>
      <c r="AI135" s="12"/>
      <c r="AJ135" s="12"/>
      <c r="AK135" s="12"/>
      <c r="AL135" s="12"/>
      <c r="AM135" s="12"/>
    </row>
    <row r="136" spans="14:39" x14ac:dyDescent="0.25"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G136" s="12"/>
      <c r="AH136" s="12"/>
      <c r="AI136" s="12"/>
      <c r="AJ136" s="12"/>
      <c r="AK136" s="12"/>
      <c r="AL136" s="12"/>
      <c r="AM136" s="12"/>
    </row>
    <row r="137" spans="14:39" x14ac:dyDescent="0.25"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G137" s="12"/>
      <c r="AH137" s="12"/>
      <c r="AI137" s="12"/>
      <c r="AJ137" s="12"/>
      <c r="AK137" s="12"/>
      <c r="AL137" s="12"/>
      <c r="AM137" s="12"/>
    </row>
    <row r="138" spans="14:39" x14ac:dyDescent="0.25"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G138" s="12"/>
      <c r="AH138" s="12"/>
      <c r="AI138" s="12"/>
      <c r="AJ138" s="12"/>
      <c r="AK138" s="12"/>
      <c r="AL138" s="12"/>
      <c r="AM138" s="12"/>
    </row>
    <row r="139" spans="14:39" x14ac:dyDescent="0.25"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G139" s="12"/>
      <c r="AH139" s="12"/>
      <c r="AI139" s="12"/>
      <c r="AJ139" s="12"/>
      <c r="AK139" s="12"/>
      <c r="AL139" s="12"/>
      <c r="AM139" s="12"/>
    </row>
    <row r="140" spans="14:39" x14ac:dyDescent="0.25"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G140" s="12"/>
      <c r="AH140" s="12"/>
      <c r="AI140" s="12"/>
      <c r="AJ140" s="12"/>
      <c r="AK140" s="12"/>
      <c r="AL140" s="12"/>
      <c r="AM140" s="12"/>
    </row>
    <row r="141" spans="14:39" x14ac:dyDescent="0.25"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G141" s="12"/>
      <c r="AH141" s="12"/>
      <c r="AI141" s="12"/>
      <c r="AJ141" s="12"/>
      <c r="AK141" s="12"/>
      <c r="AL141" s="12"/>
      <c r="AM141" s="12"/>
    </row>
    <row r="142" spans="14:39" x14ac:dyDescent="0.25"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G142" s="12"/>
      <c r="AH142" s="12"/>
      <c r="AI142" s="12"/>
      <c r="AJ142" s="12"/>
      <c r="AK142" s="12"/>
      <c r="AL142" s="12"/>
      <c r="AM142" s="12"/>
    </row>
    <row r="143" spans="14:39" x14ac:dyDescent="0.25"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G143" s="12"/>
      <c r="AH143" s="12"/>
      <c r="AI143" s="12"/>
      <c r="AJ143" s="12"/>
      <c r="AK143" s="12"/>
      <c r="AL143" s="12"/>
      <c r="AM143" s="12"/>
    </row>
    <row r="144" spans="14:39" x14ac:dyDescent="0.25"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G144" s="12"/>
      <c r="AH144" s="12"/>
      <c r="AI144" s="12"/>
      <c r="AJ144" s="12"/>
      <c r="AK144" s="12"/>
      <c r="AL144" s="12"/>
      <c r="AM144" s="12"/>
    </row>
    <row r="145" spans="14:39" x14ac:dyDescent="0.25"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G145" s="12"/>
      <c r="AH145" s="12"/>
      <c r="AI145" s="12"/>
      <c r="AJ145" s="12"/>
      <c r="AK145" s="12"/>
      <c r="AL145" s="12"/>
      <c r="AM145" s="12"/>
    </row>
    <row r="146" spans="14:39" x14ac:dyDescent="0.25"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G146" s="12"/>
      <c r="AH146" s="12"/>
      <c r="AI146" s="12"/>
      <c r="AJ146" s="12"/>
      <c r="AK146" s="12"/>
      <c r="AL146" s="12"/>
      <c r="AM146" s="12"/>
    </row>
    <row r="147" spans="14:39" x14ac:dyDescent="0.25"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G147" s="12"/>
      <c r="AH147" s="12"/>
      <c r="AI147" s="12"/>
      <c r="AJ147" s="12"/>
      <c r="AK147" s="12"/>
      <c r="AL147" s="12"/>
      <c r="AM147" s="12"/>
    </row>
    <row r="148" spans="14:39" x14ac:dyDescent="0.25"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G148" s="12"/>
      <c r="AH148" s="12"/>
      <c r="AI148" s="12"/>
      <c r="AJ148" s="12"/>
      <c r="AK148" s="12"/>
      <c r="AL148" s="12"/>
      <c r="AM148" s="12"/>
    </row>
    <row r="149" spans="14:39" x14ac:dyDescent="0.25"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G149" s="12"/>
      <c r="AH149" s="12"/>
      <c r="AI149" s="12"/>
      <c r="AJ149" s="12"/>
      <c r="AK149" s="12"/>
      <c r="AL149" s="12"/>
      <c r="AM149" s="12"/>
    </row>
    <row r="150" spans="14:39" x14ac:dyDescent="0.25"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G150" s="12"/>
      <c r="AH150" s="12"/>
      <c r="AI150" s="12"/>
      <c r="AJ150" s="12"/>
      <c r="AK150" s="12"/>
      <c r="AL150" s="12"/>
      <c r="AM150" s="12"/>
    </row>
    <row r="151" spans="14:39" x14ac:dyDescent="0.25"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G151" s="12"/>
      <c r="AH151" s="12"/>
      <c r="AI151" s="12"/>
      <c r="AJ151" s="12"/>
      <c r="AK151" s="12"/>
      <c r="AL151" s="12"/>
      <c r="AM151" s="12"/>
    </row>
    <row r="152" spans="14:39" x14ac:dyDescent="0.25"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G152" s="12"/>
      <c r="AH152" s="12"/>
      <c r="AI152" s="12"/>
      <c r="AJ152" s="12"/>
      <c r="AK152" s="12"/>
      <c r="AL152" s="12"/>
      <c r="AM152" s="12"/>
    </row>
    <row r="153" spans="14:39" x14ac:dyDescent="0.25"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G153" s="12"/>
      <c r="AH153" s="12"/>
      <c r="AI153" s="12"/>
      <c r="AJ153" s="12"/>
      <c r="AK153" s="12"/>
      <c r="AL153" s="12"/>
      <c r="AM153" s="12"/>
    </row>
    <row r="154" spans="14:39" x14ac:dyDescent="0.25"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G154" s="12"/>
      <c r="AH154" s="12"/>
      <c r="AI154" s="12"/>
      <c r="AJ154" s="12"/>
      <c r="AK154" s="12"/>
      <c r="AL154" s="12"/>
      <c r="AM154" s="12"/>
    </row>
    <row r="155" spans="14:39" x14ac:dyDescent="0.25"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G155" s="12"/>
      <c r="AH155" s="12"/>
      <c r="AI155" s="12"/>
      <c r="AJ155" s="12"/>
      <c r="AK155" s="12"/>
      <c r="AL155" s="12"/>
      <c r="AM155" s="12"/>
    </row>
    <row r="156" spans="14:39" x14ac:dyDescent="0.25"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G156" s="12"/>
      <c r="AH156" s="12"/>
      <c r="AI156" s="12"/>
      <c r="AJ156" s="12"/>
      <c r="AK156" s="12"/>
      <c r="AL156" s="12"/>
      <c r="AM156" s="12"/>
    </row>
    <row r="157" spans="14:39" x14ac:dyDescent="0.25"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G157" s="12"/>
      <c r="AH157" s="12"/>
      <c r="AI157" s="12"/>
      <c r="AJ157" s="12"/>
      <c r="AK157" s="12"/>
      <c r="AL157" s="12"/>
      <c r="AM157" s="12"/>
    </row>
    <row r="158" spans="14:39" x14ac:dyDescent="0.25"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G158" s="12"/>
      <c r="AH158" s="12"/>
      <c r="AI158" s="12"/>
      <c r="AJ158" s="12"/>
      <c r="AK158" s="12"/>
      <c r="AL158" s="12"/>
      <c r="AM158" s="12"/>
    </row>
    <row r="159" spans="14:39" x14ac:dyDescent="0.25"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G159" s="12"/>
      <c r="AH159" s="12"/>
      <c r="AI159" s="12"/>
      <c r="AJ159" s="12"/>
      <c r="AK159" s="12"/>
      <c r="AL159" s="12"/>
      <c r="AM159" s="12"/>
    </row>
    <row r="160" spans="14:39" x14ac:dyDescent="0.25"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G160" s="12"/>
      <c r="AH160" s="12"/>
      <c r="AI160" s="12"/>
      <c r="AJ160" s="12"/>
      <c r="AK160" s="12"/>
      <c r="AL160" s="12"/>
      <c r="AM160" s="12"/>
    </row>
    <row r="161" spans="14:39" x14ac:dyDescent="0.25"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G161" s="12"/>
      <c r="AH161" s="12"/>
      <c r="AI161" s="12"/>
      <c r="AJ161" s="12"/>
      <c r="AK161" s="12"/>
      <c r="AL161" s="12"/>
      <c r="AM161" s="12"/>
    </row>
    <row r="162" spans="14:39" x14ac:dyDescent="0.25"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G162" s="12"/>
      <c r="AH162" s="12"/>
      <c r="AI162" s="12"/>
      <c r="AJ162" s="12"/>
      <c r="AK162" s="12"/>
      <c r="AL162" s="12"/>
      <c r="AM162" s="12"/>
    </row>
    <row r="163" spans="14:39" x14ac:dyDescent="0.25"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G163" s="12"/>
      <c r="AH163" s="12"/>
      <c r="AI163" s="12"/>
      <c r="AJ163" s="12"/>
      <c r="AK163" s="12"/>
      <c r="AL163" s="12"/>
      <c r="AM163" s="12"/>
    </row>
    <row r="164" spans="14:39" x14ac:dyDescent="0.25"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G164" s="12"/>
      <c r="AH164" s="12"/>
      <c r="AI164" s="12"/>
      <c r="AJ164" s="12"/>
      <c r="AK164" s="12"/>
      <c r="AL164" s="12"/>
      <c r="AM164" s="12"/>
    </row>
    <row r="165" spans="14:39" x14ac:dyDescent="0.25"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G165" s="12"/>
      <c r="AH165" s="12"/>
      <c r="AI165" s="12"/>
      <c r="AJ165" s="12"/>
      <c r="AK165" s="12"/>
      <c r="AL165" s="12"/>
      <c r="AM165" s="12"/>
    </row>
    <row r="166" spans="14:39" x14ac:dyDescent="0.25"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G166" s="12"/>
      <c r="AH166" s="12"/>
      <c r="AI166" s="12"/>
      <c r="AJ166" s="12"/>
      <c r="AK166" s="12"/>
      <c r="AL166" s="12"/>
      <c r="AM166" s="12"/>
    </row>
    <row r="167" spans="14:39" x14ac:dyDescent="0.25"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G167" s="12"/>
      <c r="AH167" s="12"/>
      <c r="AI167" s="12"/>
      <c r="AJ167" s="12"/>
      <c r="AK167" s="12"/>
      <c r="AL167" s="12"/>
      <c r="AM167" s="12"/>
    </row>
    <row r="168" spans="14:39" x14ac:dyDescent="0.25"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G168" s="12"/>
      <c r="AH168" s="12"/>
      <c r="AI168" s="12"/>
      <c r="AJ168" s="12"/>
      <c r="AK168" s="12"/>
      <c r="AL168" s="12"/>
      <c r="AM168" s="12"/>
    </row>
    <row r="169" spans="14:39" x14ac:dyDescent="0.25"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G169" s="12"/>
      <c r="AH169" s="12"/>
      <c r="AI169" s="12"/>
      <c r="AJ169" s="12"/>
      <c r="AK169" s="12"/>
      <c r="AL169" s="12"/>
      <c r="AM169" s="12"/>
    </row>
    <row r="170" spans="14:39" x14ac:dyDescent="0.25"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G170" s="12"/>
      <c r="AH170" s="12"/>
      <c r="AI170" s="12"/>
      <c r="AJ170" s="12"/>
      <c r="AK170" s="12"/>
      <c r="AL170" s="12"/>
      <c r="AM170" s="12"/>
    </row>
    <row r="171" spans="14:39" x14ac:dyDescent="0.25"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G171" s="12"/>
      <c r="AH171" s="12"/>
      <c r="AI171" s="12"/>
      <c r="AJ171" s="12"/>
      <c r="AK171" s="12"/>
      <c r="AL171" s="12"/>
      <c r="AM171" s="12"/>
    </row>
    <row r="172" spans="14:39" x14ac:dyDescent="0.25"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G172" s="12"/>
      <c r="AH172" s="12"/>
      <c r="AI172" s="12"/>
      <c r="AJ172" s="12"/>
      <c r="AK172" s="12"/>
      <c r="AL172" s="12"/>
      <c r="AM172" s="12"/>
    </row>
    <row r="173" spans="14:39" x14ac:dyDescent="0.25"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G173" s="12"/>
      <c r="AH173" s="12"/>
      <c r="AI173" s="12"/>
      <c r="AJ173" s="12"/>
      <c r="AK173" s="12"/>
      <c r="AL173" s="12"/>
      <c r="AM173" s="12"/>
    </row>
    <row r="174" spans="14:39" x14ac:dyDescent="0.25"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G174" s="12"/>
      <c r="AH174" s="12"/>
      <c r="AI174" s="12"/>
      <c r="AJ174" s="12"/>
      <c r="AK174" s="12"/>
      <c r="AL174" s="12"/>
      <c r="AM174" s="12"/>
    </row>
    <row r="175" spans="14:39" x14ac:dyDescent="0.25"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G175" s="12"/>
      <c r="AH175" s="12"/>
      <c r="AI175" s="12"/>
      <c r="AJ175" s="12"/>
      <c r="AK175" s="12"/>
      <c r="AL175" s="12"/>
      <c r="AM175" s="12"/>
    </row>
    <row r="176" spans="14:39" x14ac:dyDescent="0.25"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G176" s="12"/>
      <c r="AH176" s="12"/>
      <c r="AI176" s="12"/>
      <c r="AJ176" s="12"/>
      <c r="AK176" s="12"/>
      <c r="AL176" s="12"/>
      <c r="AM176" s="12"/>
    </row>
    <row r="177" spans="14:39" x14ac:dyDescent="0.25"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G177" s="12"/>
      <c r="AH177" s="12"/>
      <c r="AI177" s="12"/>
      <c r="AJ177" s="12"/>
      <c r="AK177" s="12"/>
      <c r="AL177" s="12"/>
      <c r="AM177" s="12"/>
    </row>
    <row r="178" spans="14:39" x14ac:dyDescent="0.25"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G178" s="12"/>
      <c r="AH178" s="12"/>
      <c r="AI178" s="12"/>
      <c r="AJ178" s="12"/>
      <c r="AK178" s="12"/>
      <c r="AL178" s="12"/>
      <c r="AM178" s="12"/>
    </row>
    <row r="179" spans="14:39" x14ac:dyDescent="0.25"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G179" s="12"/>
      <c r="AH179" s="12"/>
      <c r="AI179" s="12"/>
      <c r="AJ179" s="12"/>
      <c r="AK179" s="12"/>
      <c r="AL179" s="12"/>
      <c r="AM179" s="12"/>
    </row>
    <row r="180" spans="14:39" x14ac:dyDescent="0.25"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G180" s="12"/>
      <c r="AH180" s="12"/>
      <c r="AI180" s="12"/>
      <c r="AJ180" s="12"/>
      <c r="AK180" s="12"/>
      <c r="AL180" s="12"/>
      <c r="AM180" s="12"/>
    </row>
    <row r="181" spans="14:39" x14ac:dyDescent="0.25"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G181" s="12"/>
      <c r="AH181" s="12"/>
      <c r="AI181" s="12"/>
      <c r="AJ181" s="12"/>
      <c r="AK181" s="12"/>
      <c r="AL181" s="12"/>
      <c r="AM181" s="12"/>
    </row>
    <row r="182" spans="14:39" x14ac:dyDescent="0.25"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G182" s="12"/>
      <c r="AH182" s="12"/>
      <c r="AI182" s="12"/>
      <c r="AJ182" s="12"/>
      <c r="AK182" s="12"/>
      <c r="AL182" s="12"/>
      <c r="AM182" s="12"/>
    </row>
    <row r="183" spans="14:39" x14ac:dyDescent="0.25"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G183" s="12"/>
      <c r="AH183" s="12"/>
      <c r="AI183" s="12"/>
      <c r="AJ183" s="12"/>
      <c r="AK183" s="12"/>
      <c r="AL183" s="12"/>
      <c r="AM183" s="12"/>
    </row>
    <row r="184" spans="14:39" x14ac:dyDescent="0.25"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G184" s="12"/>
      <c r="AH184" s="12"/>
      <c r="AI184" s="12"/>
      <c r="AJ184" s="12"/>
      <c r="AK184" s="12"/>
      <c r="AL184" s="12"/>
      <c r="AM184" s="12"/>
    </row>
    <row r="185" spans="14:39" x14ac:dyDescent="0.25"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G185" s="12"/>
      <c r="AH185" s="12"/>
      <c r="AI185" s="12"/>
      <c r="AJ185" s="12"/>
      <c r="AK185" s="12"/>
      <c r="AL185" s="12"/>
      <c r="AM185" s="12"/>
    </row>
    <row r="186" spans="14:39" x14ac:dyDescent="0.25"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G186" s="12"/>
      <c r="AH186" s="12"/>
      <c r="AI186" s="12"/>
      <c r="AJ186" s="12"/>
      <c r="AK186" s="12"/>
      <c r="AL186" s="12"/>
      <c r="AM186" s="12"/>
    </row>
    <row r="187" spans="14:39" x14ac:dyDescent="0.25"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G187" s="12"/>
      <c r="AH187" s="12"/>
      <c r="AI187" s="12"/>
      <c r="AJ187" s="12"/>
      <c r="AK187" s="12"/>
      <c r="AL187" s="12"/>
      <c r="AM187" s="12"/>
    </row>
    <row r="188" spans="14:39" x14ac:dyDescent="0.25"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G188" s="12"/>
      <c r="AH188" s="12"/>
      <c r="AI188" s="12"/>
      <c r="AJ188" s="12"/>
      <c r="AK188" s="12"/>
      <c r="AL188" s="12"/>
      <c r="AM188" s="12"/>
    </row>
    <row r="189" spans="14:39" x14ac:dyDescent="0.25"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G189" s="12"/>
      <c r="AH189" s="12"/>
      <c r="AI189" s="12"/>
      <c r="AJ189" s="12"/>
      <c r="AK189" s="12"/>
      <c r="AL189" s="12"/>
      <c r="AM189" s="12"/>
    </row>
    <row r="190" spans="14:39" x14ac:dyDescent="0.25"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G190" s="12"/>
      <c r="AH190" s="12"/>
      <c r="AI190" s="12"/>
      <c r="AJ190" s="12"/>
      <c r="AK190" s="12"/>
      <c r="AL190" s="12"/>
      <c r="AM190" s="12"/>
    </row>
    <row r="191" spans="14:39" x14ac:dyDescent="0.25"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G191" s="12"/>
      <c r="AH191" s="12"/>
      <c r="AI191" s="12"/>
      <c r="AJ191" s="12"/>
      <c r="AK191" s="12"/>
      <c r="AL191" s="12"/>
      <c r="AM191" s="12"/>
    </row>
    <row r="192" spans="14:39" x14ac:dyDescent="0.25"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G192" s="12"/>
      <c r="AH192" s="12"/>
      <c r="AI192" s="12"/>
      <c r="AJ192" s="12"/>
      <c r="AK192" s="12"/>
      <c r="AL192" s="12"/>
      <c r="AM192" s="12"/>
    </row>
    <row r="193" spans="15:39" x14ac:dyDescent="0.25"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G193" s="12"/>
      <c r="AH193" s="12"/>
      <c r="AI193" s="12"/>
      <c r="AJ193" s="12"/>
      <c r="AK193" s="12"/>
      <c r="AL193" s="12"/>
      <c r="AM193" s="12"/>
    </row>
    <row r="194" spans="15:39" x14ac:dyDescent="0.25"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G194" s="12"/>
      <c r="AH194" s="12"/>
      <c r="AI194" s="12"/>
      <c r="AJ194" s="12"/>
      <c r="AK194" s="12"/>
      <c r="AL194" s="12"/>
      <c r="AM194" s="12"/>
    </row>
    <row r="195" spans="15:39" x14ac:dyDescent="0.25"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G195" s="12"/>
      <c r="AH195" s="12"/>
      <c r="AI195" s="12"/>
      <c r="AJ195" s="12"/>
      <c r="AK195" s="12"/>
      <c r="AL195" s="12"/>
      <c r="AM195" s="12"/>
    </row>
    <row r="196" spans="15:39" x14ac:dyDescent="0.25"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G196" s="12"/>
      <c r="AH196" s="12"/>
      <c r="AI196" s="12"/>
      <c r="AJ196" s="12"/>
      <c r="AK196" s="12"/>
      <c r="AL196" s="12"/>
      <c r="AM196" s="12"/>
    </row>
    <row r="197" spans="15:39" x14ac:dyDescent="0.25"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G197" s="12"/>
      <c r="AH197" s="12"/>
      <c r="AI197" s="12"/>
      <c r="AJ197" s="12"/>
      <c r="AK197" s="12"/>
      <c r="AL197" s="12"/>
      <c r="AM197" s="12"/>
    </row>
    <row r="198" spans="15:39" x14ac:dyDescent="0.25"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G198" s="12"/>
      <c r="AH198" s="12"/>
      <c r="AI198" s="12"/>
      <c r="AJ198" s="12"/>
      <c r="AK198" s="12"/>
      <c r="AL198" s="12"/>
      <c r="AM198" s="12"/>
    </row>
    <row r="199" spans="15:39" x14ac:dyDescent="0.25"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G199" s="12"/>
      <c r="AH199" s="12"/>
      <c r="AI199" s="12"/>
      <c r="AJ199" s="12"/>
      <c r="AK199" s="12"/>
      <c r="AL199" s="12"/>
      <c r="AM199" s="12"/>
    </row>
    <row r="200" spans="15:39" x14ac:dyDescent="0.25"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G200" s="12"/>
      <c r="AH200" s="12"/>
      <c r="AI200" s="12"/>
      <c r="AJ200" s="12"/>
      <c r="AK200" s="12"/>
      <c r="AL200" s="12"/>
      <c r="AM200" s="12"/>
    </row>
    <row r="201" spans="15:39" x14ac:dyDescent="0.25"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G201" s="12"/>
      <c r="AH201" s="12"/>
      <c r="AI201" s="12"/>
      <c r="AJ201" s="12"/>
      <c r="AK201" s="12"/>
      <c r="AL201" s="12"/>
      <c r="AM201" s="12"/>
    </row>
    <row r="202" spans="15:39" x14ac:dyDescent="0.25"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G202" s="12"/>
      <c r="AH202" s="12"/>
      <c r="AI202" s="12"/>
      <c r="AJ202" s="12"/>
      <c r="AK202" s="12"/>
      <c r="AL202" s="12"/>
      <c r="AM202" s="12"/>
    </row>
    <row r="203" spans="15:39" x14ac:dyDescent="0.25"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G203" s="12"/>
      <c r="AH203" s="12"/>
      <c r="AI203" s="12"/>
      <c r="AJ203" s="12"/>
      <c r="AK203" s="12"/>
      <c r="AL203" s="12"/>
      <c r="AM203" s="12"/>
    </row>
    <row r="204" spans="15:39" x14ac:dyDescent="0.25"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G204" s="12"/>
      <c r="AH204" s="12"/>
      <c r="AI204" s="12"/>
      <c r="AJ204" s="12"/>
      <c r="AK204" s="12"/>
      <c r="AL204" s="12"/>
      <c r="AM204" s="12"/>
    </row>
    <row r="205" spans="15:39" x14ac:dyDescent="0.25"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G205" s="12"/>
      <c r="AH205" s="12"/>
      <c r="AI205" s="12"/>
      <c r="AJ205" s="12"/>
      <c r="AK205" s="12"/>
      <c r="AL205" s="12"/>
      <c r="AM205" s="12"/>
    </row>
    <row r="206" spans="15:39" x14ac:dyDescent="0.25"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G206" s="12"/>
      <c r="AH206" s="12"/>
      <c r="AI206" s="12"/>
      <c r="AJ206" s="12"/>
      <c r="AK206" s="12"/>
      <c r="AL206" s="12"/>
      <c r="AM206" s="12"/>
    </row>
    <row r="207" spans="15:39" x14ac:dyDescent="0.25"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G207" s="12"/>
      <c r="AH207" s="12"/>
      <c r="AI207" s="12"/>
      <c r="AJ207" s="12"/>
      <c r="AK207" s="12"/>
      <c r="AL207" s="12"/>
      <c r="AM207" s="12"/>
    </row>
    <row r="208" spans="15:39" x14ac:dyDescent="0.25"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G208" s="12"/>
      <c r="AH208" s="12"/>
      <c r="AI208" s="12"/>
      <c r="AJ208" s="12"/>
      <c r="AK208" s="12"/>
      <c r="AL208" s="12"/>
      <c r="AM208" s="12"/>
    </row>
    <row r="209" spans="15:39" x14ac:dyDescent="0.25"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G209" s="12"/>
      <c r="AH209" s="12"/>
      <c r="AI209" s="12"/>
      <c r="AJ209" s="12"/>
      <c r="AK209" s="12"/>
      <c r="AL209" s="12"/>
      <c r="AM209" s="12"/>
    </row>
    <row r="210" spans="15:39" x14ac:dyDescent="0.25"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G210" s="12"/>
      <c r="AH210" s="12"/>
      <c r="AI210" s="12"/>
      <c r="AJ210" s="12"/>
      <c r="AK210" s="12"/>
      <c r="AL210" s="12"/>
      <c r="AM210" s="12"/>
    </row>
    <row r="211" spans="15:39" x14ac:dyDescent="0.25"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G211" s="12"/>
      <c r="AH211" s="12"/>
      <c r="AI211" s="12"/>
      <c r="AJ211" s="12"/>
      <c r="AK211" s="12"/>
      <c r="AL211" s="12"/>
      <c r="AM211" s="12"/>
    </row>
    <row r="212" spans="15:39" x14ac:dyDescent="0.25"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G212" s="12"/>
      <c r="AH212" s="12"/>
      <c r="AI212" s="12"/>
      <c r="AJ212" s="12"/>
      <c r="AK212" s="12"/>
      <c r="AL212" s="12"/>
      <c r="AM212" s="12"/>
    </row>
    <row r="213" spans="15:39" x14ac:dyDescent="0.25"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G213" s="12"/>
      <c r="AH213" s="12"/>
      <c r="AI213" s="12"/>
      <c r="AJ213" s="12"/>
      <c r="AK213" s="12"/>
      <c r="AL213" s="12"/>
      <c r="AM213" s="12"/>
    </row>
    <row r="214" spans="15:39" x14ac:dyDescent="0.25"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G214" s="12"/>
      <c r="AH214" s="12"/>
      <c r="AI214" s="12"/>
      <c r="AJ214" s="12"/>
      <c r="AK214" s="12"/>
      <c r="AL214" s="12"/>
      <c r="AM214" s="12"/>
    </row>
    <row r="215" spans="15:39" x14ac:dyDescent="0.25"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G215" s="12"/>
      <c r="AH215" s="12"/>
      <c r="AI215" s="12"/>
      <c r="AJ215" s="12"/>
      <c r="AK215" s="12"/>
      <c r="AL215" s="12"/>
      <c r="AM215" s="12"/>
    </row>
    <row r="216" spans="15:39" x14ac:dyDescent="0.25"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G216" s="12"/>
      <c r="AH216" s="12"/>
      <c r="AI216" s="12"/>
      <c r="AJ216" s="12"/>
      <c r="AK216" s="12"/>
      <c r="AL216" s="12"/>
      <c r="AM216" s="12"/>
    </row>
    <row r="217" spans="15:39" x14ac:dyDescent="0.25"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G217" s="12"/>
      <c r="AH217" s="12"/>
      <c r="AI217" s="12"/>
      <c r="AJ217" s="12"/>
      <c r="AK217" s="12"/>
      <c r="AL217" s="12"/>
      <c r="AM217" s="12"/>
    </row>
    <row r="218" spans="15:39" x14ac:dyDescent="0.25"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G218" s="12"/>
      <c r="AH218" s="12"/>
      <c r="AI218" s="12"/>
      <c r="AJ218" s="12"/>
      <c r="AK218" s="12"/>
      <c r="AL218" s="12"/>
      <c r="AM218" s="12"/>
    </row>
    <row r="219" spans="15:39" x14ac:dyDescent="0.25"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G219" s="12"/>
      <c r="AH219" s="12"/>
      <c r="AI219" s="12"/>
      <c r="AJ219" s="12"/>
      <c r="AK219" s="12"/>
      <c r="AL219" s="12"/>
      <c r="AM219" s="12"/>
    </row>
    <row r="220" spans="15:39" x14ac:dyDescent="0.25"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G220" s="12"/>
      <c r="AH220" s="12"/>
      <c r="AI220" s="12"/>
      <c r="AJ220" s="12"/>
      <c r="AK220" s="12"/>
      <c r="AL220" s="12"/>
      <c r="AM220" s="12"/>
    </row>
    <row r="221" spans="15:39" x14ac:dyDescent="0.25"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G221" s="12"/>
      <c r="AH221" s="12"/>
      <c r="AI221" s="12"/>
      <c r="AJ221" s="12"/>
      <c r="AK221" s="12"/>
      <c r="AL221" s="12"/>
      <c r="AM221" s="12"/>
    </row>
    <row r="222" spans="15:39" x14ac:dyDescent="0.25"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G222" s="12"/>
      <c r="AH222" s="12"/>
      <c r="AI222" s="12"/>
      <c r="AJ222" s="12"/>
      <c r="AK222" s="12"/>
      <c r="AL222" s="12"/>
      <c r="AM222" s="12"/>
    </row>
    <row r="223" spans="15:39" x14ac:dyDescent="0.25"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G223" s="12"/>
      <c r="AH223" s="12"/>
      <c r="AI223" s="12"/>
      <c r="AJ223" s="12"/>
      <c r="AK223" s="12"/>
      <c r="AL223" s="12"/>
      <c r="AM223" s="12"/>
    </row>
    <row r="224" spans="15:39" x14ac:dyDescent="0.25"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G224" s="12"/>
      <c r="AH224" s="12"/>
      <c r="AI224" s="12"/>
      <c r="AJ224" s="12"/>
      <c r="AK224" s="12"/>
      <c r="AL224" s="12"/>
      <c r="AM224" s="12"/>
    </row>
    <row r="225" spans="15:39" x14ac:dyDescent="0.25"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G225" s="12"/>
      <c r="AH225" s="12"/>
      <c r="AI225" s="12"/>
      <c r="AJ225" s="12"/>
      <c r="AK225" s="12"/>
      <c r="AL225" s="12"/>
      <c r="AM225" s="12"/>
    </row>
    <row r="226" spans="15:39" x14ac:dyDescent="0.25"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G226" s="12"/>
      <c r="AH226" s="12"/>
      <c r="AI226" s="12"/>
      <c r="AJ226" s="12"/>
      <c r="AK226" s="12"/>
      <c r="AL226" s="12"/>
      <c r="AM226" s="12"/>
    </row>
    <row r="227" spans="15:39" x14ac:dyDescent="0.25"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G227" s="12"/>
      <c r="AH227" s="12"/>
      <c r="AI227" s="12"/>
      <c r="AJ227" s="12"/>
      <c r="AK227" s="12"/>
      <c r="AL227" s="12"/>
      <c r="AM227" s="12"/>
    </row>
    <row r="228" spans="15:39" x14ac:dyDescent="0.25"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G228" s="12"/>
      <c r="AH228" s="12"/>
      <c r="AI228" s="12"/>
      <c r="AJ228" s="12"/>
      <c r="AK228" s="12"/>
      <c r="AL228" s="12"/>
      <c r="AM228" s="12"/>
    </row>
    <row r="229" spans="15:39" x14ac:dyDescent="0.25"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G229" s="12"/>
      <c r="AH229" s="12"/>
      <c r="AI229" s="12"/>
      <c r="AJ229" s="12"/>
      <c r="AK229" s="12"/>
      <c r="AL229" s="12"/>
      <c r="AM229" s="12"/>
    </row>
    <row r="230" spans="15:39" x14ac:dyDescent="0.25"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G230" s="12"/>
      <c r="AH230" s="12"/>
      <c r="AI230" s="12"/>
      <c r="AJ230" s="12"/>
      <c r="AK230" s="12"/>
      <c r="AL230" s="12"/>
      <c r="AM230" s="12"/>
    </row>
    <row r="231" spans="15:39" x14ac:dyDescent="0.25"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G231" s="12"/>
      <c r="AH231" s="12"/>
      <c r="AI231" s="12"/>
      <c r="AJ231" s="12"/>
      <c r="AK231" s="12"/>
      <c r="AL231" s="12"/>
      <c r="AM231" s="12"/>
    </row>
    <row r="232" spans="15:39" x14ac:dyDescent="0.25"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G232" s="12"/>
      <c r="AH232" s="12"/>
      <c r="AI232" s="12"/>
      <c r="AJ232" s="12"/>
      <c r="AK232" s="12"/>
      <c r="AL232" s="12"/>
      <c r="AM232" s="1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789B0-CDC8-4C35-8BE2-3C43C4A58824}">
  <dimension ref="A2:BA349"/>
  <sheetViews>
    <sheetView zoomScale="70" zoomScaleNormal="70" workbookViewId="0">
      <selection sqref="A1:XFD1048576"/>
    </sheetView>
  </sheetViews>
  <sheetFormatPr defaultColWidth="8.7109375" defaultRowHeight="15.75" x14ac:dyDescent="0.25"/>
  <cols>
    <col min="1" max="1" width="11.140625" style="9" bestFit="1" customWidth="1"/>
    <col min="2" max="5" width="8.7109375" style="9"/>
    <col min="6" max="6" width="9.7109375" style="9" customWidth="1"/>
    <col min="7" max="7" width="9" style="9" bestFit="1" customWidth="1"/>
    <col min="8" max="8" width="9.7109375" style="9" bestFit="1" customWidth="1"/>
    <col min="9" max="9" width="9" style="9" bestFit="1" customWidth="1"/>
    <col min="10" max="11" width="11.7109375" style="9" bestFit="1" customWidth="1"/>
    <col min="12" max="12" width="8.7109375" style="9"/>
    <col min="13" max="13" width="11.7109375" style="9" bestFit="1" customWidth="1"/>
    <col min="14" max="14" width="13.7109375" style="9" bestFit="1" customWidth="1"/>
    <col min="15" max="17" width="11.7109375" style="9" bestFit="1" customWidth="1"/>
    <col min="18" max="16384" width="8.7109375" style="9"/>
  </cols>
  <sheetData>
    <row r="2" spans="1:53" x14ac:dyDescent="0.25">
      <c r="M2" s="10" t="s">
        <v>245</v>
      </c>
    </row>
    <row r="3" spans="1:53" ht="16.5" thickBot="1" x14ac:dyDescent="0.3">
      <c r="B3" s="10" t="s">
        <v>47</v>
      </c>
      <c r="F3" s="10" t="s">
        <v>48</v>
      </c>
      <c r="G3" s="123"/>
      <c r="H3" s="123"/>
      <c r="I3" s="123"/>
      <c r="J3" s="116" t="s">
        <v>214</v>
      </c>
      <c r="K3" s="116" t="s">
        <v>214</v>
      </c>
      <c r="L3" s="123"/>
      <c r="M3" s="116" t="s">
        <v>240</v>
      </c>
      <c r="N3" s="116" t="s">
        <v>241</v>
      </c>
      <c r="O3" s="116" t="s">
        <v>242</v>
      </c>
      <c r="P3" s="116" t="s">
        <v>243</v>
      </c>
      <c r="Q3" s="116" t="s">
        <v>244</v>
      </c>
    </row>
    <row r="4" spans="1:53" ht="16.5" thickBot="1" x14ac:dyDescent="0.3">
      <c r="A4" s="10" t="s">
        <v>11</v>
      </c>
      <c r="G4" s="117">
        <v>2014</v>
      </c>
      <c r="H4" s="117">
        <v>2015</v>
      </c>
      <c r="I4" s="174">
        <v>2016</v>
      </c>
      <c r="J4" s="117">
        <v>2017</v>
      </c>
      <c r="K4" s="117">
        <v>2018</v>
      </c>
      <c r="L4" s="123"/>
      <c r="M4" s="174">
        <v>2019</v>
      </c>
      <c r="N4" s="117">
        <v>2020</v>
      </c>
      <c r="O4" s="117">
        <v>2021</v>
      </c>
      <c r="P4" s="117">
        <v>2022</v>
      </c>
      <c r="Q4" s="126">
        <v>2023</v>
      </c>
    </row>
    <row r="5" spans="1:53" x14ac:dyDescent="0.25">
      <c r="B5" s="9" t="s">
        <v>40</v>
      </c>
      <c r="G5" s="99"/>
      <c r="H5" s="99"/>
      <c r="I5" s="99"/>
      <c r="J5" s="99"/>
      <c r="K5" s="99"/>
      <c r="L5" s="123"/>
      <c r="M5" s="99"/>
      <c r="N5" s="99"/>
      <c r="O5" s="99"/>
      <c r="P5" s="99"/>
      <c r="Q5" s="99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</row>
    <row r="6" spans="1:53" x14ac:dyDescent="0.25">
      <c r="B6" s="9" t="s">
        <v>99</v>
      </c>
      <c r="G6" s="98">
        <v>6468</v>
      </c>
      <c r="H6" s="98">
        <v>4356</v>
      </c>
      <c r="I6" s="98">
        <v>5436</v>
      </c>
      <c r="J6" s="98">
        <f>I6+(I6*0.03)</f>
        <v>5599.08</v>
      </c>
      <c r="K6" s="98">
        <f>J6+(J6*0.03)</f>
        <v>5767.0523999999996</v>
      </c>
      <c r="L6" s="123"/>
      <c r="M6" s="98">
        <f>K6*(1+2.16%)</f>
        <v>5891.6207318400002</v>
      </c>
      <c r="N6" s="98">
        <f>M6*(1+(-3.51%))</f>
        <v>5684.8248441524165</v>
      </c>
      <c r="O6" s="98">
        <f>N6*(1+6.39%)</f>
        <v>6048.0851516937564</v>
      </c>
      <c r="P6" s="98">
        <f>O6*(1+3.52%)</f>
        <v>6260.9777490333763</v>
      </c>
      <c r="Q6" s="98">
        <f>P6*(1+1.41%)</f>
        <v>6349.257535294747</v>
      </c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</row>
    <row r="7" spans="1:53" x14ac:dyDescent="0.25">
      <c r="B7" s="9" t="s">
        <v>100</v>
      </c>
      <c r="G7" s="98" t="s">
        <v>196</v>
      </c>
      <c r="H7" s="98"/>
      <c r="I7" s="98"/>
      <c r="J7" s="98">
        <f t="shared" ref="J7:K7" si="0">I7+(I7*0.03)</f>
        <v>0</v>
      </c>
      <c r="K7" s="98">
        <f t="shared" si="0"/>
        <v>0</v>
      </c>
      <c r="L7" s="123"/>
      <c r="M7" s="98">
        <f t="shared" ref="M7:M57" si="1">K7*(1+2.16%)</f>
        <v>0</v>
      </c>
      <c r="N7" s="98">
        <f t="shared" ref="N7:N57" si="2">M7*(1+(-3.51%))</f>
        <v>0</v>
      </c>
      <c r="O7" s="98">
        <f t="shared" ref="O7:O57" si="3">N7*(1+6.39%)</f>
        <v>0</v>
      </c>
      <c r="P7" s="98">
        <f t="shared" ref="P7:P57" si="4">O7*(1+3.52%)</f>
        <v>0</v>
      </c>
      <c r="Q7" s="98">
        <f t="shared" ref="Q7:Q57" si="5">P7*(1+1.41%)</f>
        <v>0</v>
      </c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</row>
    <row r="8" spans="1:53" x14ac:dyDescent="0.25">
      <c r="B8" s="9" t="s">
        <v>41</v>
      </c>
      <c r="G8" s="98"/>
      <c r="H8" s="98"/>
      <c r="I8" s="98"/>
      <c r="J8" s="98">
        <v>0</v>
      </c>
      <c r="K8" s="98">
        <f t="shared" ref="K8" si="6">J8+(J8*0.03)</f>
        <v>0</v>
      </c>
      <c r="L8" s="123"/>
      <c r="M8" s="98">
        <f t="shared" si="1"/>
        <v>0</v>
      </c>
      <c r="N8" s="98">
        <f t="shared" si="2"/>
        <v>0</v>
      </c>
      <c r="O8" s="98">
        <f t="shared" si="3"/>
        <v>0</v>
      </c>
      <c r="P8" s="98">
        <f t="shared" si="4"/>
        <v>0</v>
      </c>
      <c r="Q8" s="98">
        <f t="shared" si="5"/>
        <v>0</v>
      </c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:53" x14ac:dyDescent="0.25">
      <c r="B9" s="9" t="s">
        <v>101</v>
      </c>
      <c r="G9" s="98">
        <v>1820</v>
      </c>
      <c r="H9" s="98">
        <v>1863</v>
      </c>
      <c r="I9" s="98">
        <v>1962</v>
      </c>
      <c r="J9" s="98">
        <f t="shared" ref="J9:K9" si="7">I9+(I9*0.03)</f>
        <v>2020.86</v>
      </c>
      <c r="K9" s="98">
        <f t="shared" si="7"/>
        <v>2081.4857999999999</v>
      </c>
      <c r="L9" s="123"/>
      <c r="M9" s="98">
        <f t="shared" si="1"/>
        <v>2126.4458932799998</v>
      </c>
      <c r="N9" s="98">
        <f t="shared" si="2"/>
        <v>2051.807642425872</v>
      </c>
      <c r="O9" s="98">
        <f t="shared" si="3"/>
        <v>2182.9181507768853</v>
      </c>
      <c r="P9" s="98">
        <f t="shared" si="4"/>
        <v>2259.7568696842313</v>
      </c>
      <c r="Q9" s="98">
        <f t="shared" si="5"/>
        <v>2291.6194415467789</v>
      </c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:53" x14ac:dyDescent="0.25">
      <c r="B10" s="9" t="s">
        <v>102</v>
      </c>
      <c r="G10" s="98">
        <v>403</v>
      </c>
      <c r="H10" s="98">
        <v>662</v>
      </c>
      <c r="I10" s="98">
        <v>398</v>
      </c>
      <c r="J10" s="98">
        <f t="shared" ref="J10:K10" si="8">I10+(I10*0.03)</f>
        <v>409.94</v>
      </c>
      <c r="K10" s="98">
        <f t="shared" si="8"/>
        <v>422.23820000000001</v>
      </c>
      <c r="L10" s="123"/>
      <c r="M10" s="98">
        <f t="shared" si="1"/>
        <v>431.35854512000003</v>
      </c>
      <c r="N10" s="98">
        <f t="shared" si="2"/>
        <v>416.21786018628802</v>
      </c>
      <c r="O10" s="98">
        <f t="shared" si="3"/>
        <v>442.81418145219186</v>
      </c>
      <c r="P10" s="98">
        <f t="shared" si="4"/>
        <v>458.40124063930898</v>
      </c>
      <c r="Q10" s="98">
        <f t="shared" si="5"/>
        <v>464.86469813232321</v>
      </c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</row>
    <row r="11" spans="1:53" x14ac:dyDescent="0.25">
      <c r="B11" s="9" t="s">
        <v>103</v>
      </c>
      <c r="G11" s="98">
        <v>219</v>
      </c>
      <c r="H11" s="98">
        <v>158</v>
      </c>
      <c r="I11" s="98">
        <v>152</v>
      </c>
      <c r="J11" s="98">
        <f t="shared" ref="J11:K11" si="9">I11+(I11*0.03)</f>
        <v>156.56</v>
      </c>
      <c r="K11" s="98">
        <f t="shared" si="9"/>
        <v>161.2568</v>
      </c>
      <c r="L11" s="123"/>
      <c r="M11" s="98">
        <f t="shared" si="1"/>
        <v>164.73994688000002</v>
      </c>
      <c r="N11" s="98">
        <f t="shared" si="2"/>
        <v>158.95757474451202</v>
      </c>
      <c r="O11" s="98">
        <f t="shared" si="3"/>
        <v>169.11496377068633</v>
      </c>
      <c r="P11" s="98">
        <f t="shared" si="4"/>
        <v>175.06781049541448</v>
      </c>
      <c r="Q11" s="98">
        <f t="shared" si="5"/>
        <v>177.53626662339983</v>
      </c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</row>
    <row r="12" spans="1:53" x14ac:dyDescent="0.25">
      <c r="B12" s="9" t="s">
        <v>104</v>
      </c>
      <c r="G12" s="98" t="s">
        <v>49</v>
      </c>
      <c r="H12" s="98">
        <v>867</v>
      </c>
      <c r="I12" s="98">
        <v>-237</v>
      </c>
      <c r="J12" s="98">
        <f t="shared" ref="J12:K12" si="10">I12+(I12*0.03)</f>
        <v>-244.11</v>
      </c>
      <c r="K12" s="98">
        <f t="shared" si="10"/>
        <v>-251.4333</v>
      </c>
      <c r="L12" s="123"/>
      <c r="M12" s="98">
        <f t="shared" si="1"/>
        <v>-256.86425928</v>
      </c>
      <c r="N12" s="98">
        <f t="shared" si="2"/>
        <v>-247.84832377927199</v>
      </c>
      <c r="O12" s="98">
        <f t="shared" si="3"/>
        <v>-263.68583166876749</v>
      </c>
      <c r="P12" s="98">
        <f t="shared" si="4"/>
        <v>-272.96757294350806</v>
      </c>
      <c r="Q12" s="98">
        <f t="shared" si="5"/>
        <v>-276.81641572201153</v>
      </c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</row>
    <row r="13" spans="1:53" x14ac:dyDescent="0.25">
      <c r="B13" s="9" t="s">
        <v>105</v>
      </c>
      <c r="G13" s="98"/>
      <c r="H13" s="98"/>
      <c r="I13" s="98"/>
      <c r="J13" s="98"/>
      <c r="K13" s="98"/>
      <c r="L13" s="123"/>
      <c r="M13" s="98"/>
      <c r="N13" s="98"/>
      <c r="O13" s="98"/>
      <c r="P13" s="98"/>
      <c r="Q13" s="98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</row>
    <row r="14" spans="1:53" x14ac:dyDescent="0.25">
      <c r="B14" s="9" t="s">
        <v>106</v>
      </c>
      <c r="G14" s="98">
        <v>111</v>
      </c>
      <c r="H14" s="98">
        <v>-438</v>
      </c>
      <c r="I14" s="98">
        <v>-941</v>
      </c>
      <c r="J14" s="98">
        <f t="shared" ref="J14:K14" si="11">I14+(I14*0.03)</f>
        <v>-969.23</v>
      </c>
      <c r="K14" s="98">
        <f t="shared" si="11"/>
        <v>-998.30690000000004</v>
      </c>
      <c r="L14" s="123"/>
      <c r="M14" s="98">
        <f t="shared" si="1"/>
        <v>-1019.8703290400001</v>
      </c>
      <c r="N14" s="98">
        <f t="shared" si="2"/>
        <v>-984.07288049069609</v>
      </c>
      <c r="O14" s="98">
        <f t="shared" si="3"/>
        <v>-1046.9551375540516</v>
      </c>
      <c r="P14" s="98">
        <f t="shared" si="4"/>
        <v>-1083.8079583959541</v>
      </c>
      <c r="Q14" s="98">
        <f t="shared" si="5"/>
        <v>-1099.089650609337</v>
      </c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</row>
    <row r="15" spans="1:53" x14ac:dyDescent="0.25">
      <c r="B15" s="9" t="s">
        <v>107</v>
      </c>
      <c r="G15" s="98">
        <v>-636</v>
      </c>
      <c r="H15" s="98">
        <v>-766</v>
      </c>
      <c r="I15" s="98">
        <v>-719</v>
      </c>
      <c r="J15" s="98">
        <f t="shared" ref="J15:K15" si="12">I15+(I15*0.03)</f>
        <v>-740.57</v>
      </c>
      <c r="K15" s="98">
        <f t="shared" si="12"/>
        <v>-762.78710000000001</v>
      </c>
      <c r="L15" s="123"/>
      <c r="M15" s="98">
        <f t="shared" si="1"/>
        <v>-779.26330136000001</v>
      </c>
      <c r="N15" s="98">
        <f t="shared" si="2"/>
        <v>-751.911159482264</v>
      </c>
      <c r="O15" s="98">
        <f t="shared" si="3"/>
        <v>-799.95828257318067</v>
      </c>
      <c r="P15" s="98">
        <f t="shared" si="4"/>
        <v>-828.11681411975655</v>
      </c>
      <c r="Q15" s="98">
        <f t="shared" si="5"/>
        <v>-839.79326119884513</v>
      </c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</row>
    <row r="16" spans="1:53" x14ac:dyDescent="0.25">
      <c r="B16" s="9" t="s">
        <v>108</v>
      </c>
      <c r="G16" s="98">
        <v>-115</v>
      </c>
      <c r="H16" s="98">
        <v>-55</v>
      </c>
      <c r="I16" s="98">
        <v>49</v>
      </c>
      <c r="J16" s="98">
        <f t="shared" ref="J16:K16" si="13">I16+(I16*0.03)</f>
        <v>50.47</v>
      </c>
      <c r="K16" s="98">
        <f t="shared" si="13"/>
        <v>51.984099999999998</v>
      </c>
      <c r="L16" s="123"/>
      <c r="M16" s="98">
        <f t="shared" si="1"/>
        <v>53.10695656</v>
      </c>
      <c r="N16" s="98">
        <f t="shared" si="2"/>
        <v>51.242902384743999</v>
      </c>
      <c r="O16" s="98">
        <f t="shared" si="3"/>
        <v>54.517323847129141</v>
      </c>
      <c r="P16" s="98">
        <f t="shared" si="4"/>
        <v>56.436333646548078</v>
      </c>
      <c r="Q16" s="98">
        <f t="shared" si="5"/>
        <v>57.232085950964404</v>
      </c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</row>
    <row r="17" spans="1:53" x14ac:dyDescent="0.25">
      <c r="A17" s="12"/>
      <c r="B17" s="9" t="s">
        <v>109</v>
      </c>
      <c r="G17" s="98">
        <v>-89</v>
      </c>
      <c r="H17" s="98">
        <v>490</v>
      </c>
      <c r="I17" s="98">
        <v>450</v>
      </c>
      <c r="J17" s="98">
        <f t="shared" ref="J17:K17" si="14">I17+(I17*0.03)</f>
        <v>463.5</v>
      </c>
      <c r="K17" s="98">
        <f t="shared" si="14"/>
        <v>477.40499999999997</v>
      </c>
      <c r="L17" s="123"/>
      <c r="M17" s="98">
        <f t="shared" si="1"/>
        <v>487.716948</v>
      </c>
      <c r="N17" s="98">
        <f t="shared" si="2"/>
        <v>470.59808312519999</v>
      </c>
      <c r="O17" s="98">
        <f t="shared" si="3"/>
        <v>500.66930063690029</v>
      </c>
      <c r="P17" s="98">
        <f t="shared" si="4"/>
        <v>518.29286001931916</v>
      </c>
      <c r="Q17" s="98">
        <f t="shared" si="5"/>
        <v>525.60078934559158</v>
      </c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</row>
    <row r="18" spans="1:53" x14ac:dyDescent="0.25">
      <c r="A18" s="12"/>
      <c r="B18" s="9" t="s">
        <v>110</v>
      </c>
      <c r="G18" s="98">
        <v>-517</v>
      </c>
      <c r="H18" s="98">
        <v>-147</v>
      </c>
      <c r="I18" s="98">
        <v>-303</v>
      </c>
      <c r="J18" s="98">
        <f t="shared" ref="J18:K18" si="15">I18+(I18*0.03)</f>
        <v>-312.08999999999997</v>
      </c>
      <c r="K18" s="98">
        <f t="shared" si="15"/>
        <v>-321.45269999999999</v>
      </c>
      <c r="L18" s="123"/>
      <c r="M18" s="98">
        <f t="shared" si="1"/>
        <v>-328.39607832000002</v>
      </c>
      <c r="N18" s="98">
        <f t="shared" si="2"/>
        <v>-316.86937597096801</v>
      </c>
      <c r="O18" s="98">
        <f t="shared" si="3"/>
        <v>-337.1173290955129</v>
      </c>
      <c r="P18" s="98">
        <f t="shared" si="4"/>
        <v>-348.98385907967491</v>
      </c>
      <c r="Q18" s="98">
        <f t="shared" si="5"/>
        <v>-353.90453149269831</v>
      </c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</row>
    <row r="19" spans="1:53" ht="16.5" thickBot="1" x14ac:dyDescent="0.3">
      <c r="A19" s="12"/>
      <c r="B19" s="9" t="s">
        <v>111</v>
      </c>
      <c r="G19" s="163">
        <v>-685</v>
      </c>
      <c r="H19" s="163">
        <v>-235</v>
      </c>
      <c r="I19" s="163">
        <v>165</v>
      </c>
      <c r="J19" s="163">
        <f t="shared" ref="J19:K19" si="16">I19+(I19*0.03)</f>
        <v>169.95</v>
      </c>
      <c r="K19" s="163">
        <f t="shared" si="16"/>
        <v>175.04849999999999</v>
      </c>
      <c r="L19" s="131"/>
      <c r="M19" s="163">
        <f t="shared" si="1"/>
        <v>178.82954760000001</v>
      </c>
      <c r="N19" s="163">
        <f t="shared" si="2"/>
        <v>172.55263047924001</v>
      </c>
      <c r="O19" s="163">
        <f t="shared" si="3"/>
        <v>183.57874356686347</v>
      </c>
      <c r="P19" s="163">
        <f t="shared" si="4"/>
        <v>190.04071534041705</v>
      </c>
      <c r="Q19" s="163">
        <f t="shared" si="5"/>
        <v>192.72028942671693</v>
      </c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</row>
    <row r="20" spans="1:53" s="38" customFormat="1" ht="16.5" thickBot="1" x14ac:dyDescent="0.3">
      <c r="A20" s="12"/>
      <c r="B20" s="38" t="s">
        <v>112</v>
      </c>
      <c r="G20" s="183">
        <v>6979</v>
      </c>
      <c r="H20" s="183">
        <v>6755</v>
      </c>
      <c r="I20" s="183">
        <v>6412</v>
      </c>
      <c r="J20" s="183">
        <f t="shared" ref="J20:K20" si="17">I20+(I20*0.03)</f>
        <v>6604.36</v>
      </c>
      <c r="K20" s="183">
        <f t="shared" si="17"/>
        <v>6802.4907999999996</v>
      </c>
      <c r="L20" s="111"/>
      <c r="M20" s="183">
        <f t="shared" si="1"/>
        <v>6949.4246012800004</v>
      </c>
      <c r="N20" s="183">
        <f t="shared" si="2"/>
        <v>6705.4997977750718</v>
      </c>
      <c r="O20" s="183">
        <f t="shared" si="3"/>
        <v>7133.9812348528994</v>
      </c>
      <c r="P20" s="183">
        <f t="shared" si="4"/>
        <v>7385.097374319721</v>
      </c>
      <c r="Q20" s="183">
        <f t="shared" si="5"/>
        <v>7489.2272472976292</v>
      </c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</row>
    <row r="21" spans="1:53" x14ac:dyDescent="0.25">
      <c r="A21" s="12"/>
      <c r="B21" s="9" t="s">
        <v>42</v>
      </c>
      <c r="G21" s="99"/>
      <c r="H21" s="99"/>
      <c r="I21" s="99"/>
      <c r="J21" s="99"/>
      <c r="K21" s="99"/>
      <c r="L21" s="123"/>
      <c r="M21" s="99"/>
      <c r="N21" s="99"/>
      <c r="O21" s="99"/>
      <c r="P21" s="99"/>
      <c r="Q21" s="99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</row>
    <row r="22" spans="1:53" x14ac:dyDescent="0.25">
      <c r="A22" s="12"/>
      <c r="B22" s="9" t="s">
        <v>114</v>
      </c>
      <c r="G22" s="98">
        <v>-1594</v>
      </c>
      <c r="H22" s="98">
        <v>-1652</v>
      </c>
      <c r="I22" s="98">
        <v>-1699</v>
      </c>
      <c r="J22" s="98">
        <f t="shared" ref="J22:K22" si="18">I22+(I22*0.03)</f>
        <v>-1749.97</v>
      </c>
      <c r="K22" s="98">
        <f t="shared" si="18"/>
        <v>-1802.4691</v>
      </c>
      <c r="L22" s="123"/>
      <c r="M22" s="98">
        <f t="shared" si="1"/>
        <v>-1841.4024325600001</v>
      </c>
      <c r="N22" s="98">
        <f t="shared" si="2"/>
        <v>-1776.7692071771439</v>
      </c>
      <c r="O22" s="98">
        <f t="shared" si="3"/>
        <v>-1890.3047595157636</v>
      </c>
      <c r="P22" s="98">
        <f t="shared" si="4"/>
        <v>-1956.8434870507183</v>
      </c>
      <c r="Q22" s="98">
        <f t="shared" si="5"/>
        <v>-1984.4349802181334</v>
      </c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</row>
    <row r="23" spans="1:53" x14ac:dyDescent="0.25">
      <c r="A23" s="12"/>
      <c r="B23" s="9" t="s">
        <v>115</v>
      </c>
      <c r="G23" s="98">
        <v>-202</v>
      </c>
      <c r="H23" s="98">
        <v>-364</v>
      </c>
      <c r="I23" s="98">
        <v>-438</v>
      </c>
      <c r="J23" s="98">
        <f t="shared" ref="J23:K23" si="19">I23+(I23*0.03)</f>
        <v>-451.14</v>
      </c>
      <c r="K23" s="98">
        <f t="shared" si="19"/>
        <v>-464.67419999999998</v>
      </c>
      <c r="L23" s="123"/>
      <c r="M23" s="98">
        <f t="shared" si="1"/>
        <v>-474.71116272</v>
      </c>
      <c r="N23" s="98">
        <f t="shared" si="2"/>
        <v>-458.04880090852799</v>
      </c>
      <c r="O23" s="98">
        <f t="shared" si="3"/>
        <v>-487.31811928658294</v>
      </c>
      <c r="P23" s="98">
        <f t="shared" si="4"/>
        <v>-504.47171708547063</v>
      </c>
      <c r="Q23" s="98">
        <f t="shared" si="5"/>
        <v>-511.58476829637578</v>
      </c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</row>
    <row r="24" spans="1:53" x14ac:dyDescent="0.25">
      <c r="A24" s="12"/>
      <c r="B24" s="9" t="s">
        <v>116</v>
      </c>
      <c r="G24" s="98">
        <v>331</v>
      </c>
      <c r="H24" s="98">
        <v>117</v>
      </c>
      <c r="I24" s="98">
        <v>217</v>
      </c>
      <c r="J24" s="98">
        <f t="shared" ref="J24:K24" si="20">I24+(I24*0.03)</f>
        <v>223.51</v>
      </c>
      <c r="K24" s="98">
        <f t="shared" si="20"/>
        <v>230.21529999999998</v>
      </c>
      <c r="L24" s="123"/>
      <c r="M24" s="98">
        <f t="shared" si="1"/>
        <v>235.18795048000001</v>
      </c>
      <c r="N24" s="98">
        <f t="shared" si="2"/>
        <v>226.93285341815201</v>
      </c>
      <c r="O24" s="98">
        <f t="shared" si="3"/>
        <v>241.43386275157192</v>
      </c>
      <c r="P24" s="98">
        <f t="shared" si="4"/>
        <v>249.93233472042724</v>
      </c>
      <c r="Q24" s="98">
        <f t="shared" si="5"/>
        <v>253.45638063998527</v>
      </c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</row>
    <row r="25" spans="1:53" x14ac:dyDescent="0.25">
      <c r="A25" s="12"/>
      <c r="B25" s="9" t="s">
        <v>117</v>
      </c>
      <c r="G25" s="98">
        <v>-402</v>
      </c>
      <c r="H25" s="98">
        <v>-538</v>
      </c>
      <c r="I25" s="98">
        <v>-710</v>
      </c>
      <c r="J25" s="98">
        <f t="shared" ref="J25:K25" si="21">I25+(I25*0.03)</f>
        <v>-731.3</v>
      </c>
      <c r="K25" s="98">
        <f t="shared" si="21"/>
        <v>-753.23899999999992</v>
      </c>
      <c r="L25" s="123"/>
      <c r="M25" s="98">
        <f t="shared" si="1"/>
        <v>-769.50896239999997</v>
      </c>
      <c r="N25" s="98">
        <f t="shared" si="2"/>
        <v>-742.49919781975996</v>
      </c>
      <c r="O25" s="98">
        <f t="shared" si="3"/>
        <v>-789.94489656044266</v>
      </c>
      <c r="P25" s="98">
        <f t="shared" si="4"/>
        <v>-817.7509569193702</v>
      </c>
      <c r="Q25" s="98">
        <f t="shared" si="5"/>
        <v>-829.28124541193336</v>
      </c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</row>
    <row r="26" spans="1:53" x14ac:dyDescent="0.25">
      <c r="A26" s="12"/>
      <c r="B26" s="9" t="s">
        <v>118</v>
      </c>
      <c r="G26" s="98">
        <v>344</v>
      </c>
      <c r="H26" s="98">
        <v>200</v>
      </c>
      <c r="I26" s="98">
        <v>211</v>
      </c>
      <c r="J26" s="98">
        <f t="shared" ref="J26:K26" si="22">I26+(I26*0.03)</f>
        <v>217.33</v>
      </c>
      <c r="K26" s="98">
        <f t="shared" si="22"/>
        <v>223.84990000000002</v>
      </c>
      <c r="L26" s="123"/>
      <c r="M26" s="98">
        <f t="shared" si="1"/>
        <v>228.68505784000004</v>
      </c>
      <c r="N26" s="98">
        <f t="shared" si="2"/>
        <v>220.65821230981604</v>
      </c>
      <c r="O26" s="98">
        <f t="shared" si="3"/>
        <v>234.75827207641331</v>
      </c>
      <c r="P26" s="98">
        <f t="shared" si="4"/>
        <v>243.02176325350302</v>
      </c>
      <c r="Q26" s="98">
        <f t="shared" si="5"/>
        <v>246.44837011537743</v>
      </c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</row>
    <row r="27" spans="1:53" x14ac:dyDescent="0.25">
      <c r="A27" s="12"/>
      <c r="B27" s="9" t="s">
        <v>119</v>
      </c>
      <c r="G27" s="98">
        <v>-593</v>
      </c>
      <c r="H27" s="98">
        <v>-437</v>
      </c>
      <c r="I27" s="98">
        <v>-388</v>
      </c>
      <c r="J27" s="98">
        <f t="shared" ref="J27:K27" si="23">I27+(I27*0.03)</f>
        <v>-399.64</v>
      </c>
      <c r="K27" s="98">
        <f t="shared" si="23"/>
        <v>-411.62919999999997</v>
      </c>
      <c r="L27" s="123"/>
      <c r="M27" s="163">
        <f t="shared" si="1"/>
        <v>-420.52039071999997</v>
      </c>
      <c r="N27" s="98">
        <f t="shared" si="2"/>
        <v>-405.76012500572796</v>
      </c>
      <c r="O27" s="98">
        <f t="shared" si="3"/>
        <v>-431.68819699359398</v>
      </c>
      <c r="P27" s="98">
        <f t="shared" si="4"/>
        <v>-446.88362152776847</v>
      </c>
      <c r="Q27" s="98">
        <f t="shared" si="5"/>
        <v>-453.18468059130998</v>
      </c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</row>
    <row r="28" spans="1:53" x14ac:dyDescent="0.25">
      <c r="A28" s="12"/>
      <c r="B28" s="9" t="s">
        <v>120</v>
      </c>
      <c r="G28" s="98">
        <v>93</v>
      </c>
      <c r="H28" s="98">
        <v>160</v>
      </c>
      <c r="I28" s="98">
        <v>249</v>
      </c>
      <c r="J28" s="98">
        <f t="shared" ref="J28:K28" si="24">I28+(I28*0.03)</f>
        <v>256.47000000000003</v>
      </c>
      <c r="K28" s="98">
        <f t="shared" si="24"/>
        <v>264.16410000000002</v>
      </c>
      <c r="L28" s="123"/>
      <c r="M28" s="98">
        <f t="shared" si="1"/>
        <v>269.87004456000005</v>
      </c>
      <c r="N28" s="172">
        <f t="shared" si="2"/>
        <v>260.39760599594405</v>
      </c>
      <c r="O28" s="98">
        <f t="shared" si="3"/>
        <v>277.0370130190849</v>
      </c>
      <c r="P28" s="98">
        <f t="shared" si="4"/>
        <v>286.78871587735665</v>
      </c>
      <c r="Q28" s="98">
        <f t="shared" si="5"/>
        <v>290.83243677122738</v>
      </c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</row>
    <row r="29" spans="1:53" ht="16.5" thickBot="1" x14ac:dyDescent="0.3">
      <c r="A29" s="12"/>
      <c r="B29" s="9" t="s">
        <v>121</v>
      </c>
      <c r="G29" s="163">
        <v>56</v>
      </c>
      <c r="H29" s="163">
        <v>-280</v>
      </c>
      <c r="I29" s="163">
        <v>49</v>
      </c>
      <c r="J29" s="163">
        <f t="shared" ref="J29:K29" si="25">I29+(I29*0.03)</f>
        <v>50.47</v>
      </c>
      <c r="K29" s="163">
        <f t="shared" si="25"/>
        <v>51.984099999999998</v>
      </c>
      <c r="L29" s="131"/>
      <c r="M29" s="163">
        <f t="shared" si="1"/>
        <v>53.10695656</v>
      </c>
      <c r="N29" s="187">
        <f t="shared" si="2"/>
        <v>51.242902384743999</v>
      </c>
      <c r="O29" s="163">
        <f t="shared" si="3"/>
        <v>54.517323847129141</v>
      </c>
      <c r="P29" s="163">
        <f t="shared" si="4"/>
        <v>56.436333646548078</v>
      </c>
      <c r="Q29" s="163">
        <f t="shared" si="5"/>
        <v>57.232085950964404</v>
      </c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</row>
    <row r="30" spans="1:53" s="38" customFormat="1" ht="16.5" thickBot="1" x14ac:dyDescent="0.3">
      <c r="A30" s="12"/>
      <c r="B30" s="38" t="s">
        <v>113</v>
      </c>
      <c r="G30" s="183">
        <v>-1967</v>
      </c>
      <c r="H30" s="183">
        <v>-2794</v>
      </c>
      <c r="I30" s="183">
        <v>-2509</v>
      </c>
      <c r="J30" s="183">
        <f t="shared" ref="J30:K30" si="26">I30+(I30*0.03)</f>
        <v>-2584.27</v>
      </c>
      <c r="K30" s="183">
        <f t="shared" si="26"/>
        <v>-2661.7981</v>
      </c>
      <c r="L30" s="111"/>
      <c r="M30" s="183">
        <f t="shared" si="1"/>
        <v>-2719.2929389600004</v>
      </c>
      <c r="N30" s="183">
        <f t="shared" si="2"/>
        <v>-2623.8457568025042</v>
      </c>
      <c r="O30" s="183">
        <f t="shared" si="3"/>
        <v>-2791.5095006621846</v>
      </c>
      <c r="P30" s="183">
        <f t="shared" si="4"/>
        <v>-2889.7706350854933</v>
      </c>
      <c r="Q30" s="183">
        <f t="shared" si="5"/>
        <v>-2930.5164010401986</v>
      </c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</row>
    <row r="31" spans="1:53" x14ac:dyDescent="0.25">
      <c r="A31" s="12"/>
      <c r="B31" s="9" t="s">
        <v>43</v>
      </c>
      <c r="G31" s="99"/>
      <c r="H31" s="99"/>
      <c r="I31" s="99"/>
      <c r="J31" s="99"/>
      <c r="K31" s="99"/>
      <c r="L31" s="123"/>
      <c r="M31" s="99"/>
      <c r="N31" s="99"/>
      <c r="O31" s="99"/>
      <c r="P31" s="99"/>
      <c r="Q31" s="99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</row>
    <row r="32" spans="1:53" x14ac:dyDescent="0.25">
      <c r="A32" s="12"/>
      <c r="B32" s="9" t="s">
        <v>122</v>
      </c>
      <c r="G32" s="98">
        <v>98</v>
      </c>
      <c r="H32" s="98">
        <v>1744</v>
      </c>
      <c r="I32" s="98">
        <v>6469</v>
      </c>
      <c r="J32" s="98">
        <f t="shared" ref="J32:K32" si="27">I32+(I32*0.03)</f>
        <v>6663.07</v>
      </c>
      <c r="K32" s="98">
        <f t="shared" si="27"/>
        <v>6862.9620999999997</v>
      </c>
      <c r="L32" s="123"/>
      <c r="M32" s="98">
        <f t="shared" si="1"/>
        <v>7011.2020813600002</v>
      </c>
      <c r="N32" s="98">
        <f t="shared" si="2"/>
        <v>6765.1088883042639</v>
      </c>
      <c r="O32" s="98">
        <f t="shared" si="3"/>
        <v>7197.3993462669068</v>
      </c>
      <c r="P32" s="98">
        <f t="shared" si="4"/>
        <v>7450.7478032555009</v>
      </c>
      <c r="Q32" s="98">
        <f t="shared" si="5"/>
        <v>7555.8033472814031</v>
      </c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</row>
    <row r="33" spans="1:53" x14ac:dyDescent="0.25">
      <c r="A33" s="12"/>
      <c r="B33" s="9" t="s">
        <v>123</v>
      </c>
      <c r="G33" s="98">
        <v>-304</v>
      </c>
      <c r="H33" s="98">
        <v>-1764</v>
      </c>
      <c r="I33" s="98">
        <v>-2452</v>
      </c>
      <c r="J33" s="98">
        <f t="shared" ref="J33:K33" si="28">I33+(I33*0.03)</f>
        <v>-2525.56</v>
      </c>
      <c r="K33" s="98">
        <f t="shared" si="28"/>
        <v>-2601.3267999999998</v>
      </c>
      <c r="L33" s="123"/>
      <c r="M33" s="98">
        <f t="shared" si="1"/>
        <v>-2657.5154588800001</v>
      </c>
      <c r="N33" s="98">
        <f t="shared" si="2"/>
        <v>-2564.236666273312</v>
      </c>
      <c r="O33" s="98">
        <f t="shared" si="3"/>
        <v>-2728.0913892481767</v>
      </c>
      <c r="P33" s="98">
        <f t="shared" si="4"/>
        <v>-2824.1202061497124</v>
      </c>
      <c r="Q33" s="98">
        <f t="shared" si="5"/>
        <v>-2863.9403010564233</v>
      </c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</row>
    <row r="34" spans="1:53" x14ac:dyDescent="0.25">
      <c r="A34" s="12"/>
      <c r="B34" s="9" t="s">
        <v>124</v>
      </c>
      <c r="G34" s="98">
        <v>-346</v>
      </c>
      <c r="H34" s="98">
        <v>795</v>
      </c>
      <c r="I34" s="98">
        <v>-331</v>
      </c>
      <c r="J34" s="98">
        <f t="shared" ref="J34:K34" si="29">I34+(I34*0.03)</f>
        <v>-340.93</v>
      </c>
      <c r="K34" s="98">
        <f t="shared" si="29"/>
        <v>-351.15789999999998</v>
      </c>
      <c r="L34" s="123"/>
      <c r="M34" s="98">
        <f t="shared" si="1"/>
        <v>-358.74291063999999</v>
      </c>
      <c r="N34" s="98">
        <f t="shared" si="2"/>
        <v>-346.15103447653598</v>
      </c>
      <c r="O34" s="98">
        <f t="shared" si="3"/>
        <v>-368.27008557958663</v>
      </c>
      <c r="P34" s="98">
        <f t="shared" si="4"/>
        <v>-381.23319259198803</v>
      </c>
      <c r="Q34" s="98">
        <f t="shared" si="5"/>
        <v>-386.60858060753509</v>
      </c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</row>
    <row r="35" spans="1:53" x14ac:dyDescent="0.25">
      <c r="A35" s="12"/>
      <c r="B35" s="9" t="s">
        <v>125</v>
      </c>
      <c r="G35" s="98" t="s">
        <v>49</v>
      </c>
      <c r="H35" s="98">
        <v>1100</v>
      </c>
      <c r="I35" s="98">
        <v>0</v>
      </c>
      <c r="J35" s="98">
        <f t="shared" ref="J35:K35" si="30">I35+(I35*0.03)</f>
        <v>0</v>
      </c>
      <c r="K35" s="98">
        <f t="shared" si="30"/>
        <v>0</v>
      </c>
      <c r="L35" s="123"/>
      <c r="M35" s="98">
        <f t="shared" si="1"/>
        <v>0</v>
      </c>
      <c r="N35" s="98">
        <f t="shared" si="2"/>
        <v>0</v>
      </c>
      <c r="O35" s="98">
        <f t="shared" si="3"/>
        <v>0</v>
      </c>
      <c r="P35" s="98">
        <f t="shared" si="4"/>
        <v>0</v>
      </c>
      <c r="Q35" s="98">
        <f t="shared" si="5"/>
        <v>0</v>
      </c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</row>
    <row r="36" spans="1:53" x14ac:dyDescent="0.25">
      <c r="A36" s="12"/>
      <c r="B36" s="9" t="s">
        <v>126</v>
      </c>
      <c r="G36" s="98">
        <v>187</v>
      </c>
      <c r="H36" s="98">
        <v>41</v>
      </c>
      <c r="I36" s="98">
        <v>13</v>
      </c>
      <c r="J36" s="98">
        <f t="shared" ref="J36:K36" si="31">I36+(I36*0.03)</f>
        <v>13.39</v>
      </c>
      <c r="K36" s="98">
        <f t="shared" si="31"/>
        <v>13.791700000000001</v>
      </c>
      <c r="L36" s="123"/>
      <c r="M36" s="98">
        <f t="shared" si="1"/>
        <v>14.089600720000002</v>
      </c>
      <c r="N36" s="98">
        <f t="shared" si="2"/>
        <v>13.595055734728001</v>
      </c>
      <c r="O36" s="98">
        <f t="shared" si="3"/>
        <v>14.463779796177121</v>
      </c>
      <c r="P36" s="98">
        <f t="shared" si="4"/>
        <v>14.972904845002555</v>
      </c>
      <c r="Q36" s="98">
        <f t="shared" si="5"/>
        <v>15.184022803317092</v>
      </c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</row>
    <row r="37" spans="1:53" x14ac:dyDescent="0.25">
      <c r="A37" s="12"/>
      <c r="B37" s="9" t="s">
        <v>127</v>
      </c>
      <c r="G37" s="98">
        <v>-2048</v>
      </c>
      <c r="H37" s="98">
        <v>-2184</v>
      </c>
      <c r="I37" s="98">
        <v>-2069</v>
      </c>
      <c r="J37" s="98">
        <f t="shared" ref="J37:K37" si="32">I37+(I37*0.03)</f>
        <v>-2131.0700000000002</v>
      </c>
      <c r="K37" s="98">
        <f t="shared" si="32"/>
        <v>-2195.0021000000002</v>
      </c>
      <c r="L37" s="123"/>
      <c r="M37" s="98">
        <f t="shared" si="1"/>
        <v>-2242.4141453600005</v>
      </c>
      <c r="N37" s="98">
        <f t="shared" si="2"/>
        <v>-2163.7054088578643</v>
      </c>
      <c r="O37" s="98">
        <f t="shared" si="3"/>
        <v>-2301.966184483882</v>
      </c>
      <c r="P37" s="98">
        <f t="shared" si="4"/>
        <v>-2382.9953941777144</v>
      </c>
      <c r="Q37" s="98">
        <f t="shared" si="5"/>
        <v>-2416.59562923562</v>
      </c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</row>
    <row r="38" spans="1:53" x14ac:dyDescent="0.25">
      <c r="A38" s="12"/>
      <c r="B38" s="9" t="s">
        <v>128</v>
      </c>
      <c r="G38" s="98">
        <v>-1500</v>
      </c>
      <c r="H38" s="98">
        <v>-10000</v>
      </c>
      <c r="I38" s="98">
        <v>-2254</v>
      </c>
      <c r="J38" s="98">
        <f t="shared" ref="J38:K38" si="33">I38+(I38*0.03)</f>
        <v>-2321.62</v>
      </c>
      <c r="K38" s="98">
        <f t="shared" si="33"/>
        <v>-2391.2685999999999</v>
      </c>
      <c r="L38" s="123"/>
      <c r="M38" s="98">
        <f t="shared" si="1"/>
        <v>-2442.9200017600001</v>
      </c>
      <c r="N38" s="98">
        <f t="shared" si="2"/>
        <v>-2357.1735096982238</v>
      </c>
      <c r="O38" s="98">
        <f t="shared" si="3"/>
        <v>-2507.7968969679405</v>
      </c>
      <c r="P38" s="98">
        <f t="shared" si="4"/>
        <v>-2596.0713477412119</v>
      </c>
      <c r="Q38" s="98">
        <f t="shared" si="5"/>
        <v>-2632.6759537443631</v>
      </c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</row>
    <row r="39" spans="1:53" ht="16.5" thickBot="1" x14ac:dyDescent="0.3">
      <c r="A39" s="12"/>
      <c r="B39" s="9" t="s">
        <v>129</v>
      </c>
      <c r="G39" s="163"/>
      <c r="H39" s="163"/>
      <c r="I39" s="163"/>
      <c r="J39" s="163">
        <f t="shared" ref="J39:K39" si="34">I39+(I39*0.03)</f>
        <v>0</v>
      </c>
      <c r="K39" s="163">
        <f t="shared" si="34"/>
        <v>0</v>
      </c>
      <c r="L39" s="131"/>
      <c r="M39" s="163">
        <f t="shared" si="1"/>
        <v>0</v>
      </c>
      <c r="N39" s="163">
        <f t="shared" si="2"/>
        <v>0</v>
      </c>
      <c r="O39" s="163">
        <f t="shared" si="3"/>
        <v>0</v>
      </c>
      <c r="P39" s="163">
        <f t="shared" si="4"/>
        <v>0</v>
      </c>
      <c r="Q39" s="163">
        <f t="shared" si="5"/>
        <v>0</v>
      </c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</row>
    <row r="40" spans="1:53" s="38" customFormat="1" ht="16.5" thickBot="1" x14ac:dyDescent="0.3">
      <c r="A40" s="12"/>
      <c r="B40" s="38" t="s">
        <v>130</v>
      </c>
      <c r="G40" s="183">
        <v>-4249</v>
      </c>
      <c r="H40" s="183">
        <v>-10776</v>
      </c>
      <c r="I40" s="183">
        <v>-1188</v>
      </c>
      <c r="J40" s="183">
        <f t="shared" ref="J40:K40" si="35">I40+(I40*0.03)</f>
        <v>-1223.6400000000001</v>
      </c>
      <c r="K40" s="183">
        <f t="shared" si="35"/>
        <v>-1260.3492000000001</v>
      </c>
      <c r="L40" s="111"/>
      <c r="M40" s="183">
        <f t="shared" si="1"/>
        <v>-1287.5727427200002</v>
      </c>
      <c r="N40" s="183">
        <f t="shared" si="2"/>
        <v>-1242.3789394505282</v>
      </c>
      <c r="O40" s="183">
        <f t="shared" si="3"/>
        <v>-1321.7669536814169</v>
      </c>
      <c r="P40" s="183">
        <f t="shared" si="4"/>
        <v>-1368.2931504510027</v>
      </c>
      <c r="Q40" s="183">
        <f t="shared" si="5"/>
        <v>-1387.5860838723618</v>
      </c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</row>
    <row r="41" spans="1:53" x14ac:dyDescent="0.25">
      <c r="A41" s="12"/>
      <c r="B41" s="9" t="s">
        <v>44</v>
      </c>
      <c r="G41" s="99"/>
      <c r="H41" s="99"/>
      <c r="I41" s="99"/>
      <c r="J41" s="99"/>
      <c r="K41" s="99"/>
      <c r="L41" s="123"/>
      <c r="M41" s="99"/>
      <c r="N41" s="99"/>
      <c r="O41" s="99"/>
      <c r="P41" s="99"/>
      <c r="Q41" s="99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</row>
    <row r="42" spans="1:53" x14ac:dyDescent="0.25">
      <c r="A42" s="12"/>
      <c r="B42" s="9" t="s">
        <v>131</v>
      </c>
      <c r="G42" s="98">
        <v>342</v>
      </c>
      <c r="H42" s="98">
        <v>-372</v>
      </c>
      <c r="I42" s="98">
        <v>-2532</v>
      </c>
      <c r="J42" s="98">
        <f t="shared" ref="J42:K42" si="36">I42+(I42*0.03)</f>
        <v>-2607.96</v>
      </c>
      <c r="K42" s="98">
        <f t="shared" si="36"/>
        <v>-2686.1988000000001</v>
      </c>
      <c r="L42" s="123"/>
      <c r="M42" s="98">
        <f t="shared" si="1"/>
        <v>-2744.2206940800002</v>
      </c>
      <c r="N42" s="98">
        <f t="shared" si="2"/>
        <v>-2647.8985477177921</v>
      </c>
      <c r="O42" s="98">
        <f t="shared" si="3"/>
        <v>-2817.0992649169593</v>
      </c>
      <c r="P42" s="98">
        <f t="shared" si="4"/>
        <v>-2916.2611590420361</v>
      </c>
      <c r="Q42" s="98">
        <f t="shared" si="5"/>
        <v>-2957.3804413845287</v>
      </c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</row>
    <row r="43" spans="1:53" x14ac:dyDescent="0.25">
      <c r="A43" s="12"/>
      <c r="B43" s="9" t="s">
        <v>132</v>
      </c>
      <c r="G43" s="98">
        <v>-113</v>
      </c>
      <c r="H43" s="98">
        <v>9000</v>
      </c>
      <c r="I43" s="98">
        <v>6</v>
      </c>
      <c r="J43" s="98">
        <f t="shared" ref="J43:K43" si="37">I43+(I43*0.03)</f>
        <v>6.18</v>
      </c>
      <c r="K43" s="98">
        <f t="shared" si="37"/>
        <v>6.3653999999999993</v>
      </c>
      <c r="L43" s="123"/>
      <c r="M43" s="98">
        <f t="shared" si="1"/>
        <v>6.5028926399999998</v>
      </c>
      <c r="N43" s="98">
        <f t="shared" si="2"/>
        <v>6.2746411083359996</v>
      </c>
      <c r="O43" s="98">
        <f t="shared" si="3"/>
        <v>6.6755906751586709</v>
      </c>
      <c r="P43" s="98">
        <f t="shared" si="4"/>
        <v>6.9105714669242557</v>
      </c>
      <c r="Q43" s="98">
        <f t="shared" si="5"/>
        <v>7.0080105246078874</v>
      </c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</row>
    <row r="44" spans="1:53" ht="16.5" thickBot="1" x14ac:dyDescent="0.3">
      <c r="A44" s="12"/>
      <c r="B44" s="9" t="s">
        <v>133</v>
      </c>
      <c r="G44" s="163">
        <v>-12</v>
      </c>
      <c r="H44" s="163">
        <v>-9</v>
      </c>
      <c r="I44" s="163">
        <v>0</v>
      </c>
      <c r="J44" s="163">
        <f t="shared" ref="J44:K44" si="38">I44+(I44*0.03)</f>
        <v>0</v>
      </c>
      <c r="K44" s="163">
        <f t="shared" si="38"/>
        <v>0</v>
      </c>
      <c r="L44" s="131"/>
      <c r="M44" s="163">
        <f t="shared" si="1"/>
        <v>0</v>
      </c>
      <c r="N44" s="163">
        <f t="shared" si="2"/>
        <v>0</v>
      </c>
      <c r="O44" s="163">
        <f t="shared" si="3"/>
        <v>0</v>
      </c>
      <c r="P44" s="163">
        <f t="shared" si="4"/>
        <v>0</v>
      </c>
      <c r="Q44" s="163">
        <f t="shared" si="5"/>
        <v>0</v>
      </c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</row>
    <row r="45" spans="1:53" s="38" customFormat="1" ht="16.5" thickBot="1" x14ac:dyDescent="0.3">
      <c r="A45" s="12"/>
      <c r="B45" s="38" t="s">
        <v>134</v>
      </c>
      <c r="G45" s="183">
        <v>217</v>
      </c>
      <c r="H45" s="183">
        <v>8619</v>
      </c>
      <c r="I45" s="183">
        <v>-2526</v>
      </c>
      <c r="J45" s="183">
        <f t="shared" ref="J45:K45" si="39">I45+(I45*0.03)</f>
        <v>-2601.7800000000002</v>
      </c>
      <c r="K45" s="183">
        <f t="shared" si="39"/>
        <v>-2679.8334</v>
      </c>
      <c r="L45" s="111"/>
      <c r="M45" s="183">
        <f t="shared" si="1"/>
        <v>-2737.7178014400001</v>
      </c>
      <c r="N45" s="183">
        <f t="shared" si="2"/>
        <v>-2641.6239066094558</v>
      </c>
      <c r="O45" s="183">
        <f t="shared" si="3"/>
        <v>-2810.4236742418002</v>
      </c>
      <c r="P45" s="183">
        <f t="shared" si="4"/>
        <v>-2909.3505875751111</v>
      </c>
      <c r="Q45" s="183">
        <f t="shared" si="5"/>
        <v>-2950.3724308599203</v>
      </c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</row>
    <row r="46" spans="1:53" s="38" customFormat="1" ht="16.5" thickBot="1" x14ac:dyDescent="0.3">
      <c r="A46" s="12"/>
      <c r="B46" s="38" t="s">
        <v>135</v>
      </c>
      <c r="G46" s="183">
        <v>-156</v>
      </c>
      <c r="H46" s="183">
        <v>-174</v>
      </c>
      <c r="I46" s="183">
        <v>-120</v>
      </c>
      <c r="J46" s="183">
        <f t="shared" ref="J46:K46" si="40">I46+(I46*0.03)</f>
        <v>-123.6</v>
      </c>
      <c r="K46" s="183">
        <f t="shared" si="40"/>
        <v>-127.30799999999999</v>
      </c>
      <c r="L46" s="111"/>
      <c r="M46" s="183">
        <f t="shared" si="1"/>
        <v>-130.05785280000001</v>
      </c>
      <c r="N46" s="183">
        <f t="shared" si="2"/>
        <v>-125.49282216672</v>
      </c>
      <c r="O46" s="183">
        <f t="shared" si="3"/>
        <v>-133.51181350317341</v>
      </c>
      <c r="P46" s="183">
        <f t="shared" si="4"/>
        <v>-138.21142933848512</v>
      </c>
      <c r="Q46" s="183">
        <f t="shared" si="5"/>
        <v>-140.16021049215774</v>
      </c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</row>
    <row r="47" spans="1:53" x14ac:dyDescent="0.25">
      <c r="A47" s="12"/>
      <c r="B47" s="9" t="s">
        <v>136</v>
      </c>
      <c r="G47" s="99">
        <v>824</v>
      </c>
      <c r="H47" s="99">
        <v>1630</v>
      </c>
      <c r="I47" s="99">
        <v>69</v>
      </c>
      <c r="J47" s="99">
        <f t="shared" ref="J47:K47" si="41">I47+(I47*0.03)</f>
        <v>71.069999999999993</v>
      </c>
      <c r="K47" s="99">
        <f t="shared" si="41"/>
        <v>73.202099999999987</v>
      </c>
      <c r="L47" s="123"/>
      <c r="M47" s="99">
        <f t="shared" si="1"/>
        <v>74.783265359999987</v>
      </c>
      <c r="N47" s="99">
        <f t="shared" si="2"/>
        <v>72.158372745863986</v>
      </c>
      <c r="O47" s="99">
        <f t="shared" si="3"/>
        <v>76.769292764324703</v>
      </c>
      <c r="P47" s="99">
        <f t="shared" si="4"/>
        <v>79.471571869628931</v>
      </c>
      <c r="Q47" s="99">
        <f t="shared" si="5"/>
        <v>80.592121032990704</v>
      </c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</row>
    <row r="48" spans="1:53" s="34" customFormat="1" x14ac:dyDescent="0.25">
      <c r="A48" s="12"/>
      <c r="B48" s="34" t="s">
        <v>137</v>
      </c>
      <c r="G48" s="98">
        <v>4666</v>
      </c>
      <c r="H48" s="98">
        <v>5490</v>
      </c>
      <c r="I48" s="98">
        <v>7120</v>
      </c>
      <c r="J48" s="98">
        <f t="shared" ref="J48:K48" si="42">I48+(I48*0.03)</f>
        <v>7333.6</v>
      </c>
      <c r="K48" s="98">
        <f t="shared" si="42"/>
        <v>7553.6080000000002</v>
      </c>
      <c r="L48" s="131"/>
      <c r="M48" s="98">
        <f t="shared" si="1"/>
        <v>7716.7659328000009</v>
      </c>
      <c r="N48" s="98">
        <f t="shared" si="2"/>
        <v>7445.9074485587207</v>
      </c>
      <c r="O48" s="98">
        <f t="shared" si="3"/>
        <v>7921.7009345216238</v>
      </c>
      <c r="P48" s="98">
        <f t="shared" si="4"/>
        <v>8200.5448074167834</v>
      </c>
      <c r="Q48" s="98">
        <f t="shared" si="5"/>
        <v>8316.1724892013608</v>
      </c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</row>
    <row r="49" spans="1:53" x14ac:dyDescent="0.25">
      <c r="A49" s="12"/>
      <c r="B49" s="9" t="s">
        <v>138</v>
      </c>
      <c r="G49" s="98">
        <v>5490</v>
      </c>
      <c r="H49" s="98">
        <v>7120</v>
      </c>
      <c r="I49" s="98">
        <v>7189</v>
      </c>
      <c r="J49" s="98">
        <f t="shared" ref="J49:K49" si="43">I49+(I49*0.03)</f>
        <v>7404.67</v>
      </c>
      <c r="K49" s="98">
        <f t="shared" si="43"/>
        <v>7626.8100999999997</v>
      </c>
      <c r="L49" s="123"/>
      <c r="M49" s="98">
        <f t="shared" si="1"/>
        <v>7791.5491981599998</v>
      </c>
      <c r="N49" s="98">
        <f t="shared" si="2"/>
        <v>7518.0658213045836</v>
      </c>
      <c r="O49" s="98">
        <f t="shared" si="3"/>
        <v>7998.4702272859467</v>
      </c>
      <c r="P49" s="98">
        <f t="shared" si="4"/>
        <v>8280.0163792864114</v>
      </c>
      <c r="Q49" s="98">
        <f t="shared" si="5"/>
        <v>8396.7646102343497</v>
      </c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</row>
    <row r="50" spans="1:53" x14ac:dyDescent="0.25">
      <c r="A50" s="12"/>
      <c r="B50" s="9" t="s">
        <v>139</v>
      </c>
      <c r="G50" s="98">
        <v>6</v>
      </c>
      <c r="H50" s="98" t="s">
        <v>72</v>
      </c>
      <c r="I50" s="98">
        <v>0</v>
      </c>
      <c r="J50" s="98">
        <f t="shared" ref="J50:K50" si="44">I50+(I50*0.03)</f>
        <v>0</v>
      </c>
      <c r="K50" s="98">
        <f t="shared" si="44"/>
        <v>0</v>
      </c>
      <c r="L50" s="123"/>
      <c r="M50" s="98">
        <f t="shared" si="1"/>
        <v>0</v>
      </c>
      <c r="N50" s="98">
        <f t="shared" si="2"/>
        <v>0</v>
      </c>
      <c r="O50" s="98">
        <f t="shared" si="3"/>
        <v>0</v>
      </c>
      <c r="P50" s="98">
        <f t="shared" si="4"/>
        <v>0</v>
      </c>
      <c r="Q50" s="98">
        <f t="shared" si="5"/>
        <v>0</v>
      </c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</row>
    <row r="51" spans="1:53" ht="16.5" thickBot="1" x14ac:dyDescent="0.3">
      <c r="A51" s="12"/>
      <c r="B51" s="9" t="s">
        <v>140</v>
      </c>
      <c r="G51" s="163">
        <v>255</v>
      </c>
      <c r="H51" s="163">
        <v>45</v>
      </c>
      <c r="I51" s="163">
        <v>32</v>
      </c>
      <c r="J51" s="163">
        <f t="shared" ref="J51:K51" si="45">I51+(I51*0.03)</f>
        <v>32.96</v>
      </c>
      <c r="K51" s="163">
        <f t="shared" si="45"/>
        <v>33.948799999999999</v>
      </c>
      <c r="L51" s="131"/>
      <c r="M51" s="163">
        <f t="shared" si="1"/>
        <v>34.682094079999999</v>
      </c>
      <c r="N51" s="163">
        <f t="shared" si="2"/>
        <v>33.464752577791998</v>
      </c>
      <c r="O51" s="163">
        <f t="shared" si="3"/>
        <v>35.603150267512909</v>
      </c>
      <c r="P51" s="163">
        <f t="shared" si="4"/>
        <v>36.856381156929359</v>
      </c>
      <c r="Q51" s="163">
        <f t="shared" si="5"/>
        <v>37.376056131242066</v>
      </c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</row>
    <row r="52" spans="1:53" s="35" customFormat="1" ht="16.5" thickBot="1" x14ac:dyDescent="0.3">
      <c r="A52" s="12"/>
      <c r="B52" s="35" t="s">
        <v>141</v>
      </c>
      <c r="G52" s="183">
        <v>5229</v>
      </c>
      <c r="H52" s="183">
        <v>7075</v>
      </c>
      <c r="I52" s="183">
        <v>7157</v>
      </c>
      <c r="J52" s="183">
        <f t="shared" ref="J52:K52" si="46">I52+(I52*0.03)</f>
        <v>7371.71</v>
      </c>
      <c r="K52" s="183">
        <f t="shared" si="46"/>
        <v>7592.8613000000005</v>
      </c>
      <c r="L52" s="180"/>
      <c r="M52" s="183">
        <f t="shared" si="1"/>
        <v>7756.8671040800009</v>
      </c>
      <c r="N52" s="183">
        <f t="shared" si="2"/>
        <v>7484.6010687267926</v>
      </c>
      <c r="O52" s="183">
        <f t="shared" si="3"/>
        <v>7962.8670770184353</v>
      </c>
      <c r="P52" s="183">
        <f t="shared" si="4"/>
        <v>8243.1599981294839</v>
      </c>
      <c r="Q52" s="183">
        <f t="shared" si="5"/>
        <v>8359.3885541031104</v>
      </c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</row>
    <row r="53" spans="1:53" x14ac:dyDescent="0.25">
      <c r="A53" s="12"/>
      <c r="B53" s="9" t="s">
        <v>45</v>
      </c>
      <c r="G53" s="99"/>
      <c r="H53" s="99"/>
      <c r="I53" s="99"/>
      <c r="J53" s="99"/>
      <c r="K53" s="99"/>
      <c r="L53" s="123"/>
      <c r="M53" s="99"/>
      <c r="N53" s="99"/>
      <c r="O53" s="99"/>
      <c r="P53" s="99"/>
      <c r="Q53" s="99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</row>
    <row r="54" spans="1:53" x14ac:dyDescent="0.25">
      <c r="A54" s="12"/>
      <c r="B54" s="9" t="s">
        <v>142</v>
      </c>
      <c r="G54" s="98">
        <v>1076</v>
      </c>
      <c r="H54" s="98">
        <v>1057</v>
      </c>
      <c r="I54" s="98">
        <v>1157</v>
      </c>
      <c r="J54" s="98">
        <f t="shared" ref="J54:K54" si="47">I54+(I54*0.03)</f>
        <v>1191.71</v>
      </c>
      <c r="K54" s="98">
        <f t="shared" si="47"/>
        <v>1227.4612999999999</v>
      </c>
      <c r="L54" s="123"/>
      <c r="M54" s="98">
        <f t="shared" si="1"/>
        <v>1253.97446408</v>
      </c>
      <c r="N54" s="98">
        <f t="shared" si="2"/>
        <v>1209.959960390792</v>
      </c>
      <c r="O54" s="98">
        <f t="shared" si="3"/>
        <v>1287.2764018597638</v>
      </c>
      <c r="P54" s="98">
        <f t="shared" si="4"/>
        <v>1332.5885312052274</v>
      </c>
      <c r="Q54" s="98">
        <f t="shared" si="5"/>
        <v>1351.378029495221</v>
      </c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</row>
    <row r="55" spans="1:53" x14ac:dyDescent="0.25">
      <c r="A55" s="12"/>
      <c r="B55" s="9" t="s">
        <v>143</v>
      </c>
      <c r="G55" s="98">
        <v>2024</v>
      </c>
      <c r="H55" s="98">
        <v>2060</v>
      </c>
      <c r="I55" s="98">
        <v>4096</v>
      </c>
      <c r="J55" s="98">
        <f t="shared" ref="J55:K55" si="48">I55+(I55*0.03)</f>
        <v>4218.88</v>
      </c>
      <c r="K55" s="98">
        <f t="shared" si="48"/>
        <v>4345.4463999999998</v>
      </c>
      <c r="L55" s="123"/>
      <c r="M55" s="98">
        <f t="shared" si="1"/>
        <v>4439.3080422399998</v>
      </c>
      <c r="N55" s="98">
        <f t="shared" si="2"/>
        <v>4283.4883299573758</v>
      </c>
      <c r="O55" s="98">
        <f t="shared" si="3"/>
        <v>4557.2032342416524</v>
      </c>
      <c r="P55" s="98">
        <f t="shared" si="4"/>
        <v>4717.616788086958</v>
      </c>
      <c r="Q55" s="98">
        <f t="shared" si="5"/>
        <v>4784.1351847989845</v>
      </c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</row>
    <row r="56" spans="1:53" x14ac:dyDescent="0.25">
      <c r="A56" s="12"/>
      <c r="B56" s="9" t="s">
        <v>46</v>
      </c>
      <c r="G56" s="98"/>
      <c r="H56" s="98"/>
      <c r="I56" s="98"/>
      <c r="J56" s="98"/>
      <c r="K56" s="98"/>
      <c r="L56" s="123"/>
      <c r="M56" s="98"/>
      <c r="N56" s="98"/>
      <c r="O56" s="98"/>
      <c r="P56" s="98"/>
      <c r="Q56" s="98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</row>
    <row r="57" spans="1:53" s="36" customFormat="1" ht="16.5" thickBot="1" x14ac:dyDescent="0.3">
      <c r="A57" s="12"/>
      <c r="B57" s="36" t="s">
        <v>144</v>
      </c>
      <c r="G57" s="105" t="s">
        <v>145</v>
      </c>
      <c r="H57" s="105">
        <v>250</v>
      </c>
      <c r="I57" s="105">
        <v>0</v>
      </c>
      <c r="J57" s="105">
        <f t="shared" ref="J57:K57" si="49">I57+(I57*0.03)</f>
        <v>0</v>
      </c>
      <c r="K57" s="105">
        <f t="shared" si="49"/>
        <v>0</v>
      </c>
      <c r="L57" s="131"/>
      <c r="M57" s="105">
        <f t="shared" si="1"/>
        <v>0</v>
      </c>
      <c r="N57" s="105">
        <f t="shared" si="2"/>
        <v>0</v>
      </c>
      <c r="O57" s="105">
        <f t="shared" si="3"/>
        <v>0</v>
      </c>
      <c r="P57" s="105">
        <f t="shared" si="4"/>
        <v>0</v>
      </c>
      <c r="Q57" s="105">
        <f t="shared" si="5"/>
        <v>0</v>
      </c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</row>
    <row r="58" spans="1:53" x14ac:dyDescent="0.25">
      <c r="A58" s="12"/>
      <c r="L58" s="12"/>
      <c r="M58" s="70"/>
      <c r="N58" s="70"/>
      <c r="O58" s="70"/>
      <c r="P58" s="70"/>
      <c r="Q58" s="70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</row>
    <row r="59" spans="1:53" x14ac:dyDescent="0.25">
      <c r="L59" s="12"/>
      <c r="M59" s="70"/>
      <c r="N59" s="70"/>
      <c r="O59" s="70"/>
      <c r="P59" s="70"/>
      <c r="Q59" s="70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</row>
    <row r="60" spans="1:53" x14ac:dyDescent="0.25">
      <c r="L60" s="12"/>
      <c r="M60" s="70"/>
      <c r="N60" s="70"/>
      <c r="O60" s="70"/>
      <c r="P60" s="70"/>
      <c r="Q60" s="70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</row>
    <row r="61" spans="1:53" x14ac:dyDescent="0.25">
      <c r="L61" s="12"/>
      <c r="M61" s="70"/>
      <c r="N61" s="70"/>
      <c r="O61" s="70"/>
      <c r="P61" s="70"/>
      <c r="Q61" s="70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</row>
    <row r="62" spans="1:53" x14ac:dyDescent="0.25">
      <c r="L62" s="12"/>
      <c r="M62" s="70"/>
      <c r="N62" s="70"/>
      <c r="O62" s="70"/>
      <c r="P62" s="70"/>
      <c r="Q62" s="70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</row>
    <row r="63" spans="1:53" x14ac:dyDescent="0.25">
      <c r="L63" s="12"/>
      <c r="M63" s="70"/>
      <c r="N63" s="70"/>
      <c r="O63" s="70"/>
      <c r="P63" s="70"/>
      <c r="Q63" s="70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</row>
    <row r="64" spans="1:53" x14ac:dyDescent="0.25">
      <c r="L64" s="12"/>
      <c r="M64" s="70"/>
      <c r="N64" s="70"/>
      <c r="O64" s="70"/>
      <c r="P64" s="70"/>
      <c r="Q64" s="70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</row>
    <row r="65" spans="12:53" x14ac:dyDescent="0.25">
      <c r="L65" s="12"/>
      <c r="M65" s="70"/>
      <c r="N65" s="70"/>
      <c r="O65" s="70"/>
      <c r="P65" s="70"/>
      <c r="Q65" s="70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</row>
    <row r="66" spans="12:53" x14ac:dyDescent="0.25">
      <c r="L66" s="12"/>
      <c r="M66" s="70"/>
      <c r="N66" s="70"/>
      <c r="O66" s="70"/>
      <c r="P66" s="70"/>
      <c r="Q66" s="70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</row>
    <row r="67" spans="12:53" x14ac:dyDescent="0.25">
      <c r="L67" s="12"/>
      <c r="M67" s="70"/>
      <c r="N67" s="70"/>
      <c r="O67" s="70"/>
      <c r="P67" s="70"/>
      <c r="Q67" s="70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</row>
    <row r="68" spans="12:53" x14ac:dyDescent="0.25">
      <c r="L68" s="12"/>
      <c r="M68" s="70"/>
      <c r="N68" s="70"/>
      <c r="O68" s="70"/>
      <c r="P68" s="70"/>
      <c r="Q68" s="70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</row>
    <row r="69" spans="12:53" x14ac:dyDescent="0.25">
      <c r="L69" s="12"/>
      <c r="M69" s="70"/>
      <c r="N69" s="70"/>
      <c r="O69" s="70"/>
      <c r="P69" s="70"/>
      <c r="Q69" s="70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</row>
    <row r="70" spans="12:53" x14ac:dyDescent="0.25">
      <c r="L70" s="12"/>
      <c r="M70" s="70"/>
      <c r="N70" s="70"/>
      <c r="O70" s="70"/>
      <c r="P70" s="70"/>
      <c r="Q70" s="70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</row>
    <row r="71" spans="12:53" x14ac:dyDescent="0.25">
      <c r="L71" s="12"/>
      <c r="M71" s="70"/>
      <c r="N71" s="70"/>
      <c r="O71" s="70"/>
      <c r="P71" s="70"/>
      <c r="Q71" s="70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</row>
    <row r="72" spans="12:53" x14ac:dyDescent="0.25">
      <c r="L72" s="12"/>
      <c r="M72" s="70"/>
      <c r="N72" s="70"/>
      <c r="O72" s="70"/>
      <c r="P72" s="70"/>
      <c r="Q72" s="70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</row>
    <row r="73" spans="12:53" x14ac:dyDescent="0.25">
      <c r="L73" s="12"/>
      <c r="M73" s="70"/>
      <c r="N73" s="70"/>
      <c r="O73" s="70"/>
      <c r="P73" s="70"/>
      <c r="Q73" s="70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</row>
    <row r="74" spans="12:53" x14ac:dyDescent="0.25">
      <c r="L74" s="12"/>
      <c r="M74" s="70"/>
      <c r="N74" s="70"/>
      <c r="O74" s="70"/>
      <c r="P74" s="70"/>
      <c r="Q74" s="70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</row>
    <row r="75" spans="12:53" x14ac:dyDescent="0.25">
      <c r="L75" s="12"/>
      <c r="M75" s="70"/>
      <c r="N75" s="70"/>
      <c r="O75" s="70"/>
      <c r="P75" s="70"/>
      <c r="Q75" s="70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</row>
    <row r="76" spans="12:53" x14ac:dyDescent="0.25">
      <c r="L76" s="12"/>
      <c r="M76" s="70"/>
      <c r="N76" s="70"/>
      <c r="O76" s="70"/>
      <c r="P76" s="70"/>
      <c r="Q76" s="70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</row>
    <row r="77" spans="12:53" x14ac:dyDescent="0.25">
      <c r="L77" s="12"/>
      <c r="M77" s="70"/>
      <c r="N77" s="70"/>
      <c r="O77" s="70"/>
      <c r="P77" s="70"/>
      <c r="Q77" s="70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</row>
    <row r="78" spans="12:53" x14ac:dyDescent="0.25"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</row>
    <row r="79" spans="12:53" x14ac:dyDescent="0.25"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</row>
    <row r="80" spans="12:53" x14ac:dyDescent="0.25"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</row>
    <row r="81" spans="12:53" x14ac:dyDescent="0.25"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</row>
    <row r="82" spans="12:53" x14ac:dyDescent="0.25"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</row>
    <row r="83" spans="12:53" x14ac:dyDescent="0.25"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</row>
    <row r="84" spans="12:53" x14ac:dyDescent="0.25"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</row>
    <row r="85" spans="12:53" x14ac:dyDescent="0.25"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</row>
    <row r="86" spans="12:53" x14ac:dyDescent="0.25"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</row>
    <row r="87" spans="12:53" x14ac:dyDescent="0.25"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</row>
    <row r="88" spans="12:53" x14ac:dyDescent="0.25"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</row>
    <row r="89" spans="12:53" x14ac:dyDescent="0.25"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</row>
    <row r="90" spans="12:53" x14ac:dyDescent="0.25"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</row>
    <row r="91" spans="12:53" x14ac:dyDescent="0.25"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</row>
    <row r="92" spans="12:53" x14ac:dyDescent="0.25"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</row>
    <row r="93" spans="12:53" x14ac:dyDescent="0.25"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</row>
    <row r="94" spans="12:53" x14ac:dyDescent="0.25"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</row>
    <row r="95" spans="12:53" x14ac:dyDescent="0.25"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</row>
    <row r="96" spans="12:53" x14ac:dyDescent="0.25"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</row>
    <row r="97" spans="12:53" x14ac:dyDescent="0.25"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</row>
    <row r="98" spans="12:53" x14ac:dyDescent="0.25"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</row>
    <row r="99" spans="12:53" x14ac:dyDescent="0.25"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</row>
    <row r="100" spans="12:53" x14ac:dyDescent="0.25"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</row>
    <row r="101" spans="12:53" x14ac:dyDescent="0.25"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</row>
    <row r="102" spans="12:53" x14ac:dyDescent="0.25"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</row>
    <row r="103" spans="12:53" x14ac:dyDescent="0.25"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</row>
    <row r="104" spans="12:53" x14ac:dyDescent="0.25"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</row>
    <row r="105" spans="12:53" x14ac:dyDescent="0.25"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</row>
    <row r="106" spans="12:53" x14ac:dyDescent="0.25"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</row>
    <row r="107" spans="12:53" x14ac:dyDescent="0.25"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</row>
    <row r="108" spans="12:53" x14ac:dyDescent="0.25"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</row>
    <row r="109" spans="12:53" x14ac:dyDescent="0.25"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</row>
    <row r="110" spans="12:53" x14ac:dyDescent="0.25"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</row>
    <row r="111" spans="12:53" x14ac:dyDescent="0.25"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</row>
    <row r="112" spans="12:53" x14ac:dyDescent="0.25"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</row>
    <row r="113" spans="12:53" x14ac:dyDescent="0.25"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</row>
    <row r="114" spans="12:53" x14ac:dyDescent="0.25"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</row>
    <row r="115" spans="12:53" x14ac:dyDescent="0.25"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</row>
    <row r="116" spans="12:53" x14ac:dyDescent="0.25"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</row>
    <row r="117" spans="12:53" x14ac:dyDescent="0.25"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</row>
    <row r="118" spans="12:53" x14ac:dyDescent="0.25"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</row>
    <row r="119" spans="12:53" x14ac:dyDescent="0.25"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</row>
    <row r="120" spans="12:53" x14ac:dyDescent="0.25"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</row>
    <row r="121" spans="12:53" x14ac:dyDescent="0.25"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</row>
    <row r="122" spans="12:53" x14ac:dyDescent="0.25"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</row>
    <row r="123" spans="12:53" x14ac:dyDescent="0.25"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</row>
    <row r="124" spans="12:53" x14ac:dyDescent="0.25"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</row>
    <row r="125" spans="12:53" x14ac:dyDescent="0.25"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</row>
    <row r="126" spans="12:53" x14ac:dyDescent="0.25"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</row>
    <row r="127" spans="12:53" x14ac:dyDescent="0.25"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</row>
    <row r="128" spans="12:53" x14ac:dyDescent="0.25"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</row>
    <row r="129" spans="12:53" x14ac:dyDescent="0.25"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</row>
    <row r="130" spans="12:53" x14ac:dyDescent="0.25"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</row>
    <row r="131" spans="12:53" x14ac:dyDescent="0.25"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</row>
    <row r="132" spans="12:53" x14ac:dyDescent="0.25"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</row>
    <row r="133" spans="12:53" x14ac:dyDescent="0.25"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</row>
    <row r="134" spans="12:53" x14ac:dyDescent="0.25"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</row>
    <row r="135" spans="12:53" x14ac:dyDescent="0.25"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</row>
    <row r="136" spans="12:53" x14ac:dyDescent="0.25"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</row>
    <row r="137" spans="12:53" x14ac:dyDescent="0.25"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</row>
    <row r="138" spans="12:53" x14ac:dyDescent="0.25"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</row>
    <row r="139" spans="12:53" x14ac:dyDescent="0.25"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</row>
    <row r="140" spans="12:53" x14ac:dyDescent="0.25"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</row>
    <row r="141" spans="12:53" x14ac:dyDescent="0.25"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</row>
    <row r="142" spans="12:53" x14ac:dyDescent="0.25"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</row>
    <row r="143" spans="12:53" x14ac:dyDescent="0.25"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</row>
    <row r="144" spans="12:53" x14ac:dyDescent="0.25"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</row>
    <row r="145" spans="12:53" x14ac:dyDescent="0.25"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</row>
    <row r="146" spans="12:53" x14ac:dyDescent="0.25"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</row>
    <row r="147" spans="12:53" x14ac:dyDescent="0.25"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</row>
    <row r="148" spans="12:53" x14ac:dyDescent="0.25"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</row>
    <row r="149" spans="12:53" x14ac:dyDescent="0.25"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</row>
    <row r="150" spans="12:53" x14ac:dyDescent="0.25"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</row>
    <row r="151" spans="12:53" x14ac:dyDescent="0.25"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</row>
    <row r="152" spans="12:53" x14ac:dyDescent="0.25"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</row>
    <row r="153" spans="12:53" x14ac:dyDescent="0.25"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</row>
    <row r="154" spans="12:53" x14ac:dyDescent="0.25"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</row>
    <row r="155" spans="12:53" x14ac:dyDescent="0.25"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</row>
    <row r="156" spans="12:53" x14ac:dyDescent="0.25"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</row>
    <row r="157" spans="12:53" x14ac:dyDescent="0.25"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</row>
    <row r="158" spans="12:53" x14ac:dyDescent="0.25"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</row>
    <row r="159" spans="12:53" x14ac:dyDescent="0.25"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</row>
    <row r="160" spans="12:53" x14ac:dyDescent="0.25"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</row>
    <row r="161" spans="12:53" x14ac:dyDescent="0.25"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</row>
    <row r="162" spans="12:53" x14ac:dyDescent="0.25"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</row>
    <row r="163" spans="12:53" x14ac:dyDescent="0.25"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</row>
    <row r="164" spans="12:53" x14ac:dyDescent="0.25"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</row>
    <row r="165" spans="12:53" x14ac:dyDescent="0.25"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</row>
    <row r="166" spans="12:53" x14ac:dyDescent="0.25"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</row>
    <row r="167" spans="12:53" x14ac:dyDescent="0.25"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</row>
    <row r="168" spans="12:53" x14ac:dyDescent="0.25"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</row>
    <row r="169" spans="12:53" x14ac:dyDescent="0.25"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</row>
    <row r="170" spans="12:53" x14ac:dyDescent="0.25"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</row>
    <row r="171" spans="12:53" x14ac:dyDescent="0.25"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</row>
    <row r="172" spans="12:53" x14ac:dyDescent="0.25"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</row>
    <row r="173" spans="12:53" x14ac:dyDescent="0.25"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</row>
    <row r="174" spans="12:53" x14ac:dyDescent="0.25"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</row>
    <row r="175" spans="12:53" x14ac:dyDescent="0.25"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</row>
    <row r="176" spans="12:53" x14ac:dyDescent="0.25"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</row>
    <row r="177" spans="12:53" x14ac:dyDescent="0.25"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</row>
    <row r="178" spans="12:53" x14ac:dyDescent="0.25"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</row>
    <row r="179" spans="12:53" x14ac:dyDescent="0.25"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</row>
    <row r="180" spans="12:53" x14ac:dyDescent="0.25"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</row>
    <row r="181" spans="12:53" x14ac:dyDescent="0.25"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</row>
    <row r="182" spans="12:53" x14ac:dyDescent="0.25"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</row>
    <row r="183" spans="12:53" x14ac:dyDescent="0.25"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</row>
    <row r="184" spans="12:53" x14ac:dyDescent="0.25"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</row>
    <row r="185" spans="12:53" x14ac:dyDescent="0.25"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</row>
    <row r="186" spans="12:53" x14ac:dyDescent="0.25"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</row>
    <row r="187" spans="12:53" x14ac:dyDescent="0.25"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</row>
    <row r="188" spans="12:53" x14ac:dyDescent="0.25"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</row>
    <row r="189" spans="12:53" x14ac:dyDescent="0.25"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</row>
    <row r="190" spans="12:53" x14ac:dyDescent="0.25"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</row>
    <row r="191" spans="12:53" x14ac:dyDescent="0.25"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</row>
    <row r="192" spans="12:53" x14ac:dyDescent="0.25"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</row>
    <row r="193" spans="14:53" x14ac:dyDescent="0.25"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</row>
    <row r="194" spans="14:53" x14ac:dyDescent="0.25"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</row>
    <row r="195" spans="14:53" x14ac:dyDescent="0.25"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</row>
    <row r="196" spans="14:53" x14ac:dyDescent="0.25"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</row>
    <row r="197" spans="14:53" x14ac:dyDescent="0.25"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</row>
    <row r="198" spans="14:53" x14ac:dyDescent="0.25"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</row>
    <row r="199" spans="14:53" x14ac:dyDescent="0.25"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</row>
    <row r="200" spans="14:53" x14ac:dyDescent="0.25"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</row>
    <row r="201" spans="14:53" x14ac:dyDescent="0.25"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</row>
    <row r="202" spans="14:53" x14ac:dyDescent="0.25"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</row>
    <row r="203" spans="14:53" x14ac:dyDescent="0.25"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</row>
    <row r="204" spans="14:53" x14ac:dyDescent="0.25"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</row>
    <row r="205" spans="14:53" x14ac:dyDescent="0.25"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</row>
    <row r="206" spans="14:53" x14ac:dyDescent="0.25"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</row>
    <row r="207" spans="14:53" x14ac:dyDescent="0.25"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</row>
    <row r="208" spans="14:53" x14ac:dyDescent="0.25"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</row>
    <row r="209" spans="14:53" x14ac:dyDescent="0.25"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</row>
    <row r="210" spans="14:53" x14ac:dyDescent="0.25"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</row>
    <row r="211" spans="14:53" x14ac:dyDescent="0.25"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</row>
    <row r="212" spans="14:53" x14ac:dyDescent="0.25"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</row>
    <row r="213" spans="14:53" x14ac:dyDescent="0.25"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</row>
    <row r="214" spans="14:53" x14ac:dyDescent="0.25"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</row>
    <row r="215" spans="14:53" x14ac:dyDescent="0.25"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</row>
    <row r="216" spans="14:53" x14ac:dyDescent="0.25"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</row>
    <row r="217" spans="14:53" x14ac:dyDescent="0.25"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</row>
    <row r="218" spans="14:53" x14ac:dyDescent="0.25"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</row>
    <row r="219" spans="14:53" x14ac:dyDescent="0.25"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</row>
    <row r="220" spans="14:53" x14ac:dyDescent="0.25"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</row>
    <row r="221" spans="14:53" x14ac:dyDescent="0.25"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</row>
    <row r="222" spans="14:53" x14ac:dyDescent="0.25"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</row>
    <row r="223" spans="14:53" x14ac:dyDescent="0.25"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</row>
    <row r="224" spans="14:53" x14ac:dyDescent="0.25"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</row>
    <row r="225" spans="14:53" x14ac:dyDescent="0.25"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</row>
    <row r="226" spans="14:53" x14ac:dyDescent="0.25"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</row>
    <row r="227" spans="14:53" x14ac:dyDescent="0.25"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</row>
    <row r="228" spans="14:53" x14ac:dyDescent="0.25"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</row>
    <row r="229" spans="14:53" x14ac:dyDescent="0.25"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</row>
    <row r="230" spans="14:53" x14ac:dyDescent="0.25"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</row>
    <row r="231" spans="14:53" x14ac:dyDescent="0.25"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</row>
    <row r="232" spans="14:53" x14ac:dyDescent="0.25"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</row>
    <row r="233" spans="14:53" x14ac:dyDescent="0.25"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</row>
    <row r="234" spans="14:53" x14ac:dyDescent="0.25"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</row>
    <row r="235" spans="14:53" x14ac:dyDescent="0.25"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</row>
    <row r="236" spans="14:53" x14ac:dyDescent="0.25"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</row>
    <row r="237" spans="14:53" x14ac:dyDescent="0.25"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</row>
    <row r="238" spans="14:53" x14ac:dyDescent="0.25"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</row>
    <row r="239" spans="14:53" x14ac:dyDescent="0.25"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</row>
    <row r="240" spans="14:53" x14ac:dyDescent="0.25"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</row>
    <row r="241" spans="14:53" x14ac:dyDescent="0.25"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</row>
    <row r="242" spans="14:53" x14ac:dyDescent="0.25"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</row>
    <row r="243" spans="14:53" x14ac:dyDescent="0.25"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</row>
    <row r="244" spans="14:53" x14ac:dyDescent="0.25"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</row>
    <row r="245" spans="14:53" x14ac:dyDescent="0.25"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</row>
    <row r="246" spans="14:53" x14ac:dyDescent="0.25"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</row>
    <row r="247" spans="14:53" x14ac:dyDescent="0.25"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</row>
    <row r="248" spans="14:53" x14ac:dyDescent="0.25"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</row>
    <row r="249" spans="14:53" x14ac:dyDescent="0.25"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</row>
    <row r="250" spans="14:53" x14ac:dyDescent="0.25"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</row>
    <row r="251" spans="14:53" x14ac:dyDescent="0.25"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</row>
    <row r="252" spans="14:53" x14ac:dyDescent="0.25"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</row>
    <row r="253" spans="14:53" x14ac:dyDescent="0.25"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</row>
    <row r="254" spans="14:53" x14ac:dyDescent="0.25"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</row>
    <row r="255" spans="14:53" x14ac:dyDescent="0.25"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</row>
    <row r="256" spans="14:53" x14ac:dyDescent="0.25"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</row>
    <row r="257" spans="14:53" x14ac:dyDescent="0.25"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</row>
    <row r="258" spans="14:53" x14ac:dyDescent="0.25"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</row>
    <row r="259" spans="14:53" x14ac:dyDescent="0.25"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</row>
    <row r="260" spans="14:53" x14ac:dyDescent="0.25"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</row>
    <row r="261" spans="14:53" x14ac:dyDescent="0.25"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</row>
    <row r="262" spans="14:53" x14ac:dyDescent="0.25"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</row>
    <row r="263" spans="14:53" x14ac:dyDescent="0.25"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</row>
    <row r="264" spans="14:53" x14ac:dyDescent="0.25"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</row>
    <row r="265" spans="14:53" x14ac:dyDescent="0.25"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</row>
    <row r="266" spans="14:53" x14ac:dyDescent="0.25"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</row>
    <row r="267" spans="14:53" x14ac:dyDescent="0.25"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</row>
    <row r="268" spans="14:53" x14ac:dyDescent="0.25"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</row>
    <row r="269" spans="14:53" x14ac:dyDescent="0.25"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</row>
    <row r="270" spans="14:53" x14ac:dyDescent="0.25"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</row>
    <row r="271" spans="14:53" x14ac:dyDescent="0.25"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</row>
    <row r="272" spans="14:53" x14ac:dyDescent="0.25"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</row>
    <row r="273" spans="14:53" x14ac:dyDescent="0.25"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</row>
    <row r="274" spans="14:53" x14ac:dyDescent="0.25"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</row>
    <row r="275" spans="14:53" x14ac:dyDescent="0.25"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</row>
    <row r="276" spans="14:53" x14ac:dyDescent="0.25"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</row>
    <row r="277" spans="14:53" x14ac:dyDescent="0.25"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</row>
    <row r="278" spans="14:53" x14ac:dyDescent="0.25"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</row>
    <row r="279" spans="14:53" x14ac:dyDescent="0.25"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</row>
    <row r="280" spans="14:53" x14ac:dyDescent="0.25"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</row>
    <row r="281" spans="14:53" x14ac:dyDescent="0.25"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</row>
    <row r="282" spans="14:53" x14ac:dyDescent="0.25"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</row>
    <row r="283" spans="14:53" x14ac:dyDescent="0.25"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</row>
    <row r="284" spans="14:53" x14ac:dyDescent="0.25"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</row>
    <row r="285" spans="14:53" x14ac:dyDescent="0.25"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</row>
    <row r="286" spans="14:53" x14ac:dyDescent="0.25"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</row>
    <row r="287" spans="14:53" x14ac:dyDescent="0.25"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</row>
    <row r="288" spans="14:53" x14ac:dyDescent="0.25"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</row>
    <row r="289" spans="14:53" x14ac:dyDescent="0.25"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</row>
    <row r="290" spans="14:53" x14ac:dyDescent="0.25"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</row>
    <row r="291" spans="14:53" x14ac:dyDescent="0.25"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</row>
    <row r="292" spans="14:53" x14ac:dyDescent="0.25"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</row>
    <row r="293" spans="14:53" x14ac:dyDescent="0.25"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</row>
    <row r="294" spans="14:53" x14ac:dyDescent="0.25"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</row>
    <row r="295" spans="14:53" x14ac:dyDescent="0.25"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</row>
    <row r="296" spans="14:53" x14ac:dyDescent="0.25"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</row>
    <row r="297" spans="14:53" x14ac:dyDescent="0.25"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</row>
    <row r="298" spans="14:53" x14ac:dyDescent="0.25"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</row>
    <row r="299" spans="14:53" x14ac:dyDescent="0.25"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</row>
    <row r="300" spans="14:53" x14ac:dyDescent="0.25"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</row>
    <row r="301" spans="14:53" x14ac:dyDescent="0.25"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</row>
    <row r="302" spans="14:53" x14ac:dyDescent="0.25"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</row>
    <row r="303" spans="14:53" x14ac:dyDescent="0.25"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</row>
    <row r="304" spans="14:53" x14ac:dyDescent="0.25"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</row>
    <row r="305" spans="14:53" x14ac:dyDescent="0.25"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</row>
    <row r="306" spans="14:53" x14ac:dyDescent="0.25"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</row>
    <row r="307" spans="14:53" x14ac:dyDescent="0.25"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</row>
    <row r="308" spans="14:53" x14ac:dyDescent="0.25"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</row>
    <row r="309" spans="14:53" x14ac:dyDescent="0.25"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</row>
    <row r="310" spans="14:53" x14ac:dyDescent="0.25"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</row>
    <row r="311" spans="14:53" x14ac:dyDescent="0.25"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</row>
    <row r="312" spans="14:53" x14ac:dyDescent="0.25"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</row>
    <row r="313" spans="14:53" x14ac:dyDescent="0.25"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</row>
    <row r="314" spans="14:53" x14ac:dyDescent="0.25"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</row>
    <row r="315" spans="14:53" x14ac:dyDescent="0.25"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</row>
    <row r="316" spans="14:53" x14ac:dyDescent="0.25"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</row>
    <row r="317" spans="14:53" x14ac:dyDescent="0.25"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</row>
    <row r="318" spans="14:53" x14ac:dyDescent="0.25"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</row>
    <row r="319" spans="14:53" x14ac:dyDescent="0.25"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</row>
    <row r="320" spans="14:53" x14ac:dyDescent="0.25"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</row>
    <row r="321" spans="14:53" x14ac:dyDescent="0.25"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</row>
    <row r="322" spans="14:53" x14ac:dyDescent="0.25"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</row>
    <row r="323" spans="14:53" x14ac:dyDescent="0.25"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</row>
    <row r="324" spans="14:53" x14ac:dyDescent="0.25"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</row>
    <row r="325" spans="14:53" x14ac:dyDescent="0.25"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</row>
    <row r="326" spans="14:53" x14ac:dyDescent="0.25"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</row>
    <row r="327" spans="14:53" x14ac:dyDescent="0.25"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</row>
    <row r="328" spans="14:53" x14ac:dyDescent="0.25"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</row>
    <row r="329" spans="14:53" x14ac:dyDescent="0.25"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</row>
    <row r="330" spans="14:53" x14ac:dyDescent="0.25"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</row>
    <row r="331" spans="14:53" x14ac:dyDescent="0.25"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</row>
    <row r="332" spans="14:53" x14ac:dyDescent="0.25"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</row>
    <row r="333" spans="14:53" x14ac:dyDescent="0.25"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</row>
    <row r="334" spans="14:53" x14ac:dyDescent="0.25"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</row>
    <row r="335" spans="14:53" x14ac:dyDescent="0.25"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</row>
    <row r="336" spans="14:53" x14ac:dyDescent="0.25"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</row>
    <row r="337" spans="14:53" x14ac:dyDescent="0.25"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</row>
    <row r="338" spans="14:53" x14ac:dyDescent="0.25"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</row>
    <row r="339" spans="14:53" x14ac:dyDescent="0.25"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</row>
    <row r="340" spans="14:53" x14ac:dyDescent="0.25"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</row>
    <row r="341" spans="14:53" x14ac:dyDescent="0.25"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</row>
    <row r="342" spans="14:53" x14ac:dyDescent="0.25"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</row>
    <row r="343" spans="14:53" x14ac:dyDescent="0.25"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</row>
    <row r="344" spans="14:53" x14ac:dyDescent="0.25"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</row>
    <row r="345" spans="14:53" x14ac:dyDescent="0.25"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</row>
    <row r="346" spans="14:53" x14ac:dyDescent="0.25"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</row>
    <row r="347" spans="14:53" x14ac:dyDescent="0.25"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</row>
    <row r="348" spans="14:53" x14ac:dyDescent="0.25"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</row>
    <row r="349" spans="14:53" x14ac:dyDescent="0.25"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8AD52-3727-4CB4-957E-98FBDE885C20}">
  <dimension ref="A1:AO39"/>
  <sheetViews>
    <sheetView zoomScale="70" zoomScaleNormal="70" workbookViewId="0">
      <selection sqref="A1:XFD1048576"/>
    </sheetView>
  </sheetViews>
  <sheetFormatPr defaultColWidth="8.7109375" defaultRowHeight="15" x14ac:dyDescent="0.25"/>
  <cols>
    <col min="1" max="1" width="2.7109375" customWidth="1"/>
    <col min="4" max="4" width="18.7109375" customWidth="1"/>
    <col min="5" max="5" width="12.7109375" customWidth="1"/>
    <col min="6" max="6" width="15.42578125" customWidth="1"/>
    <col min="7" max="9" width="12.42578125" bestFit="1" customWidth="1"/>
    <col min="10" max="10" width="3.7109375" customWidth="1"/>
    <col min="11" max="11" width="12.7109375" customWidth="1"/>
    <col min="12" max="12" width="14.42578125" customWidth="1"/>
    <col min="13" max="13" width="12.42578125" bestFit="1" customWidth="1"/>
    <col min="14" max="14" width="14.28515625" customWidth="1"/>
    <col min="15" max="15" width="12.42578125" bestFit="1" customWidth="1"/>
    <col min="16" max="16" width="3.7109375" customWidth="1"/>
    <col min="17" max="17" width="12.42578125" customWidth="1"/>
    <col min="18" max="18" width="13.7109375" customWidth="1"/>
    <col min="19" max="19" width="11.7109375" customWidth="1"/>
    <col min="20" max="20" width="12.140625" customWidth="1"/>
    <col min="21" max="21" width="12.42578125" customWidth="1"/>
  </cols>
  <sheetData>
    <row r="1" spans="1:41" ht="15.75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41" ht="16.5" thickBot="1" x14ac:dyDescent="0.3">
      <c r="A2" s="9"/>
      <c r="B2" s="10" t="s">
        <v>182</v>
      </c>
      <c r="C2" s="9"/>
      <c r="D2" s="9"/>
      <c r="E2" s="9"/>
      <c r="F2" s="9"/>
      <c r="G2" s="9"/>
      <c r="H2" s="9"/>
      <c r="I2" s="9"/>
      <c r="J2" s="12"/>
      <c r="K2" s="9"/>
      <c r="L2" s="9"/>
      <c r="M2" s="9"/>
      <c r="N2" s="9"/>
      <c r="O2" s="9"/>
      <c r="P2" s="12"/>
      <c r="Q2" s="9"/>
      <c r="R2" s="9"/>
      <c r="S2" s="9"/>
      <c r="T2" s="9"/>
      <c r="U2" s="9"/>
    </row>
    <row r="3" spans="1:41" ht="16.5" thickBot="1" x14ac:dyDescent="0.3">
      <c r="A3" s="9"/>
      <c r="B3" s="9" t="s">
        <v>186</v>
      </c>
      <c r="C3" s="9"/>
      <c r="D3" s="9"/>
      <c r="E3" s="257" t="s">
        <v>228</v>
      </c>
      <c r="F3" s="201"/>
      <c r="G3" s="198"/>
      <c r="H3" s="194" t="s">
        <v>184</v>
      </c>
      <c r="I3" s="195"/>
      <c r="J3" s="12"/>
      <c r="K3" s="257" t="s">
        <v>228</v>
      </c>
      <c r="L3" s="201"/>
      <c r="M3" s="198"/>
      <c r="N3" s="194" t="s">
        <v>185</v>
      </c>
      <c r="O3" s="195"/>
      <c r="P3" s="12"/>
      <c r="Q3" s="257" t="s">
        <v>228</v>
      </c>
      <c r="R3" s="201"/>
      <c r="S3" s="199"/>
      <c r="T3" s="200" t="s">
        <v>187</v>
      </c>
      <c r="U3" s="201"/>
      <c r="V3" s="9"/>
      <c r="W3" s="9"/>
      <c r="X3" s="9"/>
    </row>
    <row r="4" spans="1:41" ht="16.5" thickBot="1" x14ac:dyDescent="0.3">
      <c r="A4" s="9"/>
      <c r="B4" s="10" t="s">
        <v>195</v>
      </c>
      <c r="C4" s="9"/>
      <c r="D4" s="9"/>
      <c r="E4" s="258">
        <v>2018</v>
      </c>
      <c r="F4" s="258">
        <v>2017</v>
      </c>
      <c r="G4" s="181">
        <v>2016</v>
      </c>
      <c r="H4" s="181">
        <v>2015</v>
      </c>
      <c r="I4" s="181">
        <v>2014</v>
      </c>
      <c r="J4" s="116"/>
      <c r="K4" s="258">
        <v>2018</v>
      </c>
      <c r="L4" s="258">
        <v>2017</v>
      </c>
      <c r="M4" s="181">
        <v>2016</v>
      </c>
      <c r="N4" s="181">
        <v>2015</v>
      </c>
      <c r="O4" s="181">
        <v>2014</v>
      </c>
      <c r="P4" s="116"/>
      <c r="Q4" s="258">
        <v>2018</v>
      </c>
      <c r="R4" s="258">
        <v>2017</v>
      </c>
      <c r="S4" s="181">
        <v>2016</v>
      </c>
      <c r="T4" s="181">
        <v>2015</v>
      </c>
      <c r="U4" s="181">
        <v>2014</v>
      </c>
      <c r="V4" s="9"/>
      <c r="W4" s="9"/>
      <c r="X4" s="9"/>
    </row>
    <row r="5" spans="1:41" ht="15.75" x14ac:dyDescent="0.25">
      <c r="A5" s="9"/>
      <c r="B5" s="64" t="s">
        <v>183</v>
      </c>
      <c r="C5" s="65"/>
      <c r="D5" s="65"/>
      <c r="E5" s="222">
        <f>F5+(F5*0.03)</f>
        <v>12617.2837</v>
      </c>
      <c r="F5" s="222">
        <f>G5+(G5*0.03)</f>
        <v>12249.79</v>
      </c>
      <c r="G5" s="203">
        <v>11893</v>
      </c>
      <c r="H5" s="204">
        <v>11980</v>
      </c>
      <c r="I5" s="210">
        <v>12982</v>
      </c>
      <c r="J5" s="169"/>
      <c r="K5" s="221">
        <f>L5+(L5*0.03)</f>
        <v>2277.7522999999997</v>
      </c>
      <c r="L5" s="222">
        <f>M5+(M5*0.03)</f>
        <v>2211.41</v>
      </c>
      <c r="M5" s="204">
        <v>2147</v>
      </c>
      <c r="N5" s="204">
        <v>2338</v>
      </c>
      <c r="O5" s="210">
        <v>2640</v>
      </c>
      <c r="P5" s="169"/>
      <c r="Q5" s="228">
        <f>R5+(R5*0.03)</f>
        <v>0.1920229</v>
      </c>
      <c r="R5" s="229">
        <f>S5+(S5*0.03)</f>
        <v>0.18642999999999998</v>
      </c>
      <c r="S5" s="205">
        <v>0.18099999999999999</v>
      </c>
      <c r="T5" s="205">
        <v>0.19500000000000001</v>
      </c>
      <c r="U5" s="206">
        <v>0.20300000000000001</v>
      </c>
      <c r="V5" s="9"/>
      <c r="W5" s="9"/>
      <c r="X5" s="9"/>
    </row>
    <row r="6" spans="1:41" ht="15.75" x14ac:dyDescent="0.25">
      <c r="A6" s="9"/>
      <c r="B6" s="66" t="s">
        <v>188</v>
      </c>
      <c r="C6" s="33"/>
      <c r="D6" s="33"/>
      <c r="E6" s="100">
        <f t="shared" ref="E6:F6" si="0">F6+(F6*0.03)</f>
        <v>17877.225899999998</v>
      </c>
      <c r="F6" s="100">
        <f t="shared" si="0"/>
        <v>17356.53</v>
      </c>
      <c r="G6" s="172">
        <v>16851</v>
      </c>
      <c r="H6" s="98">
        <v>16707</v>
      </c>
      <c r="I6" s="211">
        <v>16823</v>
      </c>
      <c r="J6" s="169"/>
      <c r="K6" s="224">
        <f t="shared" ref="K6:L6" si="1">L6+(L6*0.03)</f>
        <v>3136.0203999999999</v>
      </c>
      <c r="L6" s="100">
        <f t="shared" si="1"/>
        <v>3044.68</v>
      </c>
      <c r="M6" s="98">
        <v>2956</v>
      </c>
      <c r="N6" s="98"/>
      <c r="O6" s="211"/>
      <c r="P6" s="111"/>
      <c r="Q6" s="230">
        <f t="shared" ref="Q6:R6" si="2">R6+(R6*0.03)</f>
        <v>0</v>
      </c>
      <c r="R6" s="218">
        <f t="shared" si="2"/>
        <v>0</v>
      </c>
      <c r="S6" s="103"/>
      <c r="T6" s="103"/>
      <c r="U6" s="207"/>
      <c r="V6" s="28"/>
      <c r="W6" s="28"/>
      <c r="X6" s="28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s="45" customFormat="1" ht="15.75" x14ac:dyDescent="0.25">
      <c r="A7" s="28"/>
      <c r="B7" s="238" t="s">
        <v>189</v>
      </c>
      <c r="C7" s="96"/>
      <c r="D7" s="96"/>
      <c r="E7" s="100">
        <f t="shared" ref="E7:F7" si="3">F7+(F7*0.03)</f>
        <v>15801.044599999999</v>
      </c>
      <c r="F7" s="100">
        <f t="shared" si="3"/>
        <v>15340.82</v>
      </c>
      <c r="G7" s="234">
        <v>14894</v>
      </c>
      <c r="H7" s="100">
        <v>14082</v>
      </c>
      <c r="I7" s="225">
        <v>14508</v>
      </c>
      <c r="J7" s="193"/>
      <c r="K7" s="224">
        <f t="shared" ref="K7:L7" si="4">L7+(L7*0.03)</f>
        <v>1639.0904999999998</v>
      </c>
      <c r="L7" s="100">
        <f t="shared" si="4"/>
        <v>1591.35</v>
      </c>
      <c r="M7" s="100">
        <v>1545</v>
      </c>
      <c r="N7" s="100">
        <v>861</v>
      </c>
      <c r="O7" s="225">
        <v>2000</v>
      </c>
      <c r="P7" s="215"/>
      <c r="Q7" s="230">
        <f t="shared" ref="Q7:R7" si="5">R7+(R7*0.03)</f>
        <v>0.11033359999999999</v>
      </c>
      <c r="R7" s="218">
        <f t="shared" si="5"/>
        <v>0.10711999999999999</v>
      </c>
      <c r="S7" s="236">
        <v>0.104</v>
      </c>
      <c r="T7" s="237"/>
      <c r="U7" s="240"/>
      <c r="V7" s="28"/>
      <c r="W7" s="28"/>
      <c r="X7" s="28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ht="15.75" x14ac:dyDescent="0.25">
      <c r="A8" s="9"/>
      <c r="B8" s="47" t="s">
        <v>190</v>
      </c>
      <c r="C8" s="34"/>
      <c r="D8" s="34"/>
      <c r="E8" s="100">
        <f t="shared" ref="E8:F8" si="6">F8+(F8*0.03)</f>
        <v>15345.918500000002</v>
      </c>
      <c r="F8" s="100">
        <f t="shared" si="6"/>
        <v>14898.95</v>
      </c>
      <c r="G8" s="196">
        <v>14465</v>
      </c>
      <c r="H8" s="99">
        <v>14094</v>
      </c>
      <c r="I8" s="212">
        <v>14215</v>
      </c>
      <c r="J8" s="169"/>
      <c r="K8" s="224">
        <f t="shared" ref="K8:L8" si="7">L8+(L8*0.03)</f>
        <v>2437.9482000000003</v>
      </c>
      <c r="L8" s="100">
        <f t="shared" si="7"/>
        <v>2366.94</v>
      </c>
      <c r="M8" s="98">
        <v>2298</v>
      </c>
      <c r="N8" s="98">
        <v>1888</v>
      </c>
      <c r="O8" s="211">
        <v>2355</v>
      </c>
      <c r="P8" s="216"/>
      <c r="Q8" s="230">
        <f t="shared" ref="Q8:R8" si="8">R8+(R8*0.03)</f>
        <v>0.1686831</v>
      </c>
      <c r="R8" s="218">
        <f t="shared" si="8"/>
        <v>0.16377</v>
      </c>
      <c r="S8" s="202">
        <v>0.159</v>
      </c>
      <c r="T8" s="202">
        <v>0.13400000000000001</v>
      </c>
      <c r="U8" s="208">
        <v>0.16600000000000001</v>
      </c>
      <c r="V8" s="9"/>
      <c r="W8" s="9"/>
      <c r="X8" s="9"/>
    </row>
    <row r="9" spans="1:41" ht="15.75" x14ac:dyDescent="0.25">
      <c r="A9" s="9"/>
      <c r="B9" s="66" t="s">
        <v>191</v>
      </c>
      <c r="C9" s="33"/>
      <c r="D9" s="33"/>
      <c r="E9" s="100">
        <f t="shared" ref="E9:F9" si="9">F9+(F9*0.03)</f>
        <v>61641.472699999998</v>
      </c>
      <c r="F9" s="100">
        <f t="shared" si="9"/>
        <v>59846.09</v>
      </c>
      <c r="G9" s="172">
        <v>58103</v>
      </c>
      <c r="H9" s="98">
        <v>56863</v>
      </c>
      <c r="I9" s="211">
        <v>58528</v>
      </c>
      <c r="J9" s="169"/>
      <c r="K9" s="224">
        <f t="shared" ref="K9:L9" si="10">L9+(L9*0.03)</f>
        <v>9490.8113999999987</v>
      </c>
      <c r="L9" s="100">
        <f t="shared" si="10"/>
        <v>9214.3799999999992</v>
      </c>
      <c r="M9" s="98">
        <v>8946</v>
      </c>
      <c r="N9" s="98">
        <v>8023</v>
      </c>
      <c r="O9" s="211">
        <v>9777</v>
      </c>
      <c r="P9" s="216"/>
      <c r="Q9" s="230">
        <f t="shared" ref="Q9:R9" si="11">R9+(R9*0.03)</f>
        <v>0.16337860000000001</v>
      </c>
      <c r="R9" s="218">
        <f t="shared" si="11"/>
        <v>0.15862000000000001</v>
      </c>
      <c r="S9" s="202">
        <v>0.154</v>
      </c>
      <c r="T9" s="103"/>
      <c r="U9" s="207"/>
      <c r="V9" s="9"/>
      <c r="W9" s="9"/>
      <c r="X9" s="9"/>
    </row>
    <row r="10" spans="1:41" ht="15.75" x14ac:dyDescent="0.25">
      <c r="A10" s="9"/>
      <c r="B10" s="66" t="s">
        <v>192</v>
      </c>
      <c r="C10" s="33"/>
      <c r="D10" s="33"/>
      <c r="E10" s="100">
        <f t="shared" ref="E10:F10" si="12">F10+(F10*0.03)</f>
        <v>-911.31309999999996</v>
      </c>
      <c r="F10" s="100">
        <f t="shared" si="12"/>
        <v>-884.77</v>
      </c>
      <c r="G10" s="172">
        <v>-859</v>
      </c>
      <c r="H10" s="98">
        <v>-765</v>
      </c>
      <c r="I10" s="211">
        <v>-628</v>
      </c>
      <c r="J10" s="169"/>
      <c r="K10" s="224">
        <f t="shared" ref="K10:L10" si="13">L10+(L10*0.03)</f>
        <v>-390.41120000000001</v>
      </c>
      <c r="L10" s="100">
        <f t="shared" si="13"/>
        <v>-379.04</v>
      </c>
      <c r="M10" s="98">
        <v>-368</v>
      </c>
      <c r="N10" s="98">
        <v>-268</v>
      </c>
      <c r="O10" s="211">
        <v>304</v>
      </c>
      <c r="P10" s="111"/>
      <c r="Q10" s="230">
        <f t="shared" ref="Q10:R10" si="14">R10+(R10*0.03)</f>
        <v>0</v>
      </c>
      <c r="R10" s="218">
        <f t="shared" si="14"/>
        <v>0</v>
      </c>
      <c r="S10" s="103"/>
      <c r="T10" s="103"/>
      <c r="U10" s="207"/>
      <c r="V10" s="9"/>
      <c r="W10" s="9"/>
      <c r="X10" s="9"/>
    </row>
    <row r="11" spans="1:41" ht="15.75" x14ac:dyDescent="0.25">
      <c r="A11" s="9"/>
      <c r="B11" s="46" t="s">
        <v>193</v>
      </c>
      <c r="C11" s="12"/>
      <c r="D11" s="12"/>
      <c r="E11" s="100">
        <v>0</v>
      </c>
      <c r="F11" s="100">
        <v>0</v>
      </c>
      <c r="G11" s="184" t="s">
        <v>72</v>
      </c>
      <c r="H11" s="170" t="s">
        <v>72</v>
      </c>
      <c r="I11" s="213" t="s">
        <v>72</v>
      </c>
      <c r="J11" s="169"/>
      <c r="K11" s="224">
        <f t="shared" ref="K11:L11" si="15">L11+(L11*0.03)</f>
        <v>-430.72539999999998</v>
      </c>
      <c r="L11" s="100">
        <f t="shared" si="15"/>
        <v>-418.18</v>
      </c>
      <c r="M11" s="98">
        <v>-406</v>
      </c>
      <c r="N11" s="98">
        <v>-464</v>
      </c>
      <c r="O11" s="211">
        <v>-488</v>
      </c>
      <c r="P11" s="111"/>
      <c r="Q11" s="230">
        <f t="shared" ref="Q11:R11" si="16">R11+(R11*0.03)</f>
        <v>0</v>
      </c>
      <c r="R11" s="218">
        <f t="shared" si="16"/>
        <v>0</v>
      </c>
      <c r="S11" s="103"/>
      <c r="T11" s="103"/>
      <c r="U11" s="207"/>
      <c r="V11" s="9"/>
      <c r="W11" s="9"/>
      <c r="X11" s="9"/>
    </row>
    <row r="12" spans="1:41" ht="16.5" thickBot="1" x14ac:dyDescent="0.3">
      <c r="A12" s="9"/>
      <c r="B12" s="40" t="s">
        <v>194</v>
      </c>
      <c r="C12" s="35"/>
      <c r="D12" s="35"/>
      <c r="E12" s="179">
        <f t="shared" ref="E12:F12" si="17">F12+(F12*0.03)</f>
        <v>60730.159599999999</v>
      </c>
      <c r="F12" s="179">
        <f t="shared" si="17"/>
        <v>58961.32</v>
      </c>
      <c r="G12" s="197">
        <v>57244</v>
      </c>
      <c r="H12" s="105">
        <v>56098</v>
      </c>
      <c r="I12" s="214">
        <v>57900</v>
      </c>
      <c r="J12" s="169"/>
      <c r="K12" s="226">
        <f t="shared" ref="K12:L12" si="18">L12+(L12*0.03)</f>
        <v>8669.6748000000007</v>
      </c>
      <c r="L12" s="179">
        <f t="shared" si="18"/>
        <v>8417.16</v>
      </c>
      <c r="M12" s="105">
        <v>8172</v>
      </c>
      <c r="N12" s="105">
        <v>7291</v>
      </c>
      <c r="O12" s="214">
        <v>9593</v>
      </c>
      <c r="P12" s="169"/>
      <c r="Q12" s="231">
        <f t="shared" ref="Q12:R12" si="19">R12+(R12*0.03)</f>
        <v>0.15170869999999997</v>
      </c>
      <c r="R12" s="232">
        <f t="shared" si="19"/>
        <v>0.14728999999999998</v>
      </c>
      <c r="S12" s="192">
        <v>0.14299999999999999</v>
      </c>
      <c r="T12" s="192">
        <v>0.13</v>
      </c>
      <c r="U12" s="209">
        <v>0.16600000000000001</v>
      </c>
      <c r="V12" s="9"/>
      <c r="W12" s="9"/>
      <c r="X12" s="9"/>
    </row>
    <row r="13" spans="1:41" ht="15.75" x14ac:dyDescent="0.25">
      <c r="A13" s="9"/>
      <c r="B13" s="12"/>
      <c r="C13" s="12"/>
      <c r="D13" s="12"/>
      <c r="E13" s="71"/>
      <c r="F13" s="71"/>
      <c r="G13" s="87"/>
      <c r="H13" s="88"/>
      <c r="I13" s="88"/>
      <c r="J13" s="88"/>
      <c r="K13" s="92"/>
      <c r="L13" s="92"/>
      <c r="M13" s="87"/>
      <c r="N13" s="88"/>
      <c r="O13" s="88"/>
      <c r="P13" s="88"/>
      <c r="Q13" s="93"/>
      <c r="R13" s="93"/>
      <c r="S13" s="89"/>
      <c r="T13" s="90"/>
      <c r="U13" s="90"/>
      <c r="V13" s="9"/>
      <c r="W13" s="9"/>
      <c r="X13" s="9"/>
    </row>
    <row r="14" spans="1:41" ht="16.5" thickBot="1" x14ac:dyDescent="0.3">
      <c r="A14" s="9"/>
      <c r="B14" s="12"/>
      <c r="C14" s="12"/>
      <c r="D14" s="12"/>
      <c r="E14" s="71"/>
      <c r="F14" s="71"/>
      <c r="G14" s="91"/>
      <c r="H14" s="92"/>
      <c r="I14" s="92"/>
      <c r="J14" s="92"/>
      <c r="K14" s="92"/>
      <c r="L14" s="92"/>
      <c r="M14" s="91"/>
      <c r="N14" s="92"/>
      <c r="O14" s="92"/>
      <c r="P14" s="92"/>
      <c r="Q14" s="93"/>
      <c r="R14" s="93"/>
      <c r="S14" s="89"/>
      <c r="T14" s="90"/>
      <c r="U14" s="90"/>
      <c r="V14" s="9"/>
      <c r="W14" s="9"/>
      <c r="X14" s="9"/>
    </row>
    <row r="15" spans="1:41" ht="16.5" thickBot="1" x14ac:dyDescent="0.3">
      <c r="A15" s="9"/>
      <c r="B15" s="57" t="s">
        <v>246</v>
      </c>
      <c r="C15" s="12"/>
      <c r="D15" s="12"/>
      <c r="E15" s="71"/>
      <c r="F15" s="71"/>
      <c r="G15" s="117" t="s">
        <v>184</v>
      </c>
      <c r="H15" s="92"/>
      <c r="I15" s="92"/>
      <c r="J15" s="92"/>
      <c r="K15" s="92"/>
      <c r="L15" s="271" t="s">
        <v>185</v>
      </c>
      <c r="M15" s="272"/>
      <c r="N15" s="273"/>
      <c r="O15" s="92"/>
      <c r="P15" s="92"/>
      <c r="Q15" s="93"/>
      <c r="R15" s="268" t="s">
        <v>187</v>
      </c>
      <c r="S15" s="269"/>
      <c r="T15" s="270"/>
      <c r="U15" s="90"/>
      <c r="V15" s="9"/>
      <c r="W15" s="9"/>
      <c r="X15" s="9"/>
    </row>
    <row r="16" spans="1:41" ht="16.5" thickBot="1" x14ac:dyDescent="0.3">
      <c r="A16" s="9"/>
      <c r="B16" s="12"/>
      <c r="C16" s="12"/>
      <c r="D16" s="12"/>
      <c r="E16" s="117" t="s">
        <v>240</v>
      </c>
      <c r="F16" s="117" t="s">
        <v>241</v>
      </c>
      <c r="G16" s="117" t="s">
        <v>242</v>
      </c>
      <c r="H16" s="117" t="s">
        <v>243</v>
      </c>
      <c r="I16" s="117" t="s">
        <v>244</v>
      </c>
      <c r="J16" s="92"/>
      <c r="K16" s="117" t="s">
        <v>240</v>
      </c>
      <c r="L16" s="117" t="s">
        <v>241</v>
      </c>
      <c r="M16" s="117" t="s">
        <v>242</v>
      </c>
      <c r="N16" s="117" t="s">
        <v>243</v>
      </c>
      <c r="O16" s="117" t="s">
        <v>244</v>
      </c>
      <c r="P16" s="92"/>
      <c r="Q16" s="117" t="s">
        <v>240</v>
      </c>
      <c r="R16" s="117" t="s">
        <v>241</v>
      </c>
      <c r="S16" s="117" t="s">
        <v>242</v>
      </c>
      <c r="T16" s="117" t="s">
        <v>243</v>
      </c>
      <c r="U16" s="117" t="s">
        <v>244</v>
      </c>
      <c r="V16" s="9"/>
      <c r="W16" s="9"/>
      <c r="X16" s="9"/>
    </row>
    <row r="17" spans="1:24" ht="16.5" thickBot="1" x14ac:dyDescent="0.3">
      <c r="A17" s="9"/>
      <c r="B17" s="10" t="s">
        <v>195</v>
      </c>
      <c r="C17" s="12"/>
      <c r="D17" s="12"/>
      <c r="E17" s="182">
        <v>2019</v>
      </c>
      <c r="F17" s="181">
        <v>2020</v>
      </c>
      <c r="G17" s="181">
        <v>2021</v>
      </c>
      <c r="H17" s="181">
        <v>2022</v>
      </c>
      <c r="I17" s="186">
        <v>2023</v>
      </c>
      <c r="J17" s="193"/>
      <c r="K17" s="182">
        <v>2019</v>
      </c>
      <c r="L17" s="181">
        <v>2020</v>
      </c>
      <c r="M17" s="181">
        <v>2021</v>
      </c>
      <c r="N17" s="181">
        <v>2022</v>
      </c>
      <c r="O17" s="186">
        <v>2023</v>
      </c>
      <c r="P17" s="193"/>
      <c r="Q17" s="182">
        <v>2019</v>
      </c>
      <c r="R17" s="181">
        <v>2020</v>
      </c>
      <c r="S17" s="181">
        <v>2021</v>
      </c>
      <c r="T17" s="181">
        <v>2022</v>
      </c>
      <c r="U17" s="186">
        <v>2023</v>
      </c>
      <c r="V17" s="9"/>
      <c r="W17" s="9"/>
      <c r="X17" s="9"/>
    </row>
    <row r="18" spans="1:24" ht="15.75" x14ac:dyDescent="0.25">
      <c r="A18" s="9"/>
      <c r="B18" s="217" t="s">
        <v>183</v>
      </c>
      <c r="C18" s="86"/>
      <c r="D18" s="86"/>
      <c r="E18" s="204">
        <f t="shared" ref="E18:E25" si="20">E5*(1+2.16%)</f>
        <v>12889.81702792</v>
      </c>
      <c r="F18" s="204">
        <f>E18*(1+(-3.51%))</f>
        <v>12437.384450240008</v>
      </c>
      <c r="G18" s="204">
        <f>F18*(1+6.39%)</f>
        <v>13232.133316610345</v>
      </c>
      <c r="H18" s="204">
        <f>G18*(1+3.52%)</f>
        <v>13697.904409355027</v>
      </c>
      <c r="I18" s="210">
        <f>H18*(1+1.41%)</f>
        <v>13891.044861526932</v>
      </c>
      <c r="J18" s="193"/>
      <c r="K18" s="221">
        <f t="shared" ref="K18:K25" si="21">K5*(1+2.16%)</f>
        <v>2326.9517496799999</v>
      </c>
      <c r="L18" s="222">
        <f>K18*(1+(-3.51%))</f>
        <v>2245.275743266232</v>
      </c>
      <c r="M18" s="222">
        <f>L18*(1+6.39%)</f>
        <v>2388.7488632609443</v>
      </c>
      <c r="N18" s="222">
        <f>M18*(1+3.52%)</f>
        <v>2472.8328232477293</v>
      </c>
      <c r="O18" s="223">
        <f>N18*(1+1.41%)</f>
        <v>2507.6997660555221</v>
      </c>
      <c r="P18" s="193"/>
      <c r="Q18" s="228">
        <f>Q5*(1+2.61%)</f>
        <v>0.19703469769000001</v>
      </c>
      <c r="R18" s="229">
        <f>Q18*(1+(-3.51%))</f>
        <v>0.19011877980108099</v>
      </c>
      <c r="S18" s="205">
        <f>R18*(1+6.39%)</f>
        <v>0.20226736983037008</v>
      </c>
      <c r="T18" s="205">
        <f>S18*(1+3.52%)</f>
        <v>0.20938718124839908</v>
      </c>
      <c r="U18" s="206">
        <f>T18*(1+1.41%)</f>
        <v>0.2123395405040015</v>
      </c>
      <c r="V18" s="9"/>
      <c r="W18" s="9"/>
      <c r="X18" s="9"/>
    </row>
    <row r="19" spans="1:24" ht="15.75" x14ac:dyDescent="0.25">
      <c r="A19" s="9"/>
      <c r="B19" s="219" t="s">
        <v>188</v>
      </c>
      <c r="C19" s="48"/>
      <c r="D19" s="39"/>
      <c r="E19" s="98">
        <f t="shared" si="20"/>
        <v>18263.373979439999</v>
      </c>
      <c r="F19" s="98">
        <f t="shared" ref="F19:F25" si="22">E19*(1+(-3.51%))</f>
        <v>17622.329552761654</v>
      </c>
      <c r="G19" s="98">
        <f t="shared" ref="G19:G25" si="23">F19*(1+6.39%)</f>
        <v>18748.396411183123</v>
      </c>
      <c r="H19" s="98">
        <f t="shared" ref="H19:H25" si="24">G19*(1+3.52%)</f>
        <v>19408.339964856768</v>
      </c>
      <c r="I19" s="211">
        <f t="shared" ref="I19:I25" si="25">H19*(1+1.41%)</f>
        <v>19681.99755836125</v>
      </c>
      <c r="J19" s="193"/>
      <c r="K19" s="224">
        <f t="shared" si="21"/>
        <v>3203.7584406400001</v>
      </c>
      <c r="L19" s="100">
        <f t="shared" ref="L19:L25" si="26">K19*(1+(-3.51%))</f>
        <v>3091.306519373536</v>
      </c>
      <c r="M19" s="100">
        <f t="shared" ref="M19:M25" si="27">L19*(1+6.39%)</f>
        <v>3288.8410059615053</v>
      </c>
      <c r="N19" s="100">
        <f t="shared" ref="N19:N25" si="28">M19*(1+3.52%)</f>
        <v>3404.6082093713499</v>
      </c>
      <c r="O19" s="225">
        <f t="shared" ref="O19:O25" si="29">N19*(1+1.41%)</f>
        <v>3452.6131851234859</v>
      </c>
      <c r="P19" s="193"/>
      <c r="Q19" s="230"/>
      <c r="R19" s="218"/>
      <c r="S19" s="202"/>
      <c r="T19" s="202"/>
      <c r="U19" s="208"/>
      <c r="V19" s="9"/>
      <c r="W19" s="9"/>
      <c r="X19" s="9"/>
    </row>
    <row r="20" spans="1:24" ht="15.75" x14ac:dyDescent="0.25">
      <c r="A20" s="9"/>
      <c r="B20" s="239" t="s">
        <v>189</v>
      </c>
      <c r="C20" s="48"/>
      <c r="D20" s="39"/>
      <c r="E20" s="98">
        <f t="shared" si="20"/>
        <v>16142.34716336</v>
      </c>
      <c r="F20" s="98">
        <f t="shared" si="22"/>
        <v>15575.750777926063</v>
      </c>
      <c r="G20" s="98">
        <f t="shared" si="23"/>
        <v>16571.041252635539</v>
      </c>
      <c r="H20" s="98">
        <f t="shared" si="24"/>
        <v>17154.34190472831</v>
      </c>
      <c r="I20" s="211">
        <f t="shared" si="25"/>
        <v>17396.218125584979</v>
      </c>
      <c r="J20" s="193"/>
      <c r="K20" s="224">
        <f t="shared" si="21"/>
        <v>1674.4948548</v>
      </c>
      <c r="L20" s="100">
        <f t="shared" si="26"/>
        <v>1615.7200853965201</v>
      </c>
      <c r="M20" s="100">
        <f t="shared" si="27"/>
        <v>1718.9645988533578</v>
      </c>
      <c r="N20" s="100">
        <f t="shared" si="28"/>
        <v>1779.4721527329957</v>
      </c>
      <c r="O20" s="225">
        <f t="shared" si="29"/>
        <v>1804.5627100865308</v>
      </c>
      <c r="P20" s="193"/>
      <c r="Q20" s="230">
        <f>Q7*(1+2.61%)</f>
        <v>0.11321330696</v>
      </c>
      <c r="R20" s="218">
        <f t="shared" ref="R20:R25" si="30">Q20*(1+(-3.51%))</f>
        <v>0.10923951988570399</v>
      </c>
      <c r="S20" s="202">
        <f t="shared" ref="S20:S25" si="31">R20*(1+6.39%)</f>
        <v>0.11621992520640048</v>
      </c>
      <c r="T20" s="202">
        <f t="shared" ref="T20:T25" si="32">S20*(1+3.52%)</f>
        <v>0.12031086657366577</v>
      </c>
      <c r="U20" s="208">
        <f t="shared" ref="U20:U25" si="33">T20*(1+1.41%)</f>
        <v>0.12200724979235446</v>
      </c>
      <c r="V20" s="9"/>
      <c r="W20" s="9"/>
      <c r="X20" s="9"/>
    </row>
    <row r="21" spans="1:24" ht="15.75" x14ac:dyDescent="0.25">
      <c r="A21" s="9"/>
      <c r="B21" s="239" t="s">
        <v>190</v>
      </c>
      <c r="C21" s="48"/>
      <c r="D21" s="39"/>
      <c r="E21" s="98">
        <f t="shared" si="20"/>
        <v>15677.390339600002</v>
      </c>
      <c r="F21" s="98">
        <f t="shared" si="22"/>
        <v>15127.113938680042</v>
      </c>
      <c r="G21" s="98">
        <f t="shared" si="23"/>
        <v>16093.736519361699</v>
      </c>
      <c r="H21" s="98">
        <f t="shared" si="24"/>
        <v>16660.23604484323</v>
      </c>
      <c r="I21" s="211">
        <f t="shared" si="25"/>
        <v>16895.14537307552</v>
      </c>
      <c r="J21" s="193"/>
      <c r="K21" s="224">
        <f t="shared" si="21"/>
        <v>2490.6078811200005</v>
      </c>
      <c r="L21" s="100">
        <f t="shared" si="26"/>
        <v>2403.1875444926882</v>
      </c>
      <c r="M21" s="100">
        <f t="shared" si="27"/>
        <v>2556.7512285857711</v>
      </c>
      <c r="N21" s="100">
        <f t="shared" si="28"/>
        <v>2646.7488718319901</v>
      </c>
      <c r="O21" s="225">
        <f t="shared" si="29"/>
        <v>2684.068030924821</v>
      </c>
      <c r="P21" s="193"/>
      <c r="Q21" s="230">
        <f>Q8*(1+2.61%)</f>
        <v>0.17308572891000001</v>
      </c>
      <c r="R21" s="218">
        <f t="shared" si="30"/>
        <v>0.16701041982525902</v>
      </c>
      <c r="S21" s="202">
        <f t="shared" si="31"/>
        <v>0.17768238565209307</v>
      </c>
      <c r="T21" s="202">
        <f t="shared" si="32"/>
        <v>0.18393680562704673</v>
      </c>
      <c r="U21" s="208">
        <f t="shared" si="33"/>
        <v>0.18653031458638808</v>
      </c>
      <c r="V21" s="9"/>
      <c r="W21" s="9"/>
      <c r="X21" s="9"/>
    </row>
    <row r="22" spans="1:24" ht="15.75" x14ac:dyDescent="0.25">
      <c r="A22" s="9"/>
      <c r="B22" s="219" t="s">
        <v>191</v>
      </c>
      <c r="C22" s="48"/>
      <c r="D22" s="39"/>
      <c r="E22" s="98">
        <f t="shared" si="20"/>
        <v>62972.928510320002</v>
      </c>
      <c r="F22" s="98">
        <f t="shared" si="22"/>
        <v>60762.578719607765</v>
      </c>
      <c r="G22" s="98">
        <f t="shared" si="23"/>
        <v>64645.307499790702</v>
      </c>
      <c r="H22" s="98">
        <f t="shared" si="24"/>
        <v>66920.82232378333</v>
      </c>
      <c r="I22" s="211">
        <f t="shared" si="25"/>
        <v>67864.405918548669</v>
      </c>
      <c r="J22" s="193"/>
      <c r="K22" s="224">
        <f t="shared" si="21"/>
        <v>9695.8129262399998</v>
      </c>
      <c r="L22" s="100">
        <f t="shared" si="26"/>
        <v>9355.4898925289763</v>
      </c>
      <c r="M22" s="100">
        <f t="shared" si="27"/>
        <v>9953.3056966615786</v>
      </c>
      <c r="N22" s="100">
        <f t="shared" si="28"/>
        <v>10303.662057184065</v>
      </c>
      <c r="O22" s="225">
        <f t="shared" si="29"/>
        <v>10448.94369219036</v>
      </c>
      <c r="P22" s="193"/>
      <c r="Q22" s="230">
        <f>Q9*(1+2.61%)</f>
        <v>0.16764278146000003</v>
      </c>
      <c r="R22" s="218">
        <f t="shared" si="30"/>
        <v>0.16175851983075401</v>
      </c>
      <c r="S22" s="202">
        <f t="shared" si="31"/>
        <v>0.1720948892479392</v>
      </c>
      <c r="T22" s="202">
        <f t="shared" si="32"/>
        <v>0.17815262934946663</v>
      </c>
      <c r="U22" s="208">
        <f t="shared" si="33"/>
        <v>0.18066458142329411</v>
      </c>
      <c r="V22" s="9"/>
      <c r="W22" s="9"/>
      <c r="X22" s="9"/>
    </row>
    <row r="23" spans="1:24" ht="15.75" x14ac:dyDescent="0.25">
      <c r="A23" s="9"/>
      <c r="B23" s="219" t="s">
        <v>192</v>
      </c>
      <c r="C23" s="48"/>
      <c r="D23" s="39"/>
      <c r="E23" s="98">
        <f t="shared" si="20"/>
        <v>-930.99746296000001</v>
      </c>
      <c r="F23" s="98">
        <f t="shared" si="22"/>
        <v>-898.31945201010399</v>
      </c>
      <c r="G23" s="98">
        <f t="shared" si="23"/>
        <v>-955.72206499354968</v>
      </c>
      <c r="H23" s="98">
        <f t="shared" si="24"/>
        <v>-989.36348168132258</v>
      </c>
      <c r="I23" s="211">
        <f t="shared" si="25"/>
        <v>-1003.3135067730292</v>
      </c>
      <c r="J23" s="193"/>
      <c r="K23" s="224">
        <f t="shared" si="21"/>
        <v>-398.84408192000001</v>
      </c>
      <c r="L23" s="100">
        <f t="shared" si="26"/>
        <v>-384.844654644608</v>
      </c>
      <c r="M23" s="100">
        <f t="shared" si="27"/>
        <v>-409.43622807639849</v>
      </c>
      <c r="N23" s="100">
        <f t="shared" si="28"/>
        <v>-423.84838330468767</v>
      </c>
      <c r="O23" s="225">
        <f t="shared" si="29"/>
        <v>-429.82464550928376</v>
      </c>
      <c r="P23" s="193"/>
      <c r="Q23" s="230"/>
      <c r="R23" s="218"/>
      <c r="S23" s="202"/>
      <c r="T23" s="202"/>
      <c r="U23" s="208"/>
      <c r="V23" s="9"/>
      <c r="W23" s="9"/>
      <c r="X23" s="9"/>
    </row>
    <row r="24" spans="1:24" ht="15.75" x14ac:dyDescent="0.25">
      <c r="A24" s="9"/>
      <c r="B24" s="219" t="s">
        <v>193</v>
      </c>
      <c r="C24" s="48"/>
      <c r="D24" s="39"/>
      <c r="E24" s="98">
        <f>E11*(1+2.16%)</f>
        <v>0</v>
      </c>
      <c r="F24" s="98">
        <f t="shared" si="22"/>
        <v>0</v>
      </c>
      <c r="G24" s="98">
        <f t="shared" si="23"/>
        <v>0</v>
      </c>
      <c r="H24" s="98">
        <f t="shared" si="24"/>
        <v>0</v>
      </c>
      <c r="I24" s="211">
        <f t="shared" si="25"/>
        <v>0</v>
      </c>
      <c r="J24" s="193"/>
      <c r="K24" s="224">
        <f t="shared" si="21"/>
        <v>-440.02906863999999</v>
      </c>
      <c r="L24" s="100">
        <f t="shared" si="26"/>
        <v>-424.58404833073598</v>
      </c>
      <c r="M24" s="100">
        <f t="shared" si="27"/>
        <v>-451.71496901907005</v>
      </c>
      <c r="N24" s="100">
        <f t="shared" si="28"/>
        <v>-467.6153359285413</v>
      </c>
      <c r="O24" s="225">
        <f t="shared" si="29"/>
        <v>-474.2087121651337</v>
      </c>
      <c r="P24" s="193"/>
      <c r="Q24" s="230"/>
      <c r="R24" s="218"/>
      <c r="S24" s="202"/>
      <c r="T24" s="202"/>
      <c r="U24" s="208"/>
      <c r="V24" s="9"/>
      <c r="W24" s="9"/>
      <c r="X24" s="9"/>
    </row>
    <row r="25" spans="1:24" ht="16.5" thickBot="1" x14ac:dyDescent="0.3">
      <c r="A25" s="9"/>
      <c r="B25" s="220" t="s">
        <v>194</v>
      </c>
      <c r="C25" s="85"/>
      <c r="D25" s="35"/>
      <c r="E25" s="105">
        <f t="shared" si="20"/>
        <v>62041.931047360005</v>
      </c>
      <c r="F25" s="105">
        <f t="shared" si="22"/>
        <v>59864.25926759767</v>
      </c>
      <c r="G25" s="105">
        <f t="shared" si="23"/>
        <v>63689.585434797169</v>
      </c>
      <c r="H25" s="105">
        <f t="shared" si="24"/>
        <v>65931.458842102016</v>
      </c>
      <c r="I25" s="214">
        <f t="shared" si="25"/>
        <v>66861.092411775651</v>
      </c>
      <c r="J25" s="193"/>
      <c r="K25" s="226">
        <f t="shared" si="21"/>
        <v>8856.9397756800008</v>
      </c>
      <c r="L25" s="179">
        <f t="shared" si="26"/>
        <v>8546.0611895536331</v>
      </c>
      <c r="M25" s="179">
        <f t="shared" si="27"/>
        <v>9092.1544995661116</v>
      </c>
      <c r="N25" s="179">
        <f t="shared" si="28"/>
        <v>9412.1983379508383</v>
      </c>
      <c r="O25" s="227">
        <f t="shared" si="29"/>
        <v>9544.9103345159456</v>
      </c>
      <c r="P25" s="193"/>
      <c r="Q25" s="231">
        <f>Q12*(1+2.61%)</f>
        <v>0.15566829706999999</v>
      </c>
      <c r="R25" s="232">
        <f t="shared" si="30"/>
        <v>0.15020433984284298</v>
      </c>
      <c r="S25" s="192">
        <f t="shared" si="31"/>
        <v>0.15980239715880065</v>
      </c>
      <c r="T25" s="192">
        <f t="shared" si="32"/>
        <v>0.16542744153879041</v>
      </c>
      <c r="U25" s="209">
        <f t="shared" si="33"/>
        <v>0.16775996846448735</v>
      </c>
      <c r="V25" s="9"/>
      <c r="W25" s="9"/>
      <c r="X25" s="9"/>
    </row>
    <row r="26" spans="1:24" ht="15.75" x14ac:dyDescent="0.25">
      <c r="A26" s="9"/>
      <c r="B26" s="9"/>
      <c r="C26" s="9"/>
      <c r="D26" s="12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9"/>
      <c r="T26" s="9"/>
      <c r="U26" s="9"/>
      <c r="V26" s="9"/>
      <c r="W26" s="9"/>
      <c r="X26" s="9"/>
    </row>
    <row r="27" spans="1:24" ht="15.75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spans="1:24" ht="16.5" thickBot="1" x14ac:dyDescent="0.3">
      <c r="A28" s="9"/>
      <c r="B28" s="10" t="s">
        <v>232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1:24" ht="16.5" thickBot="1" x14ac:dyDescent="0.3">
      <c r="A29" s="9"/>
      <c r="B29" s="9" t="s">
        <v>186</v>
      </c>
      <c r="C29" s="9"/>
      <c r="D29" s="9"/>
      <c r="E29" s="274" t="s">
        <v>228</v>
      </c>
      <c r="F29" s="275"/>
      <c r="G29" s="276" t="s">
        <v>184</v>
      </c>
      <c r="H29" s="277"/>
      <c r="I29" s="278"/>
      <c r="J29" s="185"/>
      <c r="K29" s="274" t="s">
        <v>228</v>
      </c>
      <c r="L29" s="275"/>
      <c r="M29" s="276" t="s">
        <v>185</v>
      </c>
      <c r="N29" s="277"/>
      <c r="O29" s="278"/>
      <c r="P29" s="180"/>
      <c r="Q29" s="274" t="s">
        <v>228</v>
      </c>
      <c r="R29" s="275"/>
      <c r="S29" s="279" t="s">
        <v>187</v>
      </c>
      <c r="T29" s="280"/>
      <c r="U29" s="281"/>
      <c r="V29" s="9"/>
      <c r="W29" s="9"/>
      <c r="X29" s="9"/>
    </row>
    <row r="30" spans="1:24" ht="16.5" thickBot="1" x14ac:dyDescent="0.3">
      <c r="A30" s="9"/>
      <c r="B30" s="10" t="s">
        <v>195</v>
      </c>
      <c r="C30" s="9"/>
      <c r="D30" s="9"/>
      <c r="E30" s="258">
        <v>2018</v>
      </c>
      <c r="F30" s="258">
        <v>2017</v>
      </c>
      <c r="G30" s="181">
        <v>2016</v>
      </c>
      <c r="H30" s="181">
        <v>2015</v>
      </c>
      <c r="I30" s="181">
        <v>2014</v>
      </c>
      <c r="J30" s="116"/>
      <c r="K30" s="258">
        <v>2018</v>
      </c>
      <c r="L30" s="258">
        <v>2017</v>
      </c>
      <c r="M30" s="117">
        <v>2016</v>
      </c>
      <c r="N30" s="117">
        <v>2015</v>
      </c>
      <c r="O30" s="117">
        <v>2014</v>
      </c>
      <c r="P30" s="116"/>
      <c r="Q30" s="173">
        <v>2018</v>
      </c>
      <c r="R30" s="173">
        <v>2017</v>
      </c>
      <c r="S30" s="117">
        <v>2016</v>
      </c>
      <c r="T30" s="117">
        <v>2015</v>
      </c>
      <c r="U30" s="117">
        <v>2014</v>
      </c>
      <c r="V30" s="9"/>
      <c r="W30" s="9"/>
      <c r="X30" s="9"/>
    </row>
    <row r="31" spans="1:24" ht="15.75" x14ac:dyDescent="0.25">
      <c r="A31" s="9"/>
      <c r="B31" s="64" t="s">
        <v>183</v>
      </c>
      <c r="C31" s="64"/>
      <c r="D31" s="65"/>
      <c r="E31" s="222">
        <f>F31+(F31*0.03)</f>
        <v>12617.2837</v>
      </c>
      <c r="F31" s="222">
        <f>G31+(G31*0.03)</f>
        <v>12249.79</v>
      </c>
      <c r="G31" s="203">
        <v>11893</v>
      </c>
      <c r="H31" s="204">
        <v>11980</v>
      </c>
      <c r="I31" s="210">
        <v>12982</v>
      </c>
      <c r="J31" s="169"/>
      <c r="K31" s="224">
        <f>L31+(L31*0.03)</f>
        <v>2277.7522999999997</v>
      </c>
      <c r="L31" s="100">
        <f>M31+(M31*0.03)</f>
        <v>2211.41</v>
      </c>
      <c r="M31" s="99">
        <v>2147</v>
      </c>
      <c r="N31" s="99">
        <v>2338</v>
      </c>
      <c r="O31" s="212">
        <v>2640</v>
      </c>
      <c r="P31" s="169"/>
      <c r="Q31" s="228">
        <f>R31+(R31*0.03)</f>
        <v>0.1920229</v>
      </c>
      <c r="R31" s="229">
        <f>S31+(S31*0.03)</f>
        <v>0.18642999999999998</v>
      </c>
      <c r="S31" s="205">
        <v>0.18099999999999999</v>
      </c>
      <c r="T31" s="205">
        <v>0.19500000000000001</v>
      </c>
      <c r="U31" s="259">
        <v>0.20300000000000001</v>
      </c>
      <c r="V31" s="9"/>
      <c r="W31" s="9"/>
      <c r="X31" s="9"/>
    </row>
    <row r="32" spans="1:24" ht="15.75" x14ac:dyDescent="0.25">
      <c r="A32" s="9"/>
      <c r="B32" s="66" t="s">
        <v>188</v>
      </c>
      <c r="C32" s="66"/>
      <c r="D32" s="33"/>
      <c r="E32" s="100">
        <f t="shared" ref="E32:E36" si="34">F32+(F32*0.03)</f>
        <v>17877.225899999998</v>
      </c>
      <c r="F32" s="100">
        <f t="shared" ref="F32:F36" si="35">G32+(G32*0.03)</f>
        <v>17356.53</v>
      </c>
      <c r="G32" s="172">
        <v>16851</v>
      </c>
      <c r="H32" s="98">
        <v>16707</v>
      </c>
      <c r="I32" s="211">
        <v>16823</v>
      </c>
      <c r="J32" s="169"/>
      <c r="K32" s="224">
        <f t="shared" ref="K32:K38" si="36">L32+(L32*0.03)</f>
        <v>3136.0203999999999</v>
      </c>
      <c r="L32" s="100">
        <f t="shared" ref="L32:L38" si="37">M32+(M32*0.03)</f>
        <v>3044.68</v>
      </c>
      <c r="M32" s="98">
        <v>2956</v>
      </c>
      <c r="N32" s="98"/>
      <c r="O32" s="211"/>
      <c r="P32" s="111"/>
      <c r="Q32" s="260">
        <f t="shared" ref="Q32:Q38" si="38">R32+(R32*0.03)</f>
        <v>0</v>
      </c>
      <c r="R32" s="235">
        <f t="shared" ref="R32:R38" si="39">S32+(S32*0.03)</f>
        <v>0</v>
      </c>
      <c r="S32" s="103"/>
      <c r="T32" s="103"/>
      <c r="U32" s="261"/>
      <c r="V32" s="9"/>
      <c r="W32" s="9"/>
      <c r="X32" s="9"/>
    </row>
    <row r="33" spans="1:24" ht="15.75" x14ac:dyDescent="0.25">
      <c r="A33" s="28"/>
      <c r="B33" s="238" t="s">
        <v>189</v>
      </c>
      <c r="C33" s="238"/>
      <c r="D33" s="96"/>
      <c r="E33" s="100">
        <f t="shared" si="34"/>
        <v>0</v>
      </c>
      <c r="F33" s="100">
        <v>0</v>
      </c>
      <c r="G33" s="234">
        <v>14894</v>
      </c>
      <c r="H33" s="100">
        <v>14082</v>
      </c>
      <c r="I33" s="225">
        <v>14508</v>
      </c>
      <c r="J33" s="193"/>
      <c r="K33" s="224">
        <f t="shared" si="36"/>
        <v>0</v>
      </c>
      <c r="L33" s="100">
        <v>0</v>
      </c>
      <c r="M33" s="100">
        <v>1545</v>
      </c>
      <c r="N33" s="100">
        <v>861</v>
      </c>
      <c r="O33" s="225">
        <v>2000</v>
      </c>
      <c r="P33" s="215"/>
      <c r="Q33" s="260">
        <f t="shared" si="38"/>
        <v>0</v>
      </c>
      <c r="R33" s="235">
        <v>0</v>
      </c>
      <c r="S33" s="236">
        <v>0.104</v>
      </c>
      <c r="T33" s="237"/>
      <c r="U33" s="262"/>
      <c r="V33" s="9"/>
      <c r="W33" s="9"/>
      <c r="X33" s="9"/>
    </row>
    <row r="34" spans="1:24" ht="15.75" x14ac:dyDescent="0.25">
      <c r="A34" s="9"/>
      <c r="B34" s="47" t="s">
        <v>190</v>
      </c>
      <c r="C34" s="47"/>
      <c r="D34" s="34"/>
      <c r="E34" s="100">
        <f t="shared" si="34"/>
        <v>15345.918500000002</v>
      </c>
      <c r="F34" s="100">
        <f t="shared" si="35"/>
        <v>14898.95</v>
      </c>
      <c r="G34" s="196">
        <v>14465</v>
      </c>
      <c r="H34" s="99">
        <v>14094</v>
      </c>
      <c r="I34" s="212">
        <v>14215</v>
      </c>
      <c r="J34" s="169"/>
      <c r="K34" s="224">
        <f t="shared" si="36"/>
        <v>2437.9482000000003</v>
      </c>
      <c r="L34" s="100">
        <f t="shared" si="37"/>
        <v>2366.94</v>
      </c>
      <c r="M34" s="99">
        <v>2298</v>
      </c>
      <c r="N34" s="99">
        <v>1888</v>
      </c>
      <c r="O34" s="212">
        <v>2355</v>
      </c>
      <c r="P34" s="216"/>
      <c r="Q34" s="260">
        <f t="shared" si="38"/>
        <v>0.1686831</v>
      </c>
      <c r="R34" s="235">
        <f t="shared" si="39"/>
        <v>0.16377</v>
      </c>
      <c r="S34" s="191">
        <v>0.159</v>
      </c>
      <c r="T34" s="191">
        <v>0.13400000000000001</v>
      </c>
      <c r="U34" s="263">
        <v>0.16600000000000001</v>
      </c>
      <c r="V34" s="9"/>
      <c r="W34" s="9"/>
      <c r="X34" s="9"/>
    </row>
    <row r="35" spans="1:24" ht="15.75" x14ac:dyDescent="0.25">
      <c r="A35" s="9"/>
      <c r="B35" s="66" t="s">
        <v>191</v>
      </c>
      <c r="C35" s="66"/>
      <c r="D35" s="33"/>
      <c r="E35" s="100">
        <v>45840.43</v>
      </c>
      <c r="F35" s="100">
        <v>44505.27</v>
      </c>
      <c r="G35" s="172">
        <v>58103</v>
      </c>
      <c r="H35" s="98">
        <v>56863</v>
      </c>
      <c r="I35" s="211">
        <v>58528</v>
      </c>
      <c r="J35" s="169"/>
      <c r="K35" s="224">
        <f t="shared" si="36"/>
        <v>9490.8113999999987</v>
      </c>
      <c r="L35" s="100">
        <f t="shared" si="37"/>
        <v>9214.3799999999992</v>
      </c>
      <c r="M35" s="98">
        <v>8946</v>
      </c>
      <c r="N35" s="98">
        <v>8023</v>
      </c>
      <c r="O35" s="211">
        <v>9777</v>
      </c>
      <c r="P35" s="216"/>
      <c r="Q35" s="260">
        <f t="shared" si="38"/>
        <v>0.16337860000000001</v>
      </c>
      <c r="R35" s="235">
        <f t="shared" si="39"/>
        <v>0.15862000000000001</v>
      </c>
      <c r="S35" s="202">
        <v>0.154</v>
      </c>
      <c r="T35" s="103"/>
      <c r="U35" s="261"/>
      <c r="V35" s="9"/>
      <c r="W35" s="9"/>
      <c r="X35" s="9"/>
    </row>
    <row r="36" spans="1:24" ht="15.75" x14ac:dyDescent="0.25">
      <c r="A36" s="9"/>
      <c r="B36" s="66" t="s">
        <v>192</v>
      </c>
      <c r="C36" s="66"/>
      <c r="D36" s="33"/>
      <c r="E36" s="100">
        <f t="shared" si="34"/>
        <v>-911.31309999999996</v>
      </c>
      <c r="F36" s="100">
        <f t="shared" si="35"/>
        <v>-884.77</v>
      </c>
      <c r="G36" s="172">
        <v>-859</v>
      </c>
      <c r="H36" s="98">
        <v>-765</v>
      </c>
      <c r="I36" s="211">
        <v>-628</v>
      </c>
      <c r="J36" s="169"/>
      <c r="K36" s="224">
        <f t="shared" si="36"/>
        <v>-390.41120000000001</v>
      </c>
      <c r="L36" s="100">
        <f t="shared" si="37"/>
        <v>-379.04</v>
      </c>
      <c r="M36" s="98">
        <v>-368</v>
      </c>
      <c r="N36" s="98">
        <v>-268</v>
      </c>
      <c r="O36" s="211">
        <v>304</v>
      </c>
      <c r="P36" s="111"/>
      <c r="Q36" s="260">
        <f t="shared" si="38"/>
        <v>0</v>
      </c>
      <c r="R36" s="235">
        <f t="shared" si="39"/>
        <v>0</v>
      </c>
      <c r="S36" s="103"/>
      <c r="T36" s="103"/>
      <c r="U36" s="261"/>
      <c r="V36" s="9"/>
      <c r="W36" s="9"/>
      <c r="X36" s="9"/>
    </row>
    <row r="37" spans="1:24" ht="15.75" x14ac:dyDescent="0.25">
      <c r="A37" s="9"/>
      <c r="B37" s="46" t="s">
        <v>193</v>
      </c>
      <c r="C37" s="46"/>
      <c r="D37" s="12"/>
      <c r="E37" s="100">
        <v>0</v>
      </c>
      <c r="F37" s="100">
        <v>0</v>
      </c>
      <c r="G37" s="184" t="s">
        <v>72</v>
      </c>
      <c r="H37" s="170" t="s">
        <v>72</v>
      </c>
      <c r="I37" s="213" t="s">
        <v>72</v>
      </c>
      <c r="J37" s="169"/>
      <c r="K37" s="224">
        <f t="shared" si="36"/>
        <v>-430.72539999999998</v>
      </c>
      <c r="L37" s="100">
        <f t="shared" si="37"/>
        <v>-418.18</v>
      </c>
      <c r="M37" s="170">
        <v>-406</v>
      </c>
      <c r="N37" s="170">
        <v>-464</v>
      </c>
      <c r="O37" s="213">
        <v>-488</v>
      </c>
      <c r="P37" s="111"/>
      <c r="Q37" s="260">
        <f t="shared" si="38"/>
        <v>0</v>
      </c>
      <c r="R37" s="235">
        <f t="shared" si="39"/>
        <v>0</v>
      </c>
      <c r="S37" s="140"/>
      <c r="T37" s="140"/>
      <c r="U37" s="264"/>
      <c r="V37" s="9"/>
      <c r="W37" s="9"/>
      <c r="X37" s="9"/>
    </row>
    <row r="38" spans="1:24" ht="16.5" thickBot="1" x14ac:dyDescent="0.3">
      <c r="A38" s="9"/>
      <c r="B38" s="40" t="s">
        <v>194</v>
      </c>
      <c r="C38" s="40"/>
      <c r="D38" s="35"/>
      <c r="E38" s="179">
        <v>44929.120000000003</v>
      </c>
      <c r="F38" s="179">
        <v>58961.32</v>
      </c>
      <c r="G38" s="197">
        <v>57244</v>
      </c>
      <c r="H38" s="105">
        <v>56098</v>
      </c>
      <c r="I38" s="214">
        <v>57900</v>
      </c>
      <c r="J38" s="169"/>
      <c r="K38" s="226">
        <f t="shared" si="36"/>
        <v>8669.6748000000007</v>
      </c>
      <c r="L38" s="179">
        <f t="shared" si="37"/>
        <v>8417.16</v>
      </c>
      <c r="M38" s="105">
        <v>8172</v>
      </c>
      <c r="N38" s="105">
        <v>7291</v>
      </c>
      <c r="O38" s="214">
        <v>9593</v>
      </c>
      <c r="P38" s="169"/>
      <c r="Q38" s="265">
        <f t="shared" si="38"/>
        <v>0.15170869999999997</v>
      </c>
      <c r="R38" s="266">
        <f t="shared" si="39"/>
        <v>0.14728999999999998</v>
      </c>
      <c r="S38" s="192">
        <v>0.14299999999999999</v>
      </c>
      <c r="T38" s="192">
        <v>0.13</v>
      </c>
      <c r="U38" s="267">
        <v>0.16600000000000001</v>
      </c>
      <c r="V38" s="9"/>
      <c r="W38" s="9"/>
      <c r="X38" s="9"/>
    </row>
    <row r="39" spans="1:24" x14ac:dyDescent="0.25">
      <c r="J39" s="2"/>
      <c r="P39" s="2"/>
    </row>
  </sheetData>
  <mergeCells count="8">
    <mergeCell ref="R15:T15"/>
    <mergeCell ref="L15:N15"/>
    <mergeCell ref="E29:F29"/>
    <mergeCell ref="G29:I29"/>
    <mergeCell ref="K29:L29"/>
    <mergeCell ref="M29:O29"/>
    <mergeCell ref="Q29:R29"/>
    <mergeCell ref="S29:U29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2889E-E23B-477B-B557-54D0F80143C5}">
  <dimension ref="B3"/>
  <sheetViews>
    <sheetView topLeftCell="A16" workbookViewId="0">
      <selection activeCell="E13" sqref="E13"/>
    </sheetView>
  </sheetViews>
  <sheetFormatPr defaultColWidth="8.7109375" defaultRowHeight="15.75" x14ac:dyDescent="0.25"/>
  <cols>
    <col min="1" max="16384" width="8.7109375" style="9"/>
  </cols>
  <sheetData>
    <row r="3" spans="2:2" x14ac:dyDescent="0.25">
      <c r="B3" s="10" t="s">
        <v>233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Document" dvAspect="DVASPECT_ICON" shapeId="6146" r:id="rId4">
          <objectPr defaultSize="0" r:id="rId5">
            <anchor moveWithCells="1">
              <from>
                <xdr:col>2</xdr:col>
                <xdr:colOff>0</xdr:colOff>
                <xdr:row>5</xdr:row>
                <xdr:rowOff>0</xdr:rowOff>
              </from>
              <to>
                <xdr:col>3</xdr:col>
                <xdr:colOff>266700</xdr:colOff>
                <xdr:row>8</xdr:row>
                <xdr:rowOff>95250</xdr:rowOff>
              </to>
            </anchor>
          </objectPr>
        </oleObject>
      </mc:Choice>
      <mc:Fallback>
        <oleObject progId="Document" dvAspect="DVASPECT_ICON" shapeId="6146" r:id="rId4"/>
      </mc:Fallback>
    </mc:AlternateContent>
    <mc:AlternateContent xmlns:mc="http://schemas.openxmlformats.org/markup-compatibility/2006">
      <mc:Choice Requires="x14">
        <oleObject progId="Document" shapeId="6149" r:id="rId6">
          <objectPr defaultSize="0" r:id="rId7">
            <anchor moveWithCells="1">
              <from>
                <xdr:col>4</xdr:col>
                <xdr:colOff>0</xdr:colOff>
                <xdr:row>12</xdr:row>
                <xdr:rowOff>0</xdr:rowOff>
              </from>
              <to>
                <xdr:col>12</xdr:col>
                <xdr:colOff>552450</xdr:colOff>
                <xdr:row>36</xdr:row>
                <xdr:rowOff>19050</xdr:rowOff>
              </to>
            </anchor>
          </objectPr>
        </oleObject>
      </mc:Choice>
      <mc:Fallback>
        <oleObject progId="Document" shapeId="6149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Ratio</vt:lpstr>
      <vt:lpstr>Income Statement</vt:lpstr>
      <vt:lpstr>Balance Sheet</vt:lpstr>
      <vt:lpstr>Cash Flow Statement</vt:lpstr>
      <vt:lpstr>Segment Review </vt:lpstr>
      <vt:lpstr>White Paper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Jessie Chambers</dc:creator>
  <cp:lastModifiedBy>Gordon Elliott Williams</cp:lastModifiedBy>
  <dcterms:created xsi:type="dcterms:W3CDTF">2021-07-12T08:40:26Z</dcterms:created>
  <dcterms:modified xsi:type="dcterms:W3CDTF">2021-08-29T14:51:33Z</dcterms:modified>
</cp:coreProperties>
</file>