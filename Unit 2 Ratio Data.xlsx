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/>
  <mc:AlternateContent xmlns:mc="http://schemas.openxmlformats.org/markup-compatibility/2006">
    <mc:Choice Requires="x15">
      <x15ac:absPath xmlns:x15ac="http://schemas.microsoft.com/office/spreadsheetml/2010/11/ac" url="C:\Users\gelli\Desktop\GRADUATE POST\BUS522 FINANCIAL TOOLS FOR MANAGERS\"/>
    </mc:Choice>
  </mc:AlternateContent>
  <xr:revisionPtr revIDLastSave="0" documentId="8_{F5375F7A-E8C4-4449-8DC5-1B6F4DFD4605}" xr6:coauthVersionLast="47" xr6:coauthVersionMax="47" xr10:uidLastSave="{00000000-0000-0000-0000-000000000000}"/>
  <bookViews>
    <workbookView xWindow="26835" yWindow="345" windowWidth="19935" windowHeight="12720" xr2:uid="{00000000-000D-0000-FFFF-FFFF00000000}"/>
  </bookViews>
  <sheets>
    <sheet name=" Build a Model " sheetId="1" r:id="rId1"/>
  </sheets>
  <definedNames>
    <definedName name="_xlnm.Print_Area" localSheetId="0">' Build a Model '!$A$1:$E$73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9" i="1" l="1"/>
  <c r="D73" i="1"/>
  <c r="F73" i="1"/>
  <c r="E73" i="1"/>
  <c r="D71" i="1"/>
  <c r="D70" i="1"/>
  <c r="D69" i="1"/>
  <c r="D66" i="1"/>
  <c r="D65" i="1"/>
  <c r="D64" i="1"/>
  <c r="D63" i="1"/>
  <c r="F63" i="1"/>
  <c r="D60" i="1"/>
  <c r="D58" i="1"/>
  <c r="D56" i="1"/>
  <c r="D55" i="1"/>
  <c r="D53" i="1"/>
  <c r="D51" i="1"/>
  <c r="D50" i="1"/>
  <c r="D48" i="1"/>
  <c r="D42" i="1"/>
  <c r="D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C. Ehrhardt</author>
  </authors>
  <commentList>
    <comment ref="A37" authorId="0" shapeId="0" xr:uid="{00000000-0006-0000-0000-000001000000}">
      <text>
        <r>
          <rPr>
            <sz val="8"/>
            <color indexed="81"/>
            <rFont val="Tahoma"/>
            <family val="2"/>
          </rPr>
          <t>Due to rounding, the numbers calculated in the Chapter 2 problem may differ slightly from these.</t>
        </r>
      </text>
    </comment>
  </commentList>
</comments>
</file>

<file path=xl/sharedStrings.xml><?xml version="1.0" encoding="utf-8"?>
<sst xmlns="http://schemas.openxmlformats.org/spreadsheetml/2006/main" count="66" uniqueCount="65">
  <si>
    <t>Assets</t>
  </si>
  <si>
    <t>Cash and cash equivalents</t>
  </si>
  <si>
    <t>Accounts Receivable</t>
  </si>
  <si>
    <t>Inventories</t>
  </si>
  <si>
    <t xml:space="preserve">  Total current assets</t>
  </si>
  <si>
    <t>Total assets</t>
  </si>
  <si>
    <t>Liabilities and equity</t>
  </si>
  <si>
    <t>Accounts payable</t>
  </si>
  <si>
    <t>Accruals</t>
  </si>
  <si>
    <t>Notes payable</t>
  </si>
  <si>
    <t xml:space="preserve">  Total current liabilities</t>
  </si>
  <si>
    <t>Long-term debt</t>
  </si>
  <si>
    <t xml:space="preserve">  Total liabilities</t>
  </si>
  <si>
    <t>Common stock</t>
  </si>
  <si>
    <t>Retained Earnings</t>
  </si>
  <si>
    <t xml:space="preserve">  Total common equity</t>
  </si>
  <si>
    <t>Total liabilities and equity</t>
  </si>
  <si>
    <t>Interest Expense</t>
  </si>
  <si>
    <t>Sales</t>
  </si>
  <si>
    <t>Depreciation and Amortization</t>
  </si>
  <si>
    <t xml:space="preserve">  EBIT</t>
  </si>
  <si>
    <t xml:space="preserve">  EBT</t>
  </si>
  <si>
    <t xml:space="preserve">  Net Income</t>
  </si>
  <si>
    <t>Common dividends</t>
  </si>
  <si>
    <t>Addition to retained earnings</t>
  </si>
  <si>
    <t>Liquidity Ratios</t>
  </si>
  <si>
    <t xml:space="preserve">   Current Ratio</t>
  </si>
  <si>
    <t xml:space="preserve">   Quick Ratio</t>
  </si>
  <si>
    <t>Asset Management Ratios</t>
  </si>
  <si>
    <t xml:space="preserve">   Total Assets Turnover</t>
  </si>
  <si>
    <t xml:space="preserve">   Days Sales Outstanding</t>
  </si>
  <si>
    <t xml:space="preserve">   Fixed Assets Turnover</t>
  </si>
  <si>
    <t>Debt Management Ratios</t>
  </si>
  <si>
    <t xml:space="preserve">   Times-interest-earned ratio</t>
  </si>
  <si>
    <t xml:space="preserve">   EBITDA coverage ratio</t>
  </si>
  <si>
    <t xml:space="preserve">   Profit Margin</t>
  </si>
  <si>
    <t xml:space="preserve">   Basic Earning Power</t>
  </si>
  <si>
    <t xml:space="preserve">   Return on Assets</t>
  </si>
  <si>
    <t xml:space="preserve">   Return on Equity</t>
  </si>
  <si>
    <t>Market Value Ratios</t>
  </si>
  <si>
    <t xml:space="preserve">   Price-to-earnings ratio</t>
  </si>
  <si>
    <t xml:space="preserve">   Market-to-book ratio</t>
  </si>
  <si>
    <t xml:space="preserve">   Earnings per share</t>
  </si>
  <si>
    <t xml:space="preserve">   Cash flow per share</t>
  </si>
  <si>
    <t xml:space="preserve">   Price-to-cash flow ratio</t>
  </si>
  <si>
    <t xml:space="preserve">   Book Value per share</t>
  </si>
  <si>
    <t>Other Data</t>
  </si>
  <si>
    <t>Year-end Stock Price</t>
  </si>
  <si>
    <t>Ratio Analysis</t>
  </si>
  <si>
    <t>Short-term investments</t>
  </si>
  <si>
    <t>Profitability Ratios</t>
  </si>
  <si>
    <t xml:space="preserve">  Net fixed assets</t>
  </si>
  <si>
    <t>(Thousands of Dollars)</t>
  </si>
  <si>
    <t>Joshua &amp; White Technologies: December 31 Balance Sheets</t>
  </si>
  <si>
    <t>Joshua &amp; White Technologies December 31 Income Statements</t>
  </si>
  <si>
    <t># of shares (Thousands)</t>
  </si>
  <si>
    <t>Lease payment (Thousands of Dollars)</t>
  </si>
  <si>
    <t>Sinking fund payment (Thousands of Dollars)</t>
  </si>
  <si>
    <t>Other operating expenses</t>
  </si>
  <si>
    <t xml:space="preserve">   Liabilities-to-assets ratio</t>
  </si>
  <si>
    <t xml:space="preserve">   Debt Ratio (Total debt-to-assets)</t>
  </si>
  <si>
    <t xml:space="preserve">   Inventory Turnover (Total COGS/Inventories)</t>
  </si>
  <si>
    <t>COGS except excluding depr. and amort.</t>
  </si>
  <si>
    <t>Taxes (25%)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</si>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</sst>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164" formatCode="&quot;$&quot;#,##0"/>
    <numFmt numFmtId="165" formatCode="&quot;$&quot;#,##0.00"/>
    <numFmt numFmtId="166" formatCode="0.0%"/>
  </numFmts>
  <fonts count="10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u/>
      <sz val="11"/>
      <name val="Arial"/>
      <family val="2"/>
    </font>
    <font>
      <b/>
      <i/>
      <sz val="11"/>
      <name val="Arial"/>
      <family val="2"/>
    </font>
    <font>
      <u val="double"/>
      <sz val="11"/>
      <name val="Arial"/>
      <family val="2"/>
    </font>
    <font>
      <b/>
      <sz val="11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Fill="1" applyBorder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/>
    <xf numFmtId="0" fontId="3" fillId="0" borderId="1" xfId="0" applyFont="1" applyFill="1" applyBorder="1" applyAlignment="1">
      <alignment horizontal="right"/>
    </xf>
    <xf numFmtId="164" fontId="4" fillId="0" borderId="0" xfId="0" applyNumberFormat="1" applyFont="1" applyFill="1"/>
    <xf numFmtId="164" fontId="4" fillId="0" borderId="0" xfId="0" applyNumberFormat="1" applyFont="1" applyFill="1" applyBorder="1"/>
    <xf numFmtId="3" fontId="4" fillId="0" borderId="0" xfId="0" applyNumberFormat="1" applyFont="1" applyFill="1"/>
    <xf numFmtId="3" fontId="6" fillId="0" borderId="0" xfId="0" applyNumberFormat="1" applyFont="1" applyFill="1" applyBorder="1"/>
    <xf numFmtId="0" fontId="4" fillId="0" borderId="0" xfId="0" quotePrefix="1" applyFont="1" applyFill="1" applyAlignment="1">
      <alignment horizontal="left"/>
    </xf>
    <xf numFmtId="164" fontId="8" fillId="0" borderId="0" xfId="0" applyNumberFormat="1" applyFont="1" applyFill="1" applyBorder="1"/>
    <xf numFmtId="164" fontId="6" fillId="0" borderId="0" xfId="0" applyNumberFormat="1" applyFont="1" applyFill="1" applyBorder="1"/>
    <xf numFmtId="0" fontId="9" fillId="0" borderId="0" xfId="0" applyFont="1" applyFill="1" applyAlignment="1">
      <alignment horizontal="center"/>
    </xf>
    <xf numFmtId="0" fontId="3" fillId="0" borderId="0" xfId="0" applyFont="1" applyFill="1"/>
    <xf numFmtId="5" fontId="4" fillId="0" borderId="0" xfId="0" applyNumberFormat="1" applyFont="1" applyFill="1"/>
    <xf numFmtId="37" fontId="4" fillId="0" borderId="0" xfId="0" applyNumberFormat="1" applyFont="1" applyFill="1" applyBorder="1"/>
    <xf numFmtId="37" fontId="6" fillId="0" borderId="0" xfId="0" applyNumberFormat="1" applyFont="1" applyFill="1" applyBorder="1"/>
    <xf numFmtId="5" fontId="4" fillId="0" borderId="0" xfId="0" applyNumberFormat="1" applyFont="1" applyFill="1" applyBorder="1"/>
    <xf numFmtId="5" fontId="8" fillId="0" borderId="0" xfId="0" applyNumberFormat="1" applyFont="1" applyFill="1" applyBorder="1"/>
    <xf numFmtId="165" fontId="5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0" fontId="5" fillId="0" borderId="0" xfId="0" applyFont="1"/>
    <xf numFmtId="2" fontId="3" fillId="2" borderId="0" xfId="0" applyNumberFormat="1" applyFont="1" applyFill="1"/>
    <xf numFmtId="166" fontId="3" fillId="2" borderId="0" xfId="1" applyNumberFormat="1" applyFont="1" applyFill="1"/>
    <xf numFmtId="10" fontId="3" fillId="2" borderId="0" xfId="1" applyNumberFormat="1" applyFont="1" applyFill="1"/>
    <xf numFmtId="165" fontId="3" fillId="2" borderId="0" xfId="0" applyNumberFormat="1" applyFont="1" applyFill="1"/>
    <xf numFmtId="4" fontId="3" fillId="2" borderId="0" xfId="0" applyNumberFormat="1" applyFont="1" applyFill="1"/>
    <xf numFmtId="7" fontId="4" fillId="0" borderId="0" xfId="0" applyNumberFormat="1" applyFont="1" applyFill="1" applyBorder="1"/>
    <xf numFmtId="164" fontId="9" fillId="0" borderId="0" xfId="0" applyNumberFormat="1" applyFont="1" applyFill="1" applyAlignment="1">
      <alignment horizontal="center"/>
    </xf>
    <xf numFmtId="5" fontId="4" fillId="0" borderId="0" xfId="0" applyNumberFormat="1" applyFont="1"/>
    <xf numFmtId="7" fontId="4" fillId="0" borderId="0" xfId="0" applyNumberFormat="1" applyFont="1"/>
    <xf numFmtId="0" fontId="4" fillId="3" borderId="0" xfId="0" applyFont="1" applyFill="1" applyAlignment="1">
      <alignment horizontal="center"/>
    </xf>
    <xf numFmtId="165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3"/>
  <sheetViews>
    <sheetView tabSelected="1" topLeftCell="A38" workbookViewId="0">
      <selection activeCell="D60" sqref="D60"/>
    </sheetView>
  </sheetViews>
  <sheetFormatPr defaultColWidth="11.7109375" defaultRowHeight="14.25" x14ac:dyDescent="0.2"/>
  <cols>
    <col min="1" max="1" width="43.7109375" style="2" customWidth="1"/>
    <col min="2" max="3" width="1" style="2" customWidth="1"/>
    <col min="4" max="4" width="11.7109375" style="2" customWidth="1"/>
    <col min="5" max="5" width="18.85546875" style="2" bestFit="1" customWidth="1"/>
    <col min="6" max="6" width="21.7109375" style="2" customWidth="1"/>
    <col min="7" max="7" width="23.5703125" style="2" customWidth="1"/>
    <col min="8" max="9" width="11.7109375" style="2"/>
    <col min="10" max="10" width="14" style="2" bestFit="1" customWidth="1"/>
    <col min="11" max="11" width="12.7109375" style="2" bestFit="1" customWidth="1"/>
    <col min="12" max="16384" width="11.7109375" style="2"/>
  </cols>
  <sheetData>
    <row r="1" spans="1:16" ht="12" customHeight="1" x14ac:dyDescent="0.2">
      <c r="G1" s="3"/>
      <c r="H1" s="3"/>
      <c r="I1" s="3"/>
      <c r="J1" s="3"/>
      <c r="K1" s="3"/>
      <c r="L1" s="3"/>
      <c r="M1" s="3"/>
    </row>
    <row r="2" spans="1:16" ht="15" x14ac:dyDescent="0.25">
      <c r="A2" s="4" t="s">
        <v>53</v>
      </c>
      <c r="B2" s="5"/>
      <c r="C2" s="5"/>
      <c r="D2" s="5"/>
      <c r="E2"/>
      <c r="F2"/>
      <c r="G2"/>
      <c r="H2"/>
      <c r="I2"/>
      <c r="J2"/>
      <c r="K2"/>
      <c r="L2"/>
      <c r="M2"/>
      <c r="N2"/>
      <c r="O2"/>
      <c r="P2"/>
    </row>
    <row r="3" spans="1:16" x14ac:dyDescent="0.2">
      <c r="A3" s="6" t="s">
        <v>52</v>
      </c>
      <c r="B3" s="5"/>
      <c r="C3" s="5"/>
      <c r="D3" s="5"/>
      <c r="E3"/>
      <c r="F3"/>
      <c r="G3"/>
      <c r="H3"/>
      <c r="I3"/>
      <c r="J3"/>
      <c r="K3"/>
      <c r="L3"/>
      <c r="M3"/>
      <c r="N3"/>
      <c r="O3"/>
      <c r="P3"/>
    </row>
    <row r="4" spans="1:16" x14ac:dyDescent="0.2">
      <c r="A4" s="7"/>
      <c r="B4" s="7"/>
      <c r="E4"/>
      <c r="F4"/>
      <c r="G4"/>
      <c r="H4"/>
      <c r="I4"/>
      <c r="J4"/>
      <c r="K4"/>
      <c r="L4"/>
      <c r="M4"/>
      <c r="N4"/>
      <c r="O4"/>
      <c r="P4"/>
    </row>
    <row r="5" spans="1:16" ht="15.75" thickBot="1" x14ac:dyDescent="0.3">
      <c r="A5" s="8" t="s">
        <v>0</v>
      </c>
      <c r="B5" s="5"/>
      <c r="D5" s="9">
        <v>2019</v>
      </c>
      <c r="E5"/>
      <c r="F5"/>
      <c r="G5"/>
      <c r="H5"/>
      <c r="I5"/>
      <c r="J5"/>
      <c r="K5"/>
      <c r="L5"/>
      <c r="M5"/>
      <c r="N5"/>
      <c r="O5"/>
      <c r="P5"/>
    </row>
    <row r="6" spans="1:16" x14ac:dyDescent="0.2">
      <c r="A6" s="5" t="s">
        <v>1</v>
      </c>
      <c r="B6" s="5"/>
      <c r="D6" s="10">
        <v>21000</v>
      </c>
      <c r="E6"/>
      <c r="F6"/>
      <c r="G6"/>
      <c r="H6"/>
      <c r="I6"/>
      <c r="J6"/>
      <c r="K6"/>
      <c r="L6"/>
      <c r="M6"/>
      <c r="N6"/>
      <c r="O6"/>
      <c r="P6"/>
    </row>
    <row r="7" spans="1:16" x14ac:dyDescent="0.2">
      <c r="A7" s="5" t="s">
        <v>49</v>
      </c>
      <c r="B7" s="5"/>
      <c r="D7" s="12">
        <v>3759</v>
      </c>
      <c r="E7"/>
      <c r="F7"/>
      <c r="G7"/>
      <c r="H7"/>
      <c r="I7"/>
      <c r="J7"/>
      <c r="K7"/>
      <c r="L7"/>
      <c r="M7"/>
      <c r="N7"/>
      <c r="O7"/>
      <c r="P7"/>
    </row>
    <row r="8" spans="1:16" x14ac:dyDescent="0.2">
      <c r="A8" s="5" t="s">
        <v>2</v>
      </c>
      <c r="B8" s="5"/>
      <c r="D8" s="12">
        <v>52500</v>
      </c>
      <c r="E8"/>
      <c r="F8"/>
      <c r="G8"/>
      <c r="H8"/>
      <c r="I8"/>
      <c r="J8"/>
      <c r="K8"/>
      <c r="L8"/>
      <c r="M8"/>
      <c r="N8"/>
      <c r="O8"/>
      <c r="P8"/>
    </row>
    <row r="9" spans="1:16" x14ac:dyDescent="0.2">
      <c r="A9" s="5" t="s">
        <v>3</v>
      </c>
      <c r="B9" s="5"/>
      <c r="D9" s="13">
        <v>84000</v>
      </c>
      <c r="E9"/>
      <c r="F9"/>
      <c r="G9"/>
      <c r="H9"/>
      <c r="I9"/>
      <c r="J9"/>
      <c r="K9"/>
      <c r="L9"/>
      <c r="M9"/>
      <c r="N9"/>
      <c r="O9"/>
      <c r="P9"/>
    </row>
    <row r="10" spans="1:16" x14ac:dyDescent="0.2">
      <c r="A10" s="14" t="s">
        <v>4</v>
      </c>
      <c r="B10" s="5"/>
      <c r="D10" s="10">
        <v>161259</v>
      </c>
      <c r="E10"/>
      <c r="F10"/>
      <c r="G10"/>
      <c r="H10"/>
      <c r="I10"/>
      <c r="J10"/>
      <c r="K10"/>
      <c r="L10"/>
      <c r="M10"/>
      <c r="N10"/>
      <c r="O10"/>
      <c r="P10"/>
    </row>
    <row r="11" spans="1:16" x14ac:dyDescent="0.2">
      <c r="A11" s="14" t="s">
        <v>51</v>
      </c>
      <c r="B11" s="5"/>
      <c r="D11" s="13">
        <v>223097</v>
      </c>
      <c r="E11"/>
      <c r="F11"/>
      <c r="G11"/>
      <c r="H11"/>
      <c r="I11"/>
      <c r="J11"/>
      <c r="K11"/>
      <c r="L11"/>
      <c r="M11"/>
      <c r="N11"/>
      <c r="O11"/>
      <c r="P11"/>
    </row>
    <row r="12" spans="1:16" x14ac:dyDescent="0.2">
      <c r="A12" s="5" t="s">
        <v>5</v>
      </c>
      <c r="B12" s="5"/>
      <c r="D12" s="15">
        <v>384356</v>
      </c>
      <c r="E12"/>
      <c r="F12"/>
      <c r="G12"/>
      <c r="H12"/>
      <c r="I12"/>
      <c r="J12"/>
      <c r="K12"/>
      <c r="L12"/>
      <c r="M12"/>
      <c r="N12"/>
      <c r="O12"/>
      <c r="P12"/>
    </row>
    <row r="13" spans="1:16" x14ac:dyDescent="0.2">
      <c r="A13" s="5"/>
      <c r="B13" s="5"/>
      <c r="D13" s="10"/>
      <c r="E13"/>
      <c r="F13"/>
      <c r="G13"/>
      <c r="H13"/>
      <c r="I13"/>
      <c r="J13"/>
      <c r="K13"/>
      <c r="L13"/>
      <c r="M13"/>
      <c r="N13"/>
      <c r="O13"/>
      <c r="P13"/>
    </row>
    <row r="14" spans="1:16" x14ac:dyDescent="0.2">
      <c r="A14" s="8" t="s">
        <v>6</v>
      </c>
      <c r="B14" s="5"/>
      <c r="D14" s="10"/>
      <c r="E14"/>
      <c r="F14"/>
      <c r="G14"/>
      <c r="H14"/>
      <c r="I14"/>
      <c r="J14"/>
      <c r="K14"/>
      <c r="L14"/>
      <c r="M14"/>
      <c r="N14"/>
      <c r="O14"/>
      <c r="P14"/>
    </row>
    <row r="15" spans="1:16" x14ac:dyDescent="0.2">
      <c r="A15" s="5" t="s">
        <v>7</v>
      </c>
      <c r="B15" s="5"/>
      <c r="D15" s="11">
        <v>33600</v>
      </c>
      <c r="E15"/>
      <c r="F15"/>
      <c r="G15"/>
      <c r="H15"/>
      <c r="I15"/>
      <c r="J15"/>
      <c r="K15"/>
      <c r="L15"/>
      <c r="M15"/>
      <c r="N15"/>
      <c r="O15"/>
      <c r="P15"/>
    </row>
    <row r="16" spans="1:16" x14ac:dyDescent="0.2">
      <c r="A16" s="5" t="s">
        <v>8</v>
      </c>
      <c r="B16" s="5"/>
      <c r="D16" s="12">
        <v>12600</v>
      </c>
      <c r="E16"/>
      <c r="F16"/>
      <c r="G16"/>
      <c r="H16"/>
      <c r="I16"/>
      <c r="J16"/>
      <c r="K16"/>
      <c r="L16"/>
      <c r="M16"/>
      <c r="N16"/>
      <c r="O16"/>
      <c r="P16"/>
    </row>
    <row r="17" spans="1:16" x14ac:dyDescent="0.2">
      <c r="A17" s="5" t="s">
        <v>9</v>
      </c>
      <c r="B17" s="5"/>
      <c r="D17" s="13">
        <v>19929</v>
      </c>
      <c r="E17"/>
      <c r="F17"/>
      <c r="G17"/>
      <c r="H17"/>
      <c r="I17"/>
      <c r="J17"/>
      <c r="K17"/>
      <c r="L17"/>
      <c r="M17"/>
      <c r="N17"/>
      <c r="O17"/>
      <c r="P17"/>
    </row>
    <row r="18" spans="1:16" x14ac:dyDescent="0.2">
      <c r="A18" s="14" t="s">
        <v>10</v>
      </c>
      <c r="B18" s="5"/>
      <c r="D18" s="11">
        <v>66129</v>
      </c>
      <c r="E18"/>
      <c r="F18"/>
      <c r="G18"/>
      <c r="H18"/>
      <c r="I18"/>
      <c r="J18"/>
      <c r="K18"/>
      <c r="L18"/>
      <c r="M18"/>
      <c r="N18"/>
      <c r="O18"/>
      <c r="P18"/>
    </row>
    <row r="19" spans="1:16" x14ac:dyDescent="0.2">
      <c r="A19" s="5" t="s">
        <v>11</v>
      </c>
      <c r="B19" s="5"/>
      <c r="D19" s="13">
        <v>67662</v>
      </c>
      <c r="E19"/>
      <c r="F19"/>
      <c r="G19"/>
      <c r="H19"/>
      <c r="I19"/>
      <c r="J19"/>
      <c r="K19"/>
      <c r="L19"/>
      <c r="M19"/>
      <c r="N19"/>
      <c r="O19"/>
      <c r="P19"/>
    </row>
    <row r="20" spans="1:16" x14ac:dyDescent="0.2">
      <c r="A20" s="14" t="s">
        <v>12</v>
      </c>
      <c r="B20" s="5"/>
      <c r="D20" s="11">
        <v>133791</v>
      </c>
      <c r="E20"/>
      <c r="F20"/>
      <c r="G20"/>
      <c r="H20"/>
      <c r="I20"/>
      <c r="J20"/>
      <c r="K20"/>
      <c r="L20"/>
      <c r="M20"/>
      <c r="N20"/>
      <c r="O20"/>
      <c r="P20"/>
    </row>
    <row r="21" spans="1:16" x14ac:dyDescent="0.2">
      <c r="A21" s="5" t="s">
        <v>13</v>
      </c>
      <c r="B21" s="5"/>
      <c r="D21" s="12">
        <v>178440</v>
      </c>
      <c r="E21"/>
      <c r="F21"/>
      <c r="G21"/>
      <c r="H21"/>
      <c r="I21"/>
      <c r="J21"/>
      <c r="K21"/>
      <c r="L21"/>
      <c r="M21"/>
      <c r="N21"/>
      <c r="O21"/>
      <c r="P21"/>
    </row>
    <row r="22" spans="1:16" x14ac:dyDescent="0.2">
      <c r="A22" s="5" t="s">
        <v>14</v>
      </c>
      <c r="B22" s="5"/>
      <c r="D22" s="13">
        <v>72125</v>
      </c>
      <c r="E22"/>
      <c r="F22"/>
      <c r="G22"/>
      <c r="H22"/>
      <c r="I22"/>
      <c r="J22"/>
      <c r="K22"/>
      <c r="L22"/>
      <c r="M22"/>
      <c r="N22"/>
      <c r="O22"/>
      <c r="P22"/>
    </row>
    <row r="23" spans="1:16" x14ac:dyDescent="0.2">
      <c r="A23" s="14" t="s">
        <v>15</v>
      </c>
      <c r="B23" s="5"/>
      <c r="D23" s="16">
        <v>250565</v>
      </c>
      <c r="E23"/>
      <c r="F23"/>
      <c r="G23"/>
      <c r="H23"/>
      <c r="I23"/>
      <c r="J23"/>
      <c r="K23"/>
      <c r="L23"/>
      <c r="M23"/>
      <c r="N23"/>
      <c r="O23"/>
      <c r="P23"/>
    </row>
    <row r="24" spans="1:16" x14ac:dyDescent="0.2">
      <c r="A24" s="5" t="s">
        <v>16</v>
      </c>
      <c r="B24" s="5"/>
      <c r="D24" s="15">
        <v>384356</v>
      </c>
      <c r="E24"/>
      <c r="F24"/>
      <c r="G24"/>
      <c r="H24"/>
      <c r="I24"/>
      <c r="J24"/>
      <c r="K24"/>
      <c r="L24"/>
      <c r="M24"/>
      <c r="N24"/>
      <c r="O24"/>
      <c r="P24"/>
    </row>
    <row r="25" spans="1:16" ht="15" x14ac:dyDescent="0.25">
      <c r="A25" s="17"/>
      <c r="B25" s="17"/>
      <c r="C25" s="17"/>
      <c r="D25" s="34"/>
      <c r="E25"/>
      <c r="F25"/>
      <c r="G25"/>
      <c r="H25"/>
      <c r="I25"/>
      <c r="J25"/>
      <c r="K25"/>
      <c r="L25"/>
      <c r="M25"/>
      <c r="N25"/>
      <c r="O25"/>
      <c r="P25"/>
    </row>
    <row r="26" spans="1:16" ht="15" x14ac:dyDescent="0.25">
      <c r="A26" s="18" t="s">
        <v>54</v>
      </c>
      <c r="B26" s="5"/>
      <c r="C26" s="5"/>
      <c r="D26" s="5"/>
      <c r="E26"/>
      <c r="F26"/>
      <c r="G26"/>
      <c r="H26"/>
      <c r="I26"/>
      <c r="J26"/>
      <c r="K26"/>
      <c r="L26"/>
      <c r="M26"/>
      <c r="N26"/>
      <c r="O26"/>
      <c r="P26"/>
    </row>
    <row r="27" spans="1:16" x14ac:dyDescent="0.2">
      <c r="A27" s="6" t="s">
        <v>52</v>
      </c>
      <c r="B27" s="5"/>
      <c r="C27" s="5"/>
      <c r="E27"/>
      <c r="F27"/>
      <c r="G27"/>
      <c r="H27"/>
      <c r="I27"/>
      <c r="J27"/>
      <c r="K27"/>
      <c r="L27"/>
      <c r="M27"/>
      <c r="N27"/>
      <c r="O27"/>
      <c r="P27"/>
    </row>
    <row r="28" spans="1:16" ht="15.75" thickBot="1" x14ac:dyDescent="0.3">
      <c r="A28" s="5"/>
      <c r="B28" s="5"/>
      <c r="C28" s="5"/>
      <c r="D28" s="9">
        <f>$D$5</f>
        <v>2019</v>
      </c>
      <c r="E28"/>
      <c r="F28"/>
      <c r="G28"/>
      <c r="H28"/>
      <c r="I28"/>
      <c r="J28"/>
      <c r="K28"/>
      <c r="L28"/>
      <c r="M28"/>
      <c r="N28"/>
      <c r="O28"/>
      <c r="P28"/>
    </row>
    <row r="29" spans="1:16" x14ac:dyDescent="0.2">
      <c r="A29" s="5" t="s">
        <v>18</v>
      </c>
      <c r="B29" s="5"/>
      <c r="C29" s="5"/>
      <c r="D29" s="19">
        <v>420000</v>
      </c>
      <c r="E29"/>
      <c r="F29"/>
      <c r="G29"/>
      <c r="H29"/>
      <c r="I29"/>
      <c r="J29"/>
      <c r="K29"/>
      <c r="L29"/>
      <c r="M29"/>
      <c r="N29"/>
      <c r="O29"/>
      <c r="P29"/>
    </row>
    <row r="30" spans="1:16" x14ac:dyDescent="0.2">
      <c r="A30" s="14" t="s">
        <v>62</v>
      </c>
      <c r="B30" s="5"/>
      <c r="C30" s="5"/>
      <c r="D30" s="20">
        <v>300000</v>
      </c>
      <c r="E30"/>
      <c r="F30"/>
      <c r="G30"/>
      <c r="H30"/>
      <c r="I30"/>
      <c r="J30"/>
      <c r="K30"/>
      <c r="L30"/>
      <c r="M30"/>
      <c r="N30"/>
      <c r="O30"/>
      <c r="P30"/>
    </row>
    <row r="31" spans="1:16" x14ac:dyDescent="0.2">
      <c r="A31" s="14" t="s">
        <v>19</v>
      </c>
      <c r="B31" s="5"/>
      <c r="C31" s="5"/>
      <c r="D31" s="20">
        <v>19660</v>
      </c>
      <c r="E31"/>
      <c r="F31"/>
      <c r="G31"/>
      <c r="H31"/>
      <c r="I31"/>
      <c r="J31"/>
      <c r="K31"/>
      <c r="L31"/>
      <c r="M31"/>
      <c r="N31"/>
      <c r="O31"/>
      <c r="P31"/>
    </row>
    <row r="32" spans="1:16" x14ac:dyDescent="0.2">
      <c r="A32" s="2" t="s">
        <v>58</v>
      </c>
      <c r="D32" s="21">
        <v>27600</v>
      </c>
      <c r="E32"/>
      <c r="F32"/>
      <c r="G32"/>
      <c r="H32"/>
      <c r="I32"/>
      <c r="J32"/>
      <c r="K32"/>
      <c r="L32"/>
      <c r="M32"/>
      <c r="N32"/>
      <c r="O32"/>
      <c r="P32"/>
    </row>
    <row r="33" spans="1:16" x14ac:dyDescent="0.2">
      <c r="A33" s="14" t="s">
        <v>20</v>
      </c>
      <c r="B33" s="5"/>
      <c r="C33" s="5"/>
      <c r="D33" s="22">
        <v>72740</v>
      </c>
      <c r="E33"/>
      <c r="F33"/>
      <c r="G33"/>
      <c r="H33"/>
      <c r="I33"/>
      <c r="J33"/>
      <c r="K33"/>
      <c r="L33"/>
      <c r="M33"/>
      <c r="N33"/>
      <c r="O33"/>
      <c r="P33"/>
    </row>
    <row r="34" spans="1:16" x14ac:dyDescent="0.2">
      <c r="A34" s="14" t="s">
        <v>17</v>
      </c>
      <c r="B34" s="5"/>
      <c r="C34" s="5"/>
      <c r="D34" s="21">
        <v>5740</v>
      </c>
      <c r="E34"/>
      <c r="F34"/>
      <c r="G34"/>
      <c r="H34"/>
      <c r="I34"/>
      <c r="J34"/>
      <c r="K34"/>
      <c r="L34"/>
      <c r="M34"/>
      <c r="N34"/>
      <c r="O34"/>
      <c r="P34"/>
    </row>
    <row r="35" spans="1:16" x14ac:dyDescent="0.2">
      <c r="A35" s="14" t="s">
        <v>21</v>
      </c>
      <c r="B35" s="5"/>
      <c r="C35" s="5"/>
      <c r="D35" s="22">
        <v>67000</v>
      </c>
      <c r="E35"/>
      <c r="F35"/>
      <c r="G35"/>
      <c r="H35"/>
      <c r="I35"/>
      <c r="J35"/>
      <c r="K35"/>
      <c r="L35"/>
      <c r="M35"/>
      <c r="N35"/>
      <c r="O35"/>
      <c r="P35"/>
    </row>
    <row r="36" spans="1:16" x14ac:dyDescent="0.2">
      <c r="A36" s="14" t="s">
        <v>63</v>
      </c>
      <c r="B36" s="5"/>
      <c r="C36" s="5"/>
      <c r="D36" s="21">
        <v>16750</v>
      </c>
      <c r="E36"/>
      <c r="F36"/>
      <c r="G36"/>
      <c r="H36"/>
      <c r="I36"/>
      <c r="J36"/>
      <c r="K36"/>
      <c r="L36"/>
      <c r="M36"/>
      <c r="N36"/>
      <c r="O36"/>
      <c r="P36"/>
    </row>
    <row r="37" spans="1:16" x14ac:dyDescent="0.2">
      <c r="A37" s="14" t="s">
        <v>22</v>
      </c>
      <c r="B37" s="5"/>
      <c r="C37" s="5"/>
      <c r="D37" s="23">
        <v>50250</v>
      </c>
      <c r="E37"/>
      <c r="F37"/>
      <c r="G37"/>
      <c r="H37"/>
      <c r="I37"/>
      <c r="J37"/>
      <c r="K37"/>
      <c r="L37"/>
      <c r="M37"/>
      <c r="N37"/>
      <c r="O37"/>
      <c r="P37"/>
    </row>
    <row r="38" spans="1:16" x14ac:dyDescent="0.2">
      <c r="A38" s="14"/>
      <c r="B38" s="5"/>
      <c r="C38" s="5"/>
      <c r="D38" s="10"/>
      <c r="E38"/>
      <c r="F38"/>
      <c r="G38"/>
      <c r="H38"/>
      <c r="I38"/>
      <c r="J38"/>
      <c r="K38"/>
      <c r="L38"/>
      <c r="M38"/>
      <c r="N38"/>
      <c r="O38"/>
      <c r="P38"/>
    </row>
    <row r="39" spans="1:16" x14ac:dyDescent="0.2">
      <c r="A39" s="6" t="s">
        <v>23</v>
      </c>
      <c r="B39" s="5"/>
      <c r="C39" s="5"/>
      <c r="D39" s="22">
        <v>18125</v>
      </c>
      <c r="E39"/>
      <c r="F39"/>
      <c r="G39"/>
      <c r="H39"/>
      <c r="I39"/>
      <c r="J39"/>
      <c r="K39"/>
      <c r="L39"/>
      <c r="M39"/>
      <c r="N39"/>
      <c r="O39"/>
      <c r="P39"/>
    </row>
    <row r="40" spans="1:16" x14ac:dyDescent="0.2">
      <c r="A40" s="14" t="s">
        <v>24</v>
      </c>
      <c r="B40" s="5"/>
      <c r="C40" s="5"/>
      <c r="D40" s="22">
        <v>32125</v>
      </c>
      <c r="E40"/>
      <c r="F40"/>
      <c r="G40"/>
      <c r="H40"/>
      <c r="I40"/>
      <c r="J40"/>
      <c r="K40"/>
      <c r="L40"/>
      <c r="M40"/>
      <c r="N40"/>
      <c r="O40"/>
      <c r="P40"/>
    </row>
    <row r="41" spans="1:16" x14ac:dyDescent="0.2">
      <c r="E41"/>
      <c r="F41"/>
      <c r="G41"/>
      <c r="H41"/>
      <c r="I41"/>
      <c r="J41"/>
      <c r="K41"/>
      <c r="L41"/>
      <c r="M41"/>
      <c r="N41"/>
      <c r="O41"/>
      <c r="P41"/>
    </row>
    <row r="42" spans="1:16" ht="15.75" thickBot="1" x14ac:dyDescent="0.3">
      <c r="A42" s="1" t="s">
        <v>46</v>
      </c>
      <c r="D42" s="9">
        <f>$D$5</f>
        <v>2019</v>
      </c>
      <c r="E42"/>
      <c r="F42"/>
      <c r="G42"/>
      <c r="H42"/>
      <c r="I42"/>
      <c r="J42"/>
      <c r="K42"/>
      <c r="L42"/>
      <c r="M42"/>
      <c r="N42"/>
      <c r="O42"/>
      <c r="P42"/>
    </row>
    <row r="43" spans="1:16" ht="15" x14ac:dyDescent="0.25">
      <c r="A43" s="2" t="s">
        <v>47</v>
      </c>
      <c r="D43" s="24">
        <v>90</v>
      </c>
      <c r="E43"/>
      <c r="F43"/>
      <c r="G43"/>
      <c r="H43"/>
      <c r="I43"/>
      <c r="J43"/>
      <c r="K43"/>
      <c r="L43"/>
      <c r="M43"/>
      <c r="N43"/>
      <c r="O43"/>
      <c r="P43"/>
    </row>
    <row r="44" spans="1:16" ht="15" x14ac:dyDescent="0.25">
      <c r="A44" s="2" t="s">
        <v>55</v>
      </c>
      <c r="D44" s="25">
        <v>4052</v>
      </c>
      <c r="G44" s="3"/>
      <c r="H44" s="3"/>
      <c r="I44" s="3"/>
      <c r="J44" s="3"/>
      <c r="K44" s="3"/>
      <c r="L44" s="3"/>
      <c r="M44" s="3"/>
    </row>
    <row r="45" spans="1:16" ht="15" x14ac:dyDescent="0.25">
      <c r="A45" s="2" t="s">
        <v>56</v>
      </c>
      <c r="D45" s="26">
        <v>20000</v>
      </c>
      <c r="G45" s="3"/>
      <c r="H45" s="3"/>
      <c r="I45" s="3"/>
      <c r="J45" s="3"/>
      <c r="K45" s="3"/>
      <c r="L45" s="3"/>
      <c r="M45" s="3"/>
    </row>
    <row r="46" spans="1:16" ht="15" x14ac:dyDescent="0.25">
      <c r="A46" s="2" t="s">
        <v>57</v>
      </c>
      <c r="D46" s="26">
        <v>5000</v>
      </c>
      <c r="G46" s="3"/>
      <c r="H46" s="3"/>
      <c r="I46" s="3"/>
      <c r="J46" s="3"/>
      <c r="K46" s="3"/>
      <c r="L46" s="3"/>
      <c r="M46" s="3"/>
    </row>
    <row r="47" spans="1:16" x14ac:dyDescent="0.2">
      <c r="G47" s="3"/>
      <c r="H47" s="3"/>
      <c r="I47" s="3"/>
      <c r="J47" s="3"/>
      <c r="K47" s="3"/>
      <c r="L47" s="3"/>
      <c r="M47" s="3"/>
    </row>
    <row r="48" spans="1:16" ht="15.75" thickBot="1" x14ac:dyDescent="0.3">
      <c r="A48" s="27" t="s">
        <v>48</v>
      </c>
      <c r="D48" s="9">
        <f>$D$5</f>
        <v>2019</v>
      </c>
      <c r="G48" s="3"/>
      <c r="H48" s="3"/>
      <c r="I48" s="33"/>
      <c r="J48" s="3"/>
      <c r="K48" s="3"/>
      <c r="L48" s="3"/>
      <c r="M48" s="3"/>
    </row>
    <row r="49" spans="1:13" ht="15" x14ac:dyDescent="0.25">
      <c r="A49" s="1" t="s">
        <v>25</v>
      </c>
      <c r="G49" s="3"/>
      <c r="H49" s="3"/>
      <c r="I49" s="3"/>
      <c r="J49" s="3"/>
      <c r="K49" s="3"/>
      <c r="L49" s="3"/>
      <c r="M49" s="3"/>
    </row>
    <row r="50" spans="1:13" ht="15" x14ac:dyDescent="0.25">
      <c r="A50" s="2" t="s">
        <v>26</v>
      </c>
      <c r="D50" s="28">
        <f>D10/D18</f>
        <v>2.4385519212448394</v>
      </c>
      <c r="G50" s="3"/>
      <c r="H50" s="3"/>
      <c r="I50" s="3"/>
      <c r="J50" s="3"/>
      <c r="K50" s="3"/>
      <c r="L50" s="3"/>
      <c r="M50" s="3"/>
    </row>
    <row r="51" spans="1:13" ht="15" x14ac:dyDescent="0.25">
      <c r="A51" s="2" t="s">
        <v>27</v>
      </c>
      <c r="D51" s="28">
        <f>(D10-D9)/D18</f>
        <v>1.1683073991743411</v>
      </c>
      <c r="G51" s="3"/>
      <c r="H51" s="3"/>
      <c r="I51" s="3"/>
      <c r="J51" s="3"/>
      <c r="K51" s="3"/>
      <c r="L51" s="3"/>
      <c r="M51" s="3"/>
    </row>
    <row r="52" spans="1:13" ht="15" x14ac:dyDescent="0.25">
      <c r="A52" s="1" t="s">
        <v>28</v>
      </c>
      <c r="G52" s="3"/>
      <c r="H52" s="3"/>
      <c r="I52" s="3"/>
      <c r="J52" s="3"/>
      <c r="K52" s="3"/>
      <c r="L52" s="3"/>
      <c r="M52" s="3"/>
    </row>
    <row r="53" spans="1:13" ht="15" x14ac:dyDescent="0.25">
      <c r="A53" s="2" t="s">
        <v>61</v>
      </c>
      <c r="D53" s="28">
        <f>D30/D9</f>
        <v>3.5714285714285716</v>
      </c>
    </row>
    <row r="54" spans="1:13" ht="15" x14ac:dyDescent="0.25">
      <c r="A54" s="2" t="s">
        <v>30</v>
      </c>
      <c r="D54" s="28">
        <v>45.63</v>
      </c>
    </row>
    <row r="55" spans="1:13" ht="15" x14ac:dyDescent="0.25">
      <c r="A55" s="2" t="s">
        <v>31</v>
      </c>
      <c r="D55" s="28">
        <f>D29/D11</f>
        <v>1.8825891876627656</v>
      </c>
      <c r="E55" s="36"/>
    </row>
    <row r="56" spans="1:13" ht="15" x14ac:dyDescent="0.25">
      <c r="A56" s="2" t="s">
        <v>29</v>
      </c>
      <c r="D56" s="28">
        <f>D29/D12</f>
        <v>1.0927369417935455</v>
      </c>
    </row>
    <row r="57" spans="1:13" ht="15" x14ac:dyDescent="0.25">
      <c r="A57" s="1" t="s">
        <v>32</v>
      </c>
    </row>
    <row r="58" spans="1:13" ht="15" x14ac:dyDescent="0.25">
      <c r="A58" s="2" t="s">
        <v>60</v>
      </c>
      <c r="D58" s="29">
        <f>D20/D12</f>
        <v>0.34809135280833392</v>
      </c>
    </row>
    <row r="59" spans="1:13" ht="15" x14ac:dyDescent="0.25">
      <c r="A59" s="2" t="s">
        <v>59</v>
      </c>
      <c r="D59" s="29">
        <f>D20/D12</f>
        <v>0.34809135280833392</v>
      </c>
    </row>
    <row r="60" spans="1:13" ht="15" x14ac:dyDescent="0.25">
      <c r="A60" s="2" t="s">
        <v>33</v>
      </c>
      <c r="D60" s="28">
        <f>D33/D34</f>
        <v>12.672473867595819</v>
      </c>
    </row>
    <row r="61" spans="1:13" ht="15" x14ac:dyDescent="0.25">
      <c r="A61" s="2" t="s">
        <v>34</v>
      </c>
      <c r="D61" s="28"/>
    </row>
    <row r="62" spans="1:13" ht="15" x14ac:dyDescent="0.25">
      <c r="A62" s="1" t="s">
        <v>50</v>
      </c>
    </row>
    <row r="63" spans="1:13" ht="15" x14ac:dyDescent="0.25">
      <c r="A63" s="2" t="s">
        <v>35</v>
      </c>
      <c r="D63" s="30">
        <f>(F63/D29)*100</f>
        <v>28.571428571428569</v>
      </c>
      <c r="E63" s="37" t="s">
        <v>64</v>
      </c>
      <c r="F63" s="35">
        <f>D29-D30</f>
        <v>120000</v>
      </c>
    </row>
    <row r="64" spans="1:13" ht="15" x14ac:dyDescent="0.25">
      <c r="A64" s="2" t="s">
        <v>36</v>
      </c>
      <c r="D64" s="30">
        <f>D33/D12</f>
        <v>0.18925163130014883</v>
      </c>
    </row>
    <row r="65" spans="1:6" ht="15" x14ac:dyDescent="0.25">
      <c r="A65" s="2" t="s">
        <v>37</v>
      </c>
      <c r="D65" s="30">
        <f>D37/D12</f>
        <v>0.13073816982172778</v>
      </c>
    </row>
    <row r="66" spans="1:6" ht="15" x14ac:dyDescent="0.25">
      <c r="A66" s="2" t="s">
        <v>38</v>
      </c>
      <c r="D66" s="30">
        <f>D37/D23</f>
        <v>0.20054676431265339</v>
      </c>
    </row>
    <row r="67" spans="1:6" ht="15" x14ac:dyDescent="0.25">
      <c r="A67" s="1" t="s">
        <v>39</v>
      </c>
    </row>
    <row r="68" spans="1:6" ht="15" x14ac:dyDescent="0.25">
      <c r="A68" s="2" t="s">
        <v>42</v>
      </c>
      <c r="D68" s="31">
        <v>12.4</v>
      </c>
      <c r="E68" s="38"/>
    </row>
    <row r="69" spans="1:6" ht="15" x14ac:dyDescent="0.25">
      <c r="A69" s="2" t="s">
        <v>40</v>
      </c>
      <c r="D69" s="28">
        <f>D43/12.4</f>
        <v>7.258064516129032</v>
      </c>
    </row>
    <row r="70" spans="1:6" ht="15" x14ac:dyDescent="0.25">
      <c r="A70" s="2" t="s">
        <v>43</v>
      </c>
      <c r="D70" s="31">
        <f>(D6-D39)/D44</f>
        <v>0.70952615992102663</v>
      </c>
      <c r="E70" s="38"/>
    </row>
    <row r="71" spans="1:6" ht="15" x14ac:dyDescent="0.25">
      <c r="A71" s="2" t="s">
        <v>44</v>
      </c>
      <c r="D71" s="32">
        <f>D43/17.25</f>
        <v>5.2173913043478262</v>
      </c>
    </row>
    <row r="72" spans="1:6" ht="15" x14ac:dyDescent="0.25">
      <c r="A72" s="2" t="s">
        <v>45</v>
      </c>
      <c r="D72" s="31"/>
    </row>
    <row r="73" spans="1:6" ht="15" x14ac:dyDescent="0.25">
      <c r="A73" s="2" t="s">
        <v>41</v>
      </c>
      <c r="D73" s="28">
        <f>E73/F73</f>
        <v>20487.81088388215</v>
      </c>
      <c r="E73" s="38">
        <f>D43*D44</f>
        <v>364680</v>
      </c>
      <c r="F73" s="38">
        <f>(D23-D21)/D44</f>
        <v>17.799851924975322</v>
      </c>
    </row>
  </sheetData>
  <phoneticPr fontId="0" type="noConversion"/>
  <pageMargins left="0.75" right="0.75" top="1" bottom="1" header="0.5" footer="0.5"/>
  <pageSetup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Build a Model </vt:lpstr>
      <vt:lpstr>' Build a Model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Ratio Analysis. Build a Model</dc:title>
  <dc:subject>Build a Model</dc:subject>
  <dc:creator>Christopher Buzzard and Mike Ehrhardt</dc:creator>
  <cp:lastModifiedBy>Gordon Elliott Williams</cp:lastModifiedBy>
  <cp:lastPrinted>1999-10-14T14:54:21Z</cp:lastPrinted>
  <dcterms:created xsi:type="dcterms:W3CDTF">1999-09-07T00:55:56Z</dcterms:created>
  <dcterms:modified xsi:type="dcterms:W3CDTF">2021-11-06T20:01:22Z</dcterms:modified>
</cp:coreProperties>
</file>