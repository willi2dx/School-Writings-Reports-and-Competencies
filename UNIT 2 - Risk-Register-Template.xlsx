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GRADUATE POST\BUS635 ORGANIZATIONAL RISK MANAGEMENT\"/>
    </mc:Choice>
  </mc:AlternateContent>
  <xr:revisionPtr revIDLastSave="0" documentId="13_ncr:1_{88236467-7D86-4429-9ADF-B977194BE59A}" xr6:coauthVersionLast="47" xr6:coauthVersionMax="47" xr10:uidLastSave="{00000000-0000-0000-0000-000000000000}"/>
  <bookViews>
    <workbookView xWindow="37545" yWindow="90" windowWidth="19935" windowHeight="12720" xr2:uid="{3CF0C7CF-80C7-4646-9931-A4556D3A7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9" i="1" l="1"/>
  <c r="L19" i="1"/>
  <c r="O19" i="1" s="1"/>
  <c r="N18" i="1"/>
  <c r="L18" i="1"/>
  <c r="O18" i="1" s="1"/>
  <c r="N21" i="1"/>
  <c r="L21" i="1"/>
  <c r="O21" i="1" s="1"/>
  <c r="N20" i="1"/>
  <c r="L20" i="1"/>
  <c r="O20" i="1" s="1"/>
  <c r="N25" i="1"/>
  <c r="L25" i="1"/>
  <c r="O25" i="1" s="1"/>
  <c r="N24" i="1"/>
  <c r="L24" i="1"/>
  <c r="O24" i="1" s="1"/>
  <c r="N23" i="1"/>
  <c r="L23" i="1"/>
  <c r="O23" i="1" s="1"/>
  <c r="N22" i="1"/>
  <c r="L22" i="1"/>
  <c r="N17" i="1"/>
  <c r="L17" i="1"/>
  <c r="O17" i="1" s="1"/>
  <c r="N16" i="1"/>
  <c r="L16" i="1"/>
  <c r="O16" i="1" s="1"/>
  <c r="N15" i="1"/>
  <c r="L15" i="1"/>
  <c r="O15" i="1" s="1"/>
  <c r="N14" i="1"/>
  <c r="L14" i="1"/>
  <c r="O14" i="1" s="1"/>
  <c r="F17" i="1"/>
  <c r="F26" i="1"/>
  <c r="F25" i="1"/>
  <c r="F24" i="1"/>
  <c r="F23" i="1"/>
  <c r="F22" i="1"/>
  <c r="F21" i="1"/>
  <c r="F20" i="1"/>
  <c r="F19" i="1"/>
  <c r="F18" i="1"/>
  <c r="F7" i="1"/>
  <c r="H7" i="1"/>
  <c r="L7" i="1"/>
  <c r="N7" i="1"/>
  <c r="F8" i="1"/>
  <c r="H8" i="1"/>
  <c r="L8" i="1"/>
  <c r="N8" i="1"/>
  <c r="F9" i="1"/>
  <c r="H9" i="1"/>
  <c r="L9" i="1"/>
  <c r="N9" i="1"/>
  <c r="F10" i="1"/>
  <c r="H10" i="1"/>
  <c r="I10" i="1" s="1"/>
  <c r="L10" i="1"/>
  <c r="N10" i="1"/>
  <c r="F11" i="1"/>
  <c r="H11" i="1"/>
  <c r="L11" i="1"/>
  <c r="N11" i="1"/>
  <c r="H25" i="1"/>
  <c r="H24" i="1"/>
  <c r="H23" i="1"/>
  <c r="H22" i="1"/>
  <c r="H21" i="1"/>
  <c r="N13" i="1"/>
  <c r="N12" i="1"/>
  <c r="N6" i="1"/>
  <c r="L13" i="1"/>
  <c r="L12" i="1"/>
  <c r="L6" i="1"/>
  <c r="H20" i="1"/>
  <c r="H19" i="1"/>
  <c r="H18" i="1"/>
  <c r="H17" i="1"/>
  <c r="H16" i="1"/>
  <c r="H15" i="1"/>
  <c r="H14" i="1"/>
  <c r="H13" i="1"/>
  <c r="H12" i="1"/>
  <c r="F16" i="1"/>
  <c r="F15" i="1"/>
  <c r="F14" i="1"/>
  <c r="F13" i="1"/>
  <c r="F12" i="1"/>
  <c r="H6" i="1"/>
  <c r="F6" i="1"/>
  <c r="O22" i="1" l="1"/>
  <c r="I11" i="1"/>
  <c r="O11" i="1"/>
  <c r="O9" i="1"/>
  <c r="O7" i="1"/>
  <c r="I9" i="1"/>
  <c r="O10" i="1"/>
  <c r="O8" i="1"/>
  <c r="I8" i="1"/>
  <c r="I7" i="1"/>
  <c r="O6" i="1"/>
  <c r="O12" i="1"/>
  <c r="I6" i="1"/>
  <c r="I25" i="1"/>
  <c r="I12" i="1"/>
  <c r="I20" i="1"/>
  <c r="I18" i="1"/>
  <c r="I14" i="1"/>
  <c r="I22" i="1"/>
  <c r="I13" i="1"/>
  <c r="I17" i="1"/>
  <c r="I21" i="1"/>
  <c r="I23" i="1"/>
  <c r="I19" i="1"/>
  <c r="I24" i="1"/>
  <c r="I15" i="1"/>
  <c r="I16" i="1"/>
  <c r="O13" i="1"/>
</calcChain>
</file>

<file path=xl/sharedStrings.xml><?xml version="1.0" encoding="utf-8"?>
<sst xmlns="http://schemas.openxmlformats.org/spreadsheetml/2006/main" count="200" uniqueCount="91">
  <si>
    <t>Risk Rank</t>
  </si>
  <si>
    <t>Risk Name</t>
  </si>
  <si>
    <t>Inherent Risk Score</t>
  </si>
  <si>
    <t>Residual Likelihood</t>
  </si>
  <si>
    <t>3 - Possible</t>
  </si>
  <si>
    <t>5 - Extreme</t>
  </si>
  <si>
    <t>2 - Unlikely</t>
  </si>
  <si>
    <t>IL Score</t>
  </si>
  <si>
    <t>II Score</t>
  </si>
  <si>
    <t>2 - Minor</t>
  </si>
  <si>
    <t>3 - Moderate</t>
  </si>
  <si>
    <t>4 - Major</t>
  </si>
  <si>
    <t>5 - Almost Certain</t>
  </si>
  <si>
    <t>4 - Likely</t>
  </si>
  <si>
    <t>RL Score</t>
  </si>
  <si>
    <t>Residual Risk Score</t>
  </si>
  <si>
    <t>Control
Effectiveness</t>
  </si>
  <si>
    <t>Partially Effective</t>
  </si>
  <si>
    <t>None</t>
  </si>
  <si>
    <t>Risk Scoring Summary</t>
  </si>
  <si>
    <t>Unique Risk ID #</t>
  </si>
  <si>
    <t>Appetite Threshold</t>
  </si>
  <si>
    <t>Above</t>
  </si>
  <si>
    <t>Within</t>
  </si>
  <si>
    <t xml:space="preserve">Risk Overview                                                   </t>
  </si>
  <si>
    <t>To add more risks, copy and paste the last row to include formatting and formulas for additional risks</t>
  </si>
  <si>
    <t>5 - Likely</t>
  </si>
  <si>
    <t>4 - Moderate</t>
  </si>
  <si>
    <t>6 - Likely</t>
  </si>
  <si>
    <t>5 - Moderate</t>
  </si>
  <si>
    <t>8 - Almost Certain</t>
  </si>
  <si>
    <t>8 - Extreme</t>
  </si>
  <si>
    <t>7 - Likely</t>
  </si>
  <si>
    <t>6 - Moderate</t>
  </si>
  <si>
    <t>9 - Almost Certain</t>
  </si>
  <si>
    <t>9 - Extreme</t>
  </si>
  <si>
    <t>8 - Likely</t>
  </si>
  <si>
    <t>7 - Moderate</t>
  </si>
  <si>
    <t>10 - Almost Certain</t>
  </si>
  <si>
    <t>10 - Extreme</t>
  </si>
  <si>
    <t>9 - Likely</t>
  </si>
  <si>
    <t>8 - Moderate</t>
  </si>
  <si>
    <t>A1</t>
  </si>
  <si>
    <t>A2</t>
  </si>
  <si>
    <t>A3</t>
  </si>
  <si>
    <t>A4</t>
  </si>
  <si>
    <t>A5</t>
  </si>
  <si>
    <t>FRAUD</t>
  </si>
  <si>
    <t>INVESTMENTS</t>
  </si>
  <si>
    <t>B6</t>
  </si>
  <si>
    <t>B7</t>
  </si>
  <si>
    <t>B10</t>
  </si>
  <si>
    <t>B8</t>
  </si>
  <si>
    <t>B9</t>
  </si>
  <si>
    <t>SHORT TERM</t>
  </si>
  <si>
    <t>GROSS MARGINS</t>
  </si>
  <si>
    <t>WORKING CAPITAL</t>
  </si>
  <si>
    <t>CASH FLOW FROM OPERATIONS</t>
  </si>
  <si>
    <t>INDIRECT LOSSES</t>
  </si>
  <si>
    <t>HUMAN RESOURCE RISKS</t>
  </si>
  <si>
    <t>LIABILITY RISKS</t>
  </si>
  <si>
    <t xml:space="preserve"> PROPERTY RISKS</t>
  </si>
  <si>
    <t>C6</t>
  </si>
  <si>
    <t>C7</t>
  </si>
  <si>
    <t>C8</t>
  </si>
  <si>
    <t>C9</t>
  </si>
  <si>
    <t>C10</t>
  </si>
  <si>
    <t>D11</t>
  </si>
  <si>
    <t>D12</t>
  </si>
  <si>
    <t>D13</t>
  </si>
  <si>
    <t>D14</t>
  </si>
  <si>
    <t>D15</t>
  </si>
  <si>
    <t>BUILDING DAMAGE</t>
  </si>
  <si>
    <t>VEHICLE DAMAGE</t>
  </si>
  <si>
    <t>INVENTORY DAMAGE</t>
  </si>
  <si>
    <t>COPYRIGHTS &amp; PATENTS</t>
  </si>
  <si>
    <t>RESEARCH &amp; DEVELOPMENT</t>
  </si>
  <si>
    <t>LAWSUITS &amp; JUDGEMENTS</t>
  </si>
  <si>
    <t>EMPLOYEE DEATH</t>
  </si>
  <si>
    <t>EMPLOYEE INJURY</t>
  </si>
  <si>
    <t>EMPLOYMENT DISCONTINUATION</t>
  </si>
  <si>
    <t>EMPLOYEE BENEFIT PLANS</t>
  </si>
  <si>
    <t>LOSS EXPOSURE</t>
  </si>
  <si>
    <t>DIRECT LOSS</t>
  </si>
  <si>
    <t>INDIRECT OR CONSEQUENTIAL LOSS</t>
  </si>
  <si>
    <t>CONTINGENT LOSS</t>
  </si>
  <si>
    <t>DELL INCORCORPOATED Risk Register Template</t>
  </si>
  <si>
    <t>WORKMANS COMPENSATION</t>
  </si>
  <si>
    <t>Expected Value</t>
  </si>
  <si>
    <t>Average Loss</t>
  </si>
  <si>
    <t>Convolution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</si>
</sst>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3" fillId="2" borderId="0" xfId="0" applyFont="1" applyFill="1"/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left" wrapText="1" indent="1"/>
    </xf>
    <xf numFmtId="0" fontId="4" fillId="2" borderId="0" xfId="0" applyFont="1" applyFill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 indent="1"/>
    </xf>
    <xf numFmtId="0" fontId="1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1" fillId="6" borderId="1" xfId="0" applyFont="1" applyFill="1" applyBorder="1" applyAlignment="1">
      <alignment horizontal="left" wrapText="1" inden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40">
    <dxf>
      <fill>
        <patternFill>
          <bgColor theme="9" tint="0.59996337778862885"/>
        </patternFill>
      </fill>
    </dxf>
    <dxf>
      <fill>
        <patternFill>
          <bgColor rgb="FFFFFDAD"/>
        </patternFill>
      </fill>
    </dxf>
    <dxf>
      <fill>
        <patternFill>
          <bgColor rgb="FFFFD85D"/>
        </patternFill>
      </fill>
    </dxf>
    <dxf>
      <fill>
        <patternFill>
          <bgColor rgb="FFFF8989"/>
        </patternFill>
      </fill>
    </dxf>
    <dxf>
      <fill>
        <patternFill>
          <bgColor theme="9" tint="0.59996337778862885"/>
        </patternFill>
      </fill>
    </dxf>
    <dxf>
      <fill>
        <patternFill>
          <bgColor rgb="FFFFFDAD"/>
        </patternFill>
      </fill>
    </dxf>
    <dxf>
      <fill>
        <patternFill>
          <bgColor rgb="FFFFD85D"/>
        </patternFill>
      </fill>
    </dxf>
    <dxf>
      <fill>
        <patternFill>
          <bgColor rgb="FFFF8989"/>
        </patternFill>
      </fill>
    </dxf>
    <dxf>
      <fill>
        <patternFill>
          <bgColor theme="9" tint="0.59996337778862885"/>
        </patternFill>
      </fill>
    </dxf>
    <dxf>
      <fill>
        <patternFill>
          <bgColor rgb="FFFFFDAD"/>
        </patternFill>
      </fill>
    </dxf>
    <dxf>
      <fill>
        <patternFill>
          <bgColor rgb="FFFFD85D"/>
        </patternFill>
      </fill>
    </dxf>
    <dxf>
      <fill>
        <patternFill>
          <bgColor rgb="FFFF8989"/>
        </patternFill>
      </fill>
    </dxf>
    <dxf>
      <fill>
        <patternFill>
          <bgColor theme="9" tint="0.59996337778862885"/>
        </patternFill>
      </fill>
    </dxf>
    <dxf>
      <fill>
        <patternFill>
          <bgColor rgb="FFFFFDAD"/>
        </patternFill>
      </fill>
    </dxf>
    <dxf>
      <fill>
        <patternFill>
          <bgColor rgb="FFFFD85D"/>
        </patternFill>
      </fill>
    </dxf>
    <dxf>
      <fill>
        <patternFill>
          <bgColor rgb="FFFF8989"/>
        </patternFill>
      </fill>
    </dxf>
    <dxf>
      <fill>
        <patternFill>
          <bgColor theme="9" tint="0.59996337778862885"/>
        </patternFill>
      </fill>
    </dxf>
    <dxf>
      <fill>
        <patternFill>
          <bgColor rgb="FFFFFDAD"/>
        </patternFill>
      </fill>
    </dxf>
    <dxf>
      <fill>
        <patternFill>
          <bgColor rgb="FFFFD85D"/>
        </patternFill>
      </fill>
    </dxf>
    <dxf>
      <fill>
        <patternFill>
          <bgColor rgb="FFFF8989"/>
        </patternFill>
      </fill>
    </dxf>
    <dxf>
      <fill>
        <patternFill>
          <bgColor theme="9" tint="0.59996337778862885"/>
        </patternFill>
      </fill>
    </dxf>
    <dxf>
      <fill>
        <patternFill>
          <bgColor rgb="FFFFFDAD"/>
        </patternFill>
      </fill>
    </dxf>
    <dxf>
      <fill>
        <patternFill>
          <bgColor rgb="FFFFD85D"/>
        </patternFill>
      </fill>
    </dxf>
    <dxf>
      <fill>
        <patternFill>
          <bgColor rgb="FFFF8989"/>
        </patternFill>
      </fill>
    </dxf>
    <dxf>
      <fill>
        <patternFill>
          <bgColor theme="9" tint="0.59996337778862885"/>
        </patternFill>
      </fill>
    </dxf>
    <dxf>
      <fill>
        <patternFill>
          <bgColor rgb="FFFFFDAD"/>
        </patternFill>
      </fill>
    </dxf>
    <dxf>
      <fill>
        <patternFill>
          <bgColor rgb="FFFFD85D"/>
        </patternFill>
      </fill>
    </dxf>
    <dxf>
      <fill>
        <patternFill>
          <bgColor rgb="FFFF8989"/>
        </patternFill>
      </fill>
    </dxf>
    <dxf>
      <fill>
        <patternFill>
          <bgColor theme="9" tint="0.59996337778862885"/>
        </patternFill>
      </fill>
    </dxf>
    <dxf>
      <fill>
        <patternFill>
          <bgColor rgb="FFFFFDAD"/>
        </patternFill>
      </fill>
    </dxf>
    <dxf>
      <fill>
        <patternFill>
          <bgColor rgb="FFFFD85D"/>
        </patternFill>
      </fill>
    </dxf>
    <dxf>
      <fill>
        <patternFill>
          <bgColor rgb="FFFF8989"/>
        </patternFill>
      </fill>
    </dxf>
    <dxf>
      <fill>
        <patternFill>
          <bgColor theme="9" tint="0.59996337778862885"/>
        </patternFill>
      </fill>
    </dxf>
    <dxf>
      <fill>
        <patternFill>
          <bgColor rgb="FFFFFDAD"/>
        </patternFill>
      </fill>
    </dxf>
    <dxf>
      <fill>
        <patternFill>
          <bgColor rgb="FFFFD85D"/>
        </patternFill>
      </fill>
    </dxf>
    <dxf>
      <fill>
        <patternFill>
          <bgColor rgb="FFFF8989"/>
        </patternFill>
      </fill>
    </dxf>
    <dxf>
      <fill>
        <patternFill>
          <bgColor theme="9" tint="0.59996337778862885"/>
        </patternFill>
      </fill>
    </dxf>
    <dxf>
      <fill>
        <patternFill>
          <bgColor rgb="FFFFFDAD"/>
        </patternFill>
      </fill>
    </dxf>
    <dxf>
      <fill>
        <patternFill>
          <bgColor rgb="FFFFD85D"/>
        </patternFill>
      </fill>
    </dxf>
    <dxf>
      <fill>
        <patternFill>
          <bgColor rgb="FFFF8989"/>
        </patternFill>
      </fill>
    </dxf>
  </dxfs>
  <tableStyles count="0" defaultTableStyle="TableStyleMedium2" defaultPivotStyle="PivotStyleLight16"/>
  <colors>
    <mruColors>
      <color rgb="FFD6BBEB"/>
      <color rgb="FFFF8989"/>
      <color rgb="FFFFFDAD"/>
      <color rgb="FFFFD85D"/>
      <color rgb="FFFE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9790-D7CC-4008-8994-E73EC05B975D}">
  <dimension ref="A1:CL58"/>
  <sheetViews>
    <sheetView tabSelected="1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G5" sqref="G5"/>
    </sheetView>
  </sheetViews>
  <sheetFormatPr defaultRowHeight="15" x14ac:dyDescent="0.25"/>
  <cols>
    <col min="1" max="1" width="12.140625" customWidth="1"/>
    <col min="2" max="2" width="12.140625" style="1" customWidth="1"/>
    <col min="3" max="3" width="30" customWidth="1"/>
    <col min="4" max="4" width="40.28515625" customWidth="1"/>
    <col min="5" max="5" width="17.85546875" style="1" customWidth="1"/>
    <col min="6" max="6" width="10" style="1" hidden="1" customWidth="1"/>
    <col min="7" max="7" width="15.7109375" style="1" customWidth="1"/>
    <col min="8" max="8" width="10" style="1" hidden="1" customWidth="1"/>
    <col min="9" max="9" width="14.28515625" style="1" customWidth="1"/>
    <col min="10" max="10" width="20" style="1" customWidth="1"/>
    <col min="11" max="11" width="17.85546875" style="1" customWidth="1"/>
    <col min="12" max="12" width="10" style="1" hidden="1" customWidth="1"/>
    <col min="13" max="13" width="15.7109375" style="1" customWidth="1"/>
    <col min="14" max="14" width="10" style="1" hidden="1" customWidth="1"/>
    <col min="15" max="16" width="14.28515625" customWidth="1"/>
    <col min="18" max="90" width="9.140625" style="4"/>
  </cols>
  <sheetData>
    <row r="1" spans="1:17" x14ac:dyDescent="0.25">
      <c r="A1" s="4"/>
      <c r="B1" s="3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ht="26.25" x14ac:dyDescent="0.4">
      <c r="A2" s="2" t="s">
        <v>86</v>
      </c>
      <c r="B2" s="3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</row>
    <row r="3" spans="1:17" x14ac:dyDescent="0.25">
      <c r="A3" s="5"/>
      <c r="B3" s="3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</row>
    <row r="4" spans="1:17" ht="22.5" customHeight="1" x14ac:dyDescent="0.25">
      <c r="A4" s="12" t="s">
        <v>24</v>
      </c>
      <c r="B4" s="13"/>
      <c r="C4" s="13"/>
      <c r="D4" s="13"/>
      <c r="E4" s="9" t="s">
        <v>19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4"/>
    </row>
    <row r="5" spans="1:17" ht="30" x14ac:dyDescent="0.25">
      <c r="A5" s="6" t="s">
        <v>0</v>
      </c>
      <c r="B5" s="6" t="s">
        <v>20</v>
      </c>
      <c r="C5" s="7" t="s">
        <v>1</v>
      </c>
      <c r="D5" s="7" t="s">
        <v>54</v>
      </c>
      <c r="E5" s="20" t="s">
        <v>89</v>
      </c>
      <c r="F5" s="6" t="s">
        <v>7</v>
      </c>
      <c r="G5" s="20" t="s">
        <v>90</v>
      </c>
      <c r="H5" s="6" t="s">
        <v>8</v>
      </c>
      <c r="I5" s="6" t="s">
        <v>2</v>
      </c>
      <c r="J5" s="6" t="s">
        <v>16</v>
      </c>
      <c r="K5" s="6" t="s">
        <v>3</v>
      </c>
      <c r="L5" s="6" t="s">
        <v>14</v>
      </c>
      <c r="M5" s="20" t="s">
        <v>88</v>
      </c>
      <c r="N5" s="6" t="s">
        <v>8</v>
      </c>
      <c r="O5" s="6" t="s">
        <v>15</v>
      </c>
      <c r="P5" s="6" t="s">
        <v>21</v>
      </c>
      <c r="Q5" s="4"/>
    </row>
    <row r="6" spans="1:17" ht="33" customHeight="1" x14ac:dyDescent="0.25">
      <c r="A6" s="15">
        <v>1</v>
      </c>
      <c r="B6" s="15" t="s">
        <v>42</v>
      </c>
      <c r="C6" s="16" t="s">
        <v>58</v>
      </c>
      <c r="D6" s="19" t="s">
        <v>55</v>
      </c>
      <c r="E6" s="15" t="s">
        <v>13</v>
      </c>
      <c r="F6" s="15">
        <f>IF(E6="1 - Rare",1,IF(E6="2 - Unlikely",2,IF(E6="3 - Possible",3,IF(E6="4 - Likely",4,IF(E6="5 - Almost Certain",5,0)))))</f>
        <v>4</v>
      </c>
      <c r="G6" s="15" t="s">
        <v>5</v>
      </c>
      <c r="H6" s="15">
        <f>IF(G6="1 - Insignificant",1,IF(G6="2 - Minor",2,IF(G6="3 - Moderate",3,IF(G6="4 - Major",4,IF(G6="5 - Extreme",5,0)))))</f>
        <v>5</v>
      </c>
      <c r="I6" s="17">
        <f>IF(F6*H6&gt;0,F6*H6,"-")</f>
        <v>20</v>
      </c>
      <c r="J6" s="15" t="s">
        <v>17</v>
      </c>
      <c r="K6" s="15" t="s">
        <v>13</v>
      </c>
      <c r="L6" s="15">
        <f>IF(K6="1 - Rare",1,IF(K6="2 - Unlikely",2,IF(K6="3 - Possible",3,IF(K6="4 - Likely",4,IF(K6="5 - Almost Certain",5,0)))))</f>
        <v>4</v>
      </c>
      <c r="M6" s="15" t="s">
        <v>10</v>
      </c>
      <c r="N6" s="15">
        <f>IF(M6="1 - Insignificant",1,IF(M6="2 - Minor",2,IF(M6="3 - Moderate",3,IF(M6="4 - Major",4,IF(M6="5 - Extreme",5,0)))))</f>
        <v>3</v>
      </c>
      <c r="O6" s="17">
        <f t="shared" ref="O6:O16" si="0">IF(L6*N6&gt;0,L6*N6,"-")</f>
        <v>12</v>
      </c>
      <c r="P6" s="18" t="s">
        <v>22</v>
      </c>
      <c r="Q6" s="4"/>
    </row>
    <row r="7" spans="1:17" ht="33" customHeight="1" x14ac:dyDescent="0.25">
      <c r="A7" s="15">
        <v>2</v>
      </c>
      <c r="B7" s="15" t="s">
        <v>43</v>
      </c>
      <c r="C7" s="16" t="s">
        <v>58</v>
      </c>
      <c r="D7" s="16" t="s">
        <v>56</v>
      </c>
      <c r="E7" s="15" t="s">
        <v>4</v>
      </c>
      <c r="F7" s="15">
        <f t="shared" ref="F7:F11" si="1">IF(E7="1 - Rare",1,IF(E7="2 - Unlikely",2,IF(E7="3 - Possible",3,IF(E7="4 - Likely",4,IF(E7="5 - Almost Certain",5,0)))))</f>
        <v>3</v>
      </c>
      <c r="G7" s="15" t="s">
        <v>11</v>
      </c>
      <c r="H7" s="15">
        <f t="shared" ref="H7:H11" si="2">IF(G7="1 - Insignificant",1,IF(G7="2 - Minor",2,IF(G7="3 - Moderate",3,IF(G7="4 - Major",4,IF(G7="5 - Extreme",5,0)))))</f>
        <v>4</v>
      </c>
      <c r="I7" s="17">
        <f t="shared" ref="I7:I11" si="3">IF(F7*H7&gt;0,F7*H7,"-")</f>
        <v>12</v>
      </c>
      <c r="J7" s="15" t="s">
        <v>17</v>
      </c>
      <c r="K7" s="15" t="s">
        <v>26</v>
      </c>
      <c r="L7" s="15">
        <f t="shared" ref="L7:L11" si="4">IF(K7="1 - Rare",1,IF(K7="2 - Unlikely",2,IF(K7="3 - Possible",3,IF(K7="4 - Likely",4,IF(K7="5 - Almost Certain",5,0)))))</f>
        <v>0</v>
      </c>
      <c r="M7" s="15" t="s">
        <v>27</v>
      </c>
      <c r="N7" s="15">
        <f t="shared" ref="N7:N11" si="5">IF(M7="1 - Insignificant",1,IF(M7="2 - Minor",2,IF(M7="3 - Moderate",3,IF(M7="4 - Major",4,IF(M7="5 - Extreme",5,0)))))</f>
        <v>0</v>
      </c>
      <c r="O7" s="17" t="str">
        <f t="shared" ref="O7:O11" si="6">IF(L7*N7&gt;0,L7*N7,"-")</f>
        <v>-</v>
      </c>
      <c r="P7" s="18" t="s">
        <v>22</v>
      </c>
      <c r="Q7" s="4"/>
    </row>
    <row r="8" spans="1:17" ht="33" customHeight="1" x14ac:dyDescent="0.25">
      <c r="A8" s="15">
        <v>3</v>
      </c>
      <c r="B8" s="15" t="s">
        <v>44</v>
      </c>
      <c r="C8" s="16" t="s">
        <v>58</v>
      </c>
      <c r="D8" s="16" t="s">
        <v>57</v>
      </c>
      <c r="E8" s="15" t="s">
        <v>13</v>
      </c>
      <c r="F8" s="15">
        <f t="shared" si="1"/>
        <v>4</v>
      </c>
      <c r="G8" s="15" t="s">
        <v>5</v>
      </c>
      <c r="H8" s="15">
        <f t="shared" si="2"/>
        <v>5</v>
      </c>
      <c r="I8" s="17">
        <f t="shared" si="3"/>
        <v>20</v>
      </c>
      <c r="J8" s="15" t="s">
        <v>17</v>
      </c>
      <c r="K8" s="15" t="s">
        <v>28</v>
      </c>
      <c r="L8" s="15">
        <f t="shared" si="4"/>
        <v>0</v>
      </c>
      <c r="M8" s="15" t="s">
        <v>29</v>
      </c>
      <c r="N8" s="15">
        <f t="shared" si="5"/>
        <v>0</v>
      </c>
      <c r="O8" s="17" t="str">
        <f t="shared" si="6"/>
        <v>-</v>
      </c>
      <c r="P8" s="18" t="s">
        <v>22</v>
      </c>
      <c r="Q8" s="4"/>
    </row>
    <row r="9" spans="1:17" ht="33" customHeight="1" x14ac:dyDescent="0.25">
      <c r="A9" s="15">
        <v>4</v>
      </c>
      <c r="B9" s="15" t="s">
        <v>45</v>
      </c>
      <c r="C9" s="16" t="s">
        <v>58</v>
      </c>
      <c r="D9" s="16" t="s">
        <v>47</v>
      </c>
      <c r="E9" s="15" t="s">
        <v>30</v>
      </c>
      <c r="F9" s="15">
        <f t="shared" si="1"/>
        <v>0</v>
      </c>
      <c r="G9" s="15" t="s">
        <v>31</v>
      </c>
      <c r="H9" s="15">
        <f t="shared" si="2"/>
        <v>0</v>
      </c>
      <c r="I9" s="17" t="str">
        <f t="shared" si="3"/>
        <v>-</v>
      </c>
      <c r="J9" s="15" t="s">
        <v>17</v>
      </c>
      <c r="K9" s="15" t="s">
        <v>32</v>
      </c>
      <c r="L9" s="15">
        <f t="shared" si="4"/>
        <v>0</v>
      </c>
      <c r="M9" s="15" t="s">
        <v>33</v>
      </c>
      <c r="N9" s="15">
        <f t="shared" si="5"/>
        <v>0</v>
      </c>
      <c r="O9" s="17" t="str">
        <f t="shared" si="6"/>
        <v>-</v>
      </c>
      <c r="P9" s="18" t="s">
        <v>22</v>
      </c>
      <c r="Q9" s="4"/>
    </row>
    <row r="10" spans="1:17" ht="33" customHeight="1" x14ac:dyDescent="0.25">
      <c r="A10" s="15">
        <v>5</v>
      </c>
      <c r="B10" s="15" t="s">
        <v>46</v>
      </c>
      <c r="C10" s="16" t="s">
        <v>58</v>
      </c>
      <c r="D10" s="16" t="s">
        <v>48</v>
      </c>
      <c r="E10" s="15" t="s">
        <v>34</v>
      </c>
      <c r="F10" s="15">
        <f t="shared" si="1"/>
        <v>0</v>
      </c>
      <c r="G10" s="15" t="s">
        <v>35</v>
      </c>
      <c r="H10" s="15">
        <f t="shared" si="2"/>
        <v>0</v>
      </c>
      <c r="I10" s="17" t="str">
        <f t="shared" si="3"/>
        <v>-</v>
      </c>
      <c r="J10" s="15" t="s">
        <v>17</v>
      </c>
      <c r="K10" s="15" t="s">
        <v>36</v>
      </c>
      <c r="L10" s="15">
        <f t="shared" si="4"/>
        <v>0</v>
      </c>
      <c r="M10" s="15" t="s">
        <v>37</v>
      </c>
      <c r="N10" s="15">
        <f t="shared" si="5"/>
        <v>0</v>
      </c>
      <c r="O10" s="17" t="str">
        <f t="shared" si="6"/>
        <v>-</v>
      </c>
      <c r="P10" s="18" t="s">
        <v>22</v>
      </c>
      <c r="Q10" s="4"/>
    </row>
    <row r="11" spans="1:17" ht="33" customHeight="1" x14ac:dyDescent="0.25">
      <c r="A11" s="15">
        <v>6</v>
      </c>
      <c r="B11" s="15" t="s">
        <v>49</v>
      </c>
      <c r="C11" s="16" t="s">
        <v>59</v>
      </c>
      <c r="D11" s="16" t="s">
        <v>87</v>
      </c>
      <c r="E11" s="15" t="s">
        <v>38</v>
      </c>
      <c r="F11" s="15">
        <f t="shared" si="1"/>
        <v>0</v>
      </c>
      <c r="G11" s="15" t="s">
        <v>39</v>
      </c>
      <c r="H11" s="15">
        <f t="shared" si="2"/>
        <v>0</v>
      </c>
      <c r="I11" s="17" t="str">
        <f t="shared" si="3"/>
        <v>-</v>
      </c>
      <c r="J11" s="15" t="s">
        <v>17</v>
      </c>
      <c r="K11" s="15" t="s">
        <v>40</v>
      </c>
      <c r="L11" s="15">
        <f t="shared" si="4"/>
        <v>0</v>
      </c>
      <c r="M11" s="15" t="s">
        <v>41</v>
      </c>
      <c r="N11" s="15">
        <f t="shared" si="5"/>
        <v>0</v>
      </c>
      <c r="O11" s="17" t="str">
        <f t="shared" si="6"/>
        <v>-</v>
      </c>
      <c r="P11" s="18" t="s">
        <v>22</v>
      </c>
      <c r="Q11" s="4"/>
    </row>
    <row r="12" spans="1:17" ht="33" customHeight="1" x14ac:dyDescent="0.25">
      <c r="A12" s="15">
        <v>7</v>
      </c>
      <c r="B12" s="15" t="s">
        <v>50</v>
      </c>
      <c r="C12" s="16" t="s">
        <v>59</v>
      </c>
      <c r="D12" s="16" t="s">
        <v>78</v>
      </c>
      <c r="E12" s="15" t="s">
        <v>6</v>
      </c>
      <c r="F12" s="15">
        <f>IF(E12="1 - Rare",1,IF(E12="2 - Unlikely",2,IF(E12="3 - Possible",3,IF(E12="4 - Likely",4,IF(E12="5 - Almost Certain",5,0)))))</f>
        <v>2</v>
      </c>
      <c r="G12" s="15" t="s">
        <v>11</v>
      </c>
      <c r="H12" s="15">
        <f t="shared" ref="H12:H25" si="7">IF(G12="1 - Insignificant",1,IF(G12="2 - Minor",2,IF(G12="3 - Moderate",3,IF(G12="4 - Major",4,IF(G12="5 - Extreme",5,0)))))</f>
        <v>4</v>
      </c>
      <c r="I12" s="17">
        <f>IF(F12*H12&gt;0,F12*H12,"-")</f>
        <v>8</v>
      </c>
      <c r="J12" s="15" t="s">
        <v>17</v>
      </c>
      <c r="K12" s="15" t="s">
        <v>6</v>
      </c>
      <c r="L12" s="15">
        <f>IF(K12="1 - Rare",1,IF(K12="2 - Unlikely",2,IF(K12="3 - Possible",3,IF(K12="4 - Likely",4,IF(K12="5 - Almost Certain",5,0)))))</f>
        <v>2</v>
      </c>
      <c r="M12" s="15" t="s">
        <v>10</v>
      </c>
      <c r="N12" s="15">
        <f t="shared" ref="N12:N16" si="8">IF(M12="1 - Insignificant",1,IF(M12="2 - Minor",2,IF(M12="3 - Moderate",3,IF(M12="4 - Major",4,IF(M12="5 - Extreme",5,0)))))</f>
        <v>3</v>
      </c>
      <c r="O12" s="17">
        <f t="shared" si="0"/>
        <v>6</v>
      </c>
      <c r="P12" s="18" t="s">
        <v>23</v>
      </c>
      <c r="Q12" s="4"/>
    </row>
    <row r="13" spans="1:17" ht="33" customHeight="1" x14ac:dyDescent="0.25">
      <c r="A13" s="15">
        <v>8</v>
      </c>
      <c r="B13" s="15" t="s">
        <v>52</v>
      </c>
      <c r="C13" s="16" t="s">
        <v>59</v>
      </c>
      <c r="D13" s="19" t="s">
        <v>79</v>
      </c>
      <c r="E13" s="15" t="s">
        <v>12</v>
      </c>
      <c r="F13" s="15">
        <f t="shared" ref="F13:F16" si="9">IF(E13="1 - Rare",1,IF(E13="2 - Unlikely",2,IF(E13="3 - Possible",3,IF(E13="4 - Likely",4,IF(E13="5 - Almost Certain",5,0)))))</f>
        <v>5</v>
      </c>
      <c r="G13" s="15" t="s">
        <v>5</v>
      </c>
      <c r="H13" s="15">
        <f t="shared" si="7"/>
        <v>5</v>
      </c>
      <c r="I13" s="17">
        <f>IF(F13*H13&gt;0,F13*H13,"-")</f>
        <v>25</v>
      </c>
      <c r="J13" s="15" t="s">
        <v>18</v>
      </c>
      <c r="K13" s="15" t="s">
        <v>4</v>
      </c>
      <c r="L13" s="15">
        <f t="shared" ref="L13:L16" si="10">IF(K13="1 - Rare",1,IF(K13="2 - Unlikely",2,IF(K13="3 - Possible",3,IF(K13="4 - Likely",4,IF(K13="5 - Almost Certain",5,0)))))</f>
        <v>3</v>
      </c>
      <c r="M13" s="15" t="s">
        <v>9</v>
      </c>
      <c r="N13" s="15">
        <f t="shared" si="8"/>
        <v>2</v>
      </c>
      <c r="O13" s="17">
        <f t="shared" si="0"/>
        <v>6</v>
      </c>
      <c r="P13" s="18" t="s">
        <v>23</v>
      </c>
      <c r="Q13" s="4"/>
    </row>
    <row r="14" spans="1:17" ht="33" customHeight="1" x14ac:dyDescent="0.25">
      <c r="A14" s="15">
        <v>9</v>
      </c>
      <c r="B14" s="15" t="s">
        <v>53</v>
      </c>
      <c r="C14" s="16" t="s">
        <v>59</v>
      </c>
      <c r="D14" s="16" t="s">
        <v>80</v>
      </c>
      <c r="E14" s="15" t="s">
        <v>13</v>
      </c>
      <c r="F14" s="15">
        <f t="shared" si="9"/>
        <v>4</v>
      </c>
      <c r="G14" s="15" t="s">
        <v>35</v>
      </c>
      <c r="H14" s="15">
        <f t="shared" si="7"/>
        <v>0</v>
      </c>
      <c r="I14" s="17" t="str">
        <f>IF(F14*H14&gt;0,F14*H14,"-")</f>
        <v>-</v>
      </c>
      <c r="J14" s="15" t="s">
        <v>17</v>
      </c>
      <c r="K14" s="15" t="s">
        <v>32</v>
      </c>
      <c r="L14" s="15">
        <f t="shared" si="10"/>
        <v>0</v>
      </c>
      <c r="M14" s="15" t="s">
        <v>33</v>
      </c>
      <c r="N14" s="15">
        <f t="shared" si="8"/>
        <v>0</v>
      </c>
      <c r="O14" s="17" t="str">
        <f t="shared" si="0"/>
        <v>-</v>
      </c>
      <c r="P14" s="18" t="s">
        <v>22</v>
      </c>
      <c r="Q14" s="4"/>
    </row>
    <row r="15" spans="1:17" ht="33" customHeight="1" x14ac:dyDescent="0.25">
      <c r="A15" s="15">
        <v>10</v>
      </c>
      <c r="B15" s="15" t="s">
        <v>51</v>
      </c>
      <c r="C15" s="16" t="s">
        <v>59</v>
      </c>
      <c r="D15" s="16" t="s">
        <v>81</v>
      </c>
      <c r="E15" s="15" t="s">
        <v>30</v>
      </c>
      <c r="F15" s="15">
        <f t="shared" si="9"/>
        <v>0</v>
      </c>
      <c r="G15" s="15" t="s">
        <v>39</v>
      </c>
      <c r="H15" s="15">
        <f t="shared" si="7"/>
        <v>0</v>
      </c>
      <c r="I15" s="17" t="str">
        <f t="shared" ref="I15:I25" si="11">IF(F15*H15&gt;0,F15*H15,"-")</f>
        <v>-</v>
      </c>
      <c r="J15" s="15" t="s">
        <v>17</v>
      </c>
      <c r="K15" s="15" t="s">
        <v>36</v>
      </c>
      <c r="L15" s="15">
        <f t="shared" si="10"/>
        <v>0</v>
      </c>
      <c r="M15" s="15" t="s">
        <v>37</v>
      </c>
      <c r="N15" s="15">
        <f t="shared" si="8"/>
        <v>0</v>
      </c>
      <c r="O15" s="17" t="str">
        <f t="shared" si="0"/>
        <v>-</v>
      </c>
      <c r="P15" s="18" t="s">
        <v>22</v>
      </c>
      <c r="Q15" s="4"/>
    </row>
    <row r="16" spans="1:17" ht="33" customHeight="1" x14ac:dyDescent="0.25">
      <c r="A16" s="15">
        <v>11</v>
      </c>
      <c r="B16" s="15" t="s">
        <v>62</v>
      </c>
      <c r="C16" s="16" t="s">
        <v>60</v>
      </c>
      <c r="D16" s="16" t="s">
        <v>77</v>
      </c>
      <c r="E16" s="15" t="s">
        <v>34</v>
      </c>
      <c r="F16" s="15">
        <f t="shared" si="9"/>
        <v>0</v>
      </c>
      <c r="G16" s="15" t="s">
        <v>11</v>
      </c>
      <c r="H16" s="15">
        <f t="shared" si="7"/>
        <v>4</v>
      </c>
      <c r="I16" s="17" t="str">
        <f t="shared" si="11"/>
        <v>-</v>
      </c>
      <c r="J16" s="15" t="s">
        <v>17</v>
      </c>
      <c r="K16" s="15" t="s">
        <v>40</v>
      </c>
      <c r="L16" s="15">
        <f t="shared" si="10"/>
        <v>0</v>
      </c>
      <c r="M16" s="15" t="s">
        <v>41</v>
      </c>
      <c r="N16" s="15">
        <f t="shared" si="8"/>
        <v>0</v>
      </c>
      <c r="O16" s="17" t="str">
        <f t="shared" si="0"/>
        <v>-</v>
      </c>
      <c r="P16" s="18" t="s">
        <v>22</v>
      </c>
      <c r="Q16" s="4"/>
    </row>
    <row r="17" spans="1:17" ht="33" customHeight="1" x14ac:dyDescent="0.25">
      <c r="A17" s="15">
        <v>12</v>
      </c>
      <c r="B17" s="15" t="s">
        <v>63</v>
      </c>
      <c r="C17" s="16" t="s">
        <v>60</v>
      </c>
      <c r="D17" s="16" t="s">
        <v>82</v>
      </c>
      <c r="E17" s="15" t="s">
        <v>34</v>
      </c>
      <c r="F17" s="15">
        <f t="shared" ref="F17:F23" si="12">IF(E17="1 - Rare",1,IF(E17="2 - Unlikely",2,IF(E17="3 - Possible",3,IF(E17="4 - Likely",4,IF(E17="5 - Almost Certain",5,0)))))</f>
        <v>0</v>
      </c>
      <c r="G17" s="15" t="s">
        <v>35</v>
      </c>
      <c r="H17" s="15">
        <f t="shared" si="7"/>
        <v>0</v>
      </c>
      <c r="I17" s="17" t="str">
        <f t="shared" si="11"/>
        <v>-</v>
      </c>
      <c r="J17" s="15" t="s">
        <v>17</v>
      </c>
      <c r="K17" s="15" t="s">
        <v>6</v>
      </c>
      <c r="L17" s="15">
        <f>IF(K17="1 - Rare",1,IF(K17="2 - Unlikely",2,IF(K17="3 - Possible",3,IF(K17="4 - Likely",4,IF(K17="5 - Almost Certain",5,0)))))</f>
        <v>2</v>
      </c>
      <c r="M17" s="15" t="s">
        <v>10</v>
      </c>
      <c r="N17" s="15">
        <f t="shared" ref="N17:N19" si="13">IF(M17="1 - Insignificant",1,IF(M17="2 - Minor",2,IF(M17="3 - Moderate",3,IF(M17="4 - Major",4,IF(M17="5 - Extreme",5,0)))))</f>
        <v>3</v>
      </c>
      <c r="O17" s="17">
        <f t="shared" ref="O17:O19" si="14">IF(L17*N17&gt;0,L17*N17,"-")</f>
        <v>6</v>
      </c>
      <c r="P17" s="18" t="s">
        <v>23</v>
      </c>
      <c r="Q17" s="4"/>
    </row>
    <row r="18" spans="1:17" ht="33" customHeight="1" x14ac:dyDescent="0.25">
      <c r="A18" s="15">
        <v>13</v>
      </c>
      <c r="B18" s="15" t="s">
        <v>64</v>
      </c>
      <c r="C18" s="16" t="s">
        <v>60</v>
      </c>
      <c r="D18" s="19" t="s">
        <v>83</v>
      </c>
      <c r="E18" s="15" t="s">
        <v>4</v>
      </c>
      <c r="F18" s="15">
        <f>IF(E18="1 - Rare",1,IF(E18="2 - Unlikely",2,IF(E18="3 - Possible",3,IF(E18="4 - Likely",4,IF(E18="5 - Almost Certain",5,0)))))</f>
        <v>3</v>
      </c>
      <c r="G18" s="15" t="s">
        <v>11</v>
      </c>
      <c r="H18" s="15">
        <f t="shared" si="7"/>
        <v>4</v>
      </c>
      <c r="I18" s="17">
        <f t="shared" si="11"/>
        <v>12</v>
      </c>
      <c r="J18" s="15" t="s">
        <v>17</v>
      </c>
      <c r="K18" s="15" t="s">
        <v>40</v>
      </c>
      <c r="L18" s="15">
        <f t="shared" ref="L18" si="15">IF(K18="1 - Rare",1,IF(K18="2 - Unlikely",2,IF(K18="3 - Possible",3,IF(K18="4 - Likely",4,IF(K18="5 - Almost Certain",5,0)))))</f>
        <v>0</v>
      </c>
      <c r="M18" s="15" t="s">
        <v>41</v>
      </c>
      <c r="N18" s="15">
        <f t="shared" si="13"/>
        <v>0</v>
      </c>
      <c r="O18" s="17" t="str">
        <f t="shared" si="14"/>
        <v>-</v>
      </c>
      <c r="P18" s="18" t="s">
        <v>22</v>
      </c>
      <c r="Q18" s="4"/>
    </row>
    <row r="19" spans="1:17" ht="33" customHeight="1" x14ac:dyDescent="0.25">
      <c r="A19" s="15">
        <v>14</v>
      </c>
      <c r="B19" s="15" t="s">
        <v>65</v>
      </c>
      <c r="C19" s="16" t="s">
        <v>60</v>
      </c>
      <c r="D19" s="16" t="s">
        <v>84</v>
      </c>
      <c r="E19" s="15" t="s">
        <v>4</v>
      </c>
      <c r="F19" s="15">
        <f t="shared" si="12"/>
        <v>3</v>
      </c>
      <c r="G19" s="15" t="s">
        <v>11</v>
      </c>
      <c r="H19" s="15">
        <f t="shared" si="7"/>
        <v>4</v>
      </c>
      <c r="I19" s="17">
        <f t="shared" si="11"/>
        <v>12</v>
      </c>
      <c r="J19" s="15" t="s">
        <v>17</v>
      </c>
      <c r="K19" s="15" t="s">
        <v>6</v>
      </c>
      <c r="L19" s="15">
        <f>IF(K19="1 - Rare",1,IF(K19="2 - Unlikely",2,IF(K19="3 - Possible",3,IF(K19="4 - Likely",4,IF(K19="5 - Almost Certain",5,0)))))</f>
        <v>2</v>
      </c>
      <c r="M19" s="15" t="s">
        <v>10</v>
      </c>
      <c r="N19" s="15">
        <f t="shared" si="13"/>
        <v>3</v>
      </c>
      <c r="O19" s="17">
        <f t="shared" si="14"/>
        <v>6</v>
      </c>
      <c r="P19" s="18" t="s">
        <v>23</v>
      </c>
      <c r="Q19" s="4"/>
    </row>
    <row r="20" spans="1:17" ht="33" customHeight="1" x14ac:dyDescent="0.25">
      <c r="A20" s="15">
        <v>15</v>
      </c>
      <c r="B20" s="15" t="s">
        <v>66</v>
      </c>
      <c r="C20" s="16" t="s">
        <v>60</v>
      </c>
      <c r="D20" s="16" t="s">
        <v>85</v>
      </c>
      <c r="E20" s="15" t="s">
        <v>13</v>
      </c>
      <c r="F20" s="15">
        <f t="shared" si="12"/>
        <v>4</v>
      </c>
      <c r="G20" s="15" t="s">
        <v>5</v>
      </c>
      <c r="H20" s="15">
        <f t="shared" si="7"/>
        <v>5</v>
      </c>
      <c r="I20" s="17">
        <f t="shared" si="11"/>
        <v>20</v>
      </c>
      <c r="J20" s="15" t="s">
        <v>17</v>
      </c>
      <c r="K20" s="15" t="s">
        <v>36</v>
      </c>
      <c r="L20" s="15">
        <f t="shared" ref="L20:L21" si="16">IF(K20="1 - Rare",1,IF(K20="2 - Unlikely",2,IF(K20="3 - Possible",3,IF(K20="4 - Likely",4,IF(K20="5 - Almost Certain",5,0)))))</f>
        <v>0</v>
      </c>
      <c r="M20" s="15" t="s">
        <v>37</v>
      </c>
      <c r="N20" s="15">
        <f t="shared" ref="N20:N21" si="17">IF(M20="1 - Insignificant",1,IF(M20="2 - Minor",2,IF(M20="3 - Moderate",3,IF(M20="4 - Major",4,IF(M20="5 - Extreme",5,0)))))</f>
        <v>0</v>
      </c>
      <c r="O20" s="17" t="str">
        <f t="shared" ref="O20:O21" si="18">IF(L20*N20&gt;0,L20*N20,"-")</f>
        <v>-</v>
      </c>
      <c r="P20" s="18" t="s">
        <v>22</v>
      </c>
      <c r="Q20" s="4"/>
    </row>
    <row r="21" spans="1:17" ht="33" customHeight="1" x14ac:dyDescent="0.25">
      <c r="A21" s="15">
        <v>16</v>
      </c>
      <c r="B21" s="15" t="s">
        <v>67</v>
      </c>
      <c r="C21" s="16" t="s">
        <v>61</v>
      </c>
      <c r="D21" s="16" t="s">
        <v>72</v>
      </c>
      <c r="E21" s="15" t="s">
        <v>30</v>
      </c>
      <c r="F21" s="15">
        <f t="shared" si="12"/>
        <v>0</v>
      </c>
      <c r="G21" s="15" t="s">
        <v>31</v>
      </c>
      <c r="H21" s="15">
        <f t="shared" si="7"/>
        <v>0</v>
      </c>
      <c r="I21" s="17" t="str">
        <f t="shared" si="11"/>
        <v>-</v>
      </c>
      <c r="J21" s="15" t="s">
        <v>17</v>
      </c>
      <c r="K21" s="15" t="s">
        <v>40</v>
      </c>
      <c r="L21" s="15">
        <f t="shared" si="16"/>
        <v>0</v>
      </c>
      <c r="M21" s="15" t="s">
        <v>41</v>
      </c>
      <c r="N21" s="15">
        <f t="shared" si="17"/>
        <v>0</v>
      </c>
      <c r="O21" s="17" t="str">
        <f t="shared" si="18"/>
        <v>-</v>
      </c>
      <c r="P21" s="18" t="s">
        <v>22</v>
      </c>
      <c r="Q21" s="4"/>
    </row>
    <row r="22" spans="1:17" ht="33" customHeight="1" x14ac:dyDescent="0.25">
      <c r="A22" s="15">
        <v>17</v>
      </c>
      <c r="B22" s="15" t="s">
        <v>68</v>
      </c>
      <c r="C22" s="16" t="s">
        <v>61</v>
      </c>
      <c r="D22" s="16" t="s">
        <v>73</v>
      </c>
      <c r="E22" s="15" t="s">
        <v>34</v>
      </c>
      <c r="F22" s="15">
        <f t="shared" si="12"/>
        <v>0</v>
      </c>
      <c r="G22" s="15" t="s">
        <v>35</v>
      </c>
      <c r="H22" s="15">
        <f t="shared" si="7"/>
        <v>0</v>
      </c>
      <c r="I22" s="17" t="str">
        <f t="shared" si="11"/>
        <v>-</v>
      </c>
      <c r="J22" s="15" t="s">
        <v>17</v>
      </c>
      <c r="K22" s="15" t="s">
        <v>13</v>
      </c>
      <c r="L22" s="15">
        <f>IF(K22="1 - Rare",1,IF(K22="2 - Unlikely",2,IF(K22="3 - Possible",3,IF(K22="4 - Likely",4,IF(K22="5 - Almost Certain",5,0)))))</f>
        <v>4</v>
      </c>
      <c r="M22" s="15" t="s">
        <v>10</v>
      </c>
      <c r="N22" s="15">
        <f>IF(M22="1 - Insignificant",1,IF(M22="2 - Minor",2,IF(M22="3 - Moderate",3,IF(M22="4 - Major",4,IF(M22="5 - Extreme",5,0)))))</f>
        <v>3</v>
      </c>
      <c r="O22" s="17">
        <f t="shared" ref="O22:O25" si="19">IF(L22*N22&gt;0,L22*N22,"-")</f>
        <v>12</v>
      </c>
      <c r="P22" s="18" t="s">
        <v>22</v>
      </c>
      <c r="Q22" s="4"/>
    </row>
    <row r="23" spans="1:17" ht="33" customHeight="1" x14ac:dyDescent="0.25">
      <c r="A23" s="15">
        <v>18</v>
      </c>
      <c r="B23" s="15" t="s">
        <v>69</v>
      </c>
      <c r="C23" s="16" t="s">
        <v>61</v>
      </c>
      <c r="D23" s="16" t="s">
        <v>74</v>
      </c>
      <c r="E23" s="15" t="s">
        <v>38</v>
      </c>
      <c r="F23" s="15">
        <f t="shared" si="12"/>
        <v>0</v>
      </c>
      <c r="G23" s="15" t="s">
        <v>39</v>
      </c>
      <c r="H23" s="15">
        <f t="shared" si="7"/>
        <v>0</v>
      </c>
      <c r="I23" s="17" t="str">
        <f t="shared" si="11"/>
        <v>-</v>
      </c>
      <c r="J23" s="15" t="s">
        <v>17</v>
      </c>
      <c r="K23" s="15" t="s">
        <v>26</v>
      </c>
      <c r="L23" s="15">
        <f t="shared" ref="L23:L25" si="20">IF(K23="1 - Rare",1,IF(K23="2 - Unlikely",2,IF(K23="3 - Possible",3,IF(K23="4 - Likely",4,IF(K23="5 - Almost Certain",5,0)))))</f>
        <v>0</v>
      </c>
      <c r="M23" s="15" t="s">
        <v>27</v>
      </c>
      <c r="N23" s="15">
        <f t="shared" ref="N23:N25" si="21">IF(M23="1 - Insignificant",1,IF(M23="2 - Minor",2,IF(M23="3 - Moderate",3,IF(M23="4 - Major",4,IF(M23="5 - Extreme",5,0)))))</f>
        <v>0</v>
      </c>
      <c r="O23" s="17" t="str">
        <f t="shared" si="19"/>
        <v>-</v>
      </c>
      <c r="P23" s="18" t="s">
        <v>22</v>
      </c>
      <c r="Q23" s="4"/>
    </row>
    <row r="24" spans="1:17" ht="33" customHeight="1" x14ac:dyDescent="0.25">
      <c r="A24" s="15">
        <v>19</v>
      </c>
      <c r="B24" s="15" t="s">
        <v>70</v>
      </c>
      <c r="C24" s="16" t="s">
        <v>61</v>
      </c>
      <c r="D24" s="19" t="s">
        <v>75</v>
      </c>
      <c r="E24" s="15" t="s">
        <v>12</v>
      </c>
      <c r="F24" s="15">
        <f>IF(E24="1 - Rare",1,IF(E24="2 - Unlikely",2,IF(E24="3 - Possible",3,IF(E24="4 - Likely",4,IF(E24="5 - Almost Certain",5,0)))))</f>
        <v>5</v>
      </c>
      <c r="G24" s="15" t="s">
        <v>5</v>
      </c>
      <c r="H24" s="15">
        <f t="shared" si="7"/>
        <v>5</v>
      </c>
      <c r="I24" s="17">
        <f t="shared" si="11"/>
        <v>25</v>
      </c>
      <c r="J24" s="15" t="s">
        <v>17</v>
      </c>
      <c r="K24" s="15" t="s">
        <v>28</v>
      </c>
      <c r="L24" s="15">
        <f t="shared" si="20"/>
        <v>0</v>
      </c>
      <c r="M24" s="15" t="s">
        <v>29</v>
      </c>
      <c r="N24" s="15">
        <f t="shared" si="21"/>
        <v>0</v>
      </c>
      <c r="O24" s="17" t="str">
        <f t="shared" si="19"/>
        <v>-</v>
      </c>
      <c r="P24" s="18" t="s">
        <v>22</v>
      </c>
      <c r="Q24" s="4"/>
    </row>
    <row r="25" spans="1:17" ht="33" customHeight="1" x14ac:dyDescent="0.25">
      <c r="A25" s="15">
        <v>20</v>
      </c>
      <c r="B25" s="15" t="s">
        <v>71</v>
      </c>
      <c r="C25" s="16" t="s">
        <v>61</v>
      </c>
      <c r="D25" s="16" t="s">
        <v>76</v>
      </c>
      <c r="E25" s="15" t="s">
        <v>4</v>
      </c>
      <c r="F25" s="15">
        <f t="shared" ref="F25:F26" si="22">IF(E25="1 - Rare",1,IF(E25="2 - Unlikely",2,IF(E25="3 - Possible",3,IF(E25="4 - Likely",4,IF(E25="5 - Almost Certain",5,0)))))</f>
        <v>3</v>
      </c>
      <c r="G25" s="15" t="s">
        <v>9</v>
      </c>
      <c r="H25" s="15">
        <f t="shared" si="7"/>
        <v>2</v>
      </c>
      <c r="I25" s="17">
        <f t="shared" si="11"/>
        <v>6</v>
      </c>
      <c r="J25" s="15" t="s">
        <v>17</v>
      </c>
      <c r="K25" s="15" t="s">
        <v>32</v>
      </c>
      <c r="L25" s="15">
        <f t="shared" si="20"/>
        <v>0</v>
      </c>
      <c r="M25" s="15" t="s">
        <v>33</v>
      </c>
      <c r="N25" s="15">
        <f t="shared" si="21"/>
        <v>0</v>
      </c>
      <c r="O25" s="17" t="str">
        <f t="shared" si="19"/>
        <v>-</v>
      </c>
      <c r="P25" s="18" t="s">
        <v>22</v>
      </c>
      <c r="Q25" s="4"/>
    </row>
    <row r="26" spans="1:17" x14ac:dyDescent="0.25">
      <c r="A26" s="4"/>
      <c r="B26" s="3"/>
      <c r="C26" s="4"/>
      <c r="D26" s="4"/>
      <c r="E26" s="14"/>
      <c r="F26" s="14">
        <f t="shared" si="22"/>
        <v>0</v>
      </c>
      <c r="G26" s="14"/>
      <c r="H26" s="3"/>
      <c r="I26" s="3"/>
      <c r="J26" s="3"/>
      <c r="K26" s="3"/>
      <c r="L26" s="3"/>
      <c r="M26" s="3"/>
      <c r="N26" s="3"/>
      <c r="O26" s="4"/>
      <c r="P26" s="4"/>
      <c r="Q26" s="4"/>
    </row>
    <row r="27" spans="1:17" ht="18.75" x14ac:dyDescent="0.3">
      <c r="A27" s="4"/>
      <c r="B27" s="8" t="s">
        <v>25</v>
      </c>
      <c r="C27" s="4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4"/>
      <c r="P27" s="4"/>
      <c r="Q27" s="4"/>
    </row>
    <row r="28" spans="1:17" x14ac:dyDescent="0.25">
      <c r="A28" s="4"/>
      <c r="B28" s="3"/>
      <c r="C28" s="4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4"/>
      <c r="Q28" s="4"/>
    </row>
    <row r="29" spans="1:17" x14ac:dyDescent="0.25">
      <c r="A29" s="4"/>
      <c r="B29" s="3"/>
      <c r="C29" s="4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4"/>
      <c r="Q29" s="4"/>
    </row>
    <row r="30" spans="1:17" x14ac:dyDescent="0.25">
      <c r="A30" s="4"/>
      <c r="B30" s="3"/>
      <c r="C30" s="4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4"/>
      <c r="Q30" s="4"/>
    </row>
    <row r="31" spans="1:17" x14ac:dyDescent="0.25">
      <c r="A31" s="4"/>
      <c r="B31" s="3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</row>
    <row r="32" spans="1:17" x14ac:dyDescent="0.25">
      <c r="A32" s="4"/>
      <c r="B32" s="3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</row>
    <row r="33" spans="1:17" x14ac:dyDescent="0.25">
      <c r="A33" s="4"/>
      <c r="B33" s="3"/>
      <c r="C33" s="4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  <c r="P33" s="4"/>
      <c r="Q33" s="4"/>
    </row>
    <row r="34" spans="1:17" x14ac:dyDescent="0.25">
      <c r="A34" s="4"/>
      <c r="B34" s="3"/>
      <c r="C34" s="4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  <c r="P34" s="4"/>
      <c r="Q34" s="4"/>
    </row>
    <row r="35" spans="1:17" x14ac:dyDescent="0.25">
      <c r="A35" s="4"/>
      <c r="B35" s="3"/>
      <c r="C35" s="4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  <c r="P35" s="4"/>
      <c r="Q35" s="4"/>
    </row>
    <row r="36" spans="1:17" x14ac:dyDescent="0.25">
      <c r="A36" s="4"/>
      <c r="B36" s="3"/>
      <c r="C36" s="4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4"/>
      <c r="P36" s="4"/>
      <c r="Q36" s="4"/>
    </row>
    <row r="37" spans="1:17" x14ac:dyDescent="0.25">
      <c r="A37" s="4"/>
      <c r="B37" s="3"/>
      <c r="C37" s="4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4"/>
      <c r="P37" s="4"/>
      <c r="Q37" s="4"/>
    </row>
    <row r="38" spans="1:17" x14ac:dyDescent="0.25">
      <c r="A38" s="4"/>
      <c r="B38" s="3"/>
      <c r="C38" s="4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4"/>
      <c r="P38" s="4"/>
      <c r="Q38" s="4"/>
    </row>
    <row r="39" spans="1:17" x14ac:dyDescent="0.25">
      <c r="A39" s="4"/>
      <c r="B39" s="3"/>
      <c r="C39" s="4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4"/>
      <c r="P39" s="4"/>
      <c r="Q39" s="4"/>
    </row>
    <row r="40" spans="1:17" x14ac:dyDescent="0.25">
      <c r="A40" s="4"/>
      <c r="B40" s="3"/>
      <c r="C40" s="4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4"/>
      <c r="P40" s="4"/>
      <c r="Q40" s="4"/>
    </row>
    <row r="41" spans="1:17" x14ac:dyDescent="0.25">
      <c r="A41" s="4"/>
      <c r="B41" s="3"/>
      <c r="C41" s="4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  <c r="P41" s="4"/>
      <c r="Q41" s="4"/>
    </row>
    <row r="42" spans="1:17" x14ac:dyDescent="0.25">
      <c r="A42" s="4"/>
      <c r="B42" s="3"/>
      <c r="C42" s="4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4"/>
      <c r="P42" s="4"/>
      <c r="Q42" s="4"/>
    </row>
    <row r="43" spans="1:17" x14ac:dyDescent="0.25">
      <c r="A43" s="4"/>
      <c r="B43" s="3"/>
      <c r="C43" s="4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4"/>
      <c r="P43" s="4"/>
      <c r="Q43" s="4"/>
    </row>
    <row r="44" spans="1:17" x14ac:dyDescent="0.25">
      <c r="A44" s="4"/>
      <c r="B44" s="3"/>
      <c r="C44" s="4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4"/>
      <c r="P44" s="4"/>
      <c r="Q44" s="4"/>
    </row>
    <row r="45" spans="1:17" x14ac:dyDescent="0.25">
      <c r="A45" s="4"/>
      <c r="B45" s="3"/>
      <c r="C45" s="4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4"/>
      <c r="P45" s="4"/>
      <c r="Q45" s="4"/>
    </row>
    <row r="46" spans="1:17" x14ac:dyDescent="0.25">
      <c r="A46" s="4"/>
      <c r="B46" s="3"/>
      <c r="C46" s="4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4"/>
      <c r="P46" s="4"/>
      <c r="Q46" s="4"/>
    </row>
    <row r="47" spans="1:17" x14ac:dyDescent="0.25">
      <c r="A47" s="4"/>
      <c r="B47" s="3"/>
      <c r="C47" s="4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4"/>
      <c r="P47" s="4"/>
      <c r="Q47" s="4"/>
    </row>
    <row r="48" spans="1:17" x14ac:dyDescent="0.25">
      <c r="A48" s="4"/>
      <c r="B48" s="3"/>
      <c r="C48" s="4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4"/>
      <c r="P48" s="4"/>
      <c r="Q48" s="4"/>
    </row>
    <row r="49" spans="1:17" x14ac:dyDescent="0.25">
      <c r="A49" s="4"/>
      <c r="B49" s="3"/>
      <c r="C49" s="4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4"/>
      <c r="P49" s="4"/>
      <c r="Q49" s="4"/>
    </row>
    <row r="50" spans="1:17" x14ac:dyDescent="0.25">
      <c r="A50" s="4"/>
      <c r="B50" s="3"/>
      <c r="C50" s="4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4"/>
      <c r="P50" s="4"/>
      <c r="Q50" s="4"/>
    </row>
    <row r="51" spans="1:17" x14ac:dyDescent="0.25">
      <c r="A51" s="4"/>
      <c r="B51" s="3"/>
      <c r="C51" s="4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4"/>
      <c r="P51" s="4"/>
      <c r="Q51" s="4"/>
    </row>
    <row r="52" spans="1:17" x14ac:dyDescent="0.25">
      <c r="A52" s="4"/>
      <c r="B52" s="3"/>
      <c r="C52" s="4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4"/>
      <c r="P52" s="4"/>
      <c r="Q52" s="4"/>
    </row>
    <row r="53" spans="1:17" x14ac:dyDescent="0.25">
      <c r="A53" s="4"/>
      <c r="B53" s="3"/>
      <c r="C53" s="4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4"/>
      <c r="P53" s="4"/>
      <c r="Q53" s="4"/>
    </row>
    <row r="54" spans="1:17" x14ac:dyDescent="0.25">
      <c r="A54" s="4"/>
      <c r="B54" s="3"/>
      <c r="C54" s="4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4"/>
      <c r="P54" s="4"/>
      <c r="Q54" s="4"/>
    </row>
    <row r="55" spans="1:17" x14ac:dyDescent="0.25">
      <c r="A55" s="4"/>
      <c r="B55" s="3"/>
      <c r="C55" s="4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4"/>
      <c r="P55" s="4"/>
      <c r="Q55" s="4"/>
    </row>
    <row r="56" spans="1:17" x14ac:dyDescent="0.25">
      <c r="A56" s="4"/>
      <c r="B56" s="3"/>
      <c r="C56" s="4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4"/>
      <c r="P56" s="4"/>
      <c r="Q56" s="4"/>
    </row>
    <row r="57" spans="1:17" x14ac:dyDescent="0.25">
      <c r="A57" s="4"/>
      <c r="B57" s="3"/>
      <c r="C57" s="4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4"/>
      <c r="P57" s="4"/>
      <c r="Q57" s="4"/>
    </row>
    <row r="58" spans="1:17" x14ac:dyDescent="0.25">
      <c r="A58" s="4"/>
      <c r="B58" s="3"/>
      <c r="C58" s="4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4"/>
      <c r="P58" s="4"/>
      <c r="Q58" s="4"/>
    </row>
  </sheetData>
  <mergeCells count="2">
    <mergeCell ref="E4:P4"/>
    <mergeCell ref="A4:D4"/>
  </mergeCells>
  <phoneticPr fontId="5" type="noConversion"/>
  <conditionalFormatting sqref="I6:I11">
    <cfRule type="cellIs" dxfId="39" priority="73" operator="between">
      <formula>16</formula>
      <formula>25</formula>
    </cfRule>
    <cfRule type="cellIs" dxfId="38" priority="74" operator="between">
      <formula>12</formula>
      <formula>15</formula>
    </cfRule>
    <cfRule type="cellIs" dxfId="37" priority="75" operator="between">
      <formula>7</formula>
      <formula>11</formula>
    </cfRule>
    <cfRule type="cellIs" dxfId="36" priority="76" operator="between">
      <formula>1</formula>
      <formula>6</formula>
    </cfRule>
  </conditionalFormatting>
  <conditionalFormatting sqref="I12">
    <cfRule type="cellIs" dxfId="35" priority="41" operator="between">
      <formula>16</formula>
      <formula>25</formula>
    </cfRule>
    <cfRule type="cellIs" dxfId="34" priority="42" operator="between">
      <formula>12</formula>
      <formula>15</formula>
    </cfRule>
    <cfRule type="cellIs" dxfId="33" priority="43" operator="between">
      <formula>7</formula>
      <formula>11</formula>
    </cfRule>
    <cfRule type="cellIs" dxfId="32" priority="44" operator="between">
      <formula>1</formula>
      <formula>6</formula>
    </cfRule>
  </conditionalFormatting>
  <conditionalFormatting sqref="O12:O13 O6:P11">
    <cfRule type="cellIs" dxfId="31" priority="25" operator="between">
      <formula>16</formula>
      <formula>25</formula>
    </cfRule>
    <cfRule type="cellIs" dxfId="30" priority="26" operator="between">
      <formula>12</formula>
      <formula>15</formula>
    </cfRule>
    <cfRule type="cellIs" dxfId="29" priority="27" operator="between">
      <formula>7</formula>
      <formula>11</formula>
    </cfRule>
    <cfRule type="cellIs" dxfId="28" priority="28" operator="between">
      <formula>1</formula>
      <formula>6</formula>
    </cfRule>
  </conditionalFormatting>
  <conditionalFormatting sqref="I13">
    <cfRule type="cellIs" dxfId="27" priority="37" operator="between">
      <formula>16</formula>
      <formula>25</formula>
    </cfRule>
    <cfRule type="cellIs" dxfId="26" priority="38" operator="between">
      <formula>12</formula>
      <formula>15</formula>
    </cfRule>
    <cfRule type="cellIs" dxfId="25" priority="39" operator="between">
      <formula>7</formula>
      <formula>11</formula>
    </cfRule>
    <cfRule type="cellIs" dxfId="24" priority="40" operator="between">
      <formula>1</formula>
      <formula>6</formula>
    </cfRule>
  </conditionalFormatting>
  <conditionalFormatting sqref="I14">
    <cfRule type="cellIs" dxfId="23" priority="33" operator="between">
      <formula>16</formula>
      <formula>25</formula>
    </cfRule>
    <cfRule type="cellIs" dxfId="22" priority="34" operator="between">
      <formula>12</formula>
      <formula>15</formula>
    </cfRule>
    <cfRule type="cellIs" dxfId="21" priority="35" operator="between">
      <formula>7</formula>
      <formula>11</formula>
    </cfRule>
    <cfRule type="cellIs" dxfId="20" priority="36" operator="between">
      <formula>1</formula>
      <formula>6</formula>
    </cfRule>
  </conditionalFormatting>
  <conditionalFormatting sqref="I15:I25">
    <cfRule type="cellIs" dxfId="19" priority="29" operator="between">
      <formula>16</formula>
      <formula>25</formula>
    </cfRule>
    <cfRule type="cellIs" dxfId="18" priority="30" operator="between">
      <formula>12</formula>
      <formula>15</formula>
    </cfRule>
    <cfRule type="cellIs" dxfId="17" priority="31" operator="between">
      <formula>7</formula>
      <formula>11</formula>
    </cfRule>
    <cfRule type="cellIs" dxfId="16" priority="32" operator="between">
      <formula>1</formula>
      <formula>6</formula>
    </cfRule>
  </conditionalFormatting>
  <conditionalFormatting sqref="O17 O14:P16">
    <cfRule type="cellIs" dxfId="15" priority="13" operator="between">
      <formula>16</formula>
      <formula>25</formula>
    </cfRule>
    <cfRule type="cellIs" dxfId="14" priority="14" operator="between">
      <formula>12</formula>
      <formula>15</formula>
    </cfRule>
    <cfRule type="cellIs" dxfId="13" priority="15" operator="between">
      <formula>7</formula>
      <formula>11</formula>
    </cfRule>
    <cfRule type="cellIs" dxfId="12" priority="16" operator="between">
      <formula>1</formula>
      <formula>6</formula>
    </cfRule>
  </conditionalFormatting>
  <conditionalFormatting sqref="O22:P25">
    <cfRule type="cellIs" dxfId="11" priority="9" operator="between">
      <formula>16</formula>
      <formula>25</formula>
    </cfRule>
    <cfRule type="cellIs" dxfId="10" priority="10" operator="between">
      <formula>12</formula>
      <formula>15</formula>
    </cfRule>
    <cfRule type="cellIs" dxfId="9" priority="11" operator="between">
      <formula>7</formula>
      <formula>11</formula>
    </cfRule>
    <cfRule type="cellIs" dxfId="8" priority="12" operator="between">
      <formula>1</formula>
      <formula>6</formula>
    </cfRule>
  </conditionalFormatting>
  <conditionalFormatting sqref="O20:P21">
    <cfRule type="cellIs" dxfId="7" priority="5" operator="between">
      <formula>16</formula>
      <formula>25</formula>
    </cfRule>
    <cfRule type="cellIs" dxfId="6" priority="6" operator="between">
      <formula>12</formula>
      <formula>15</formula>
    </cfRule>
    <cfRule type="cellIs" dxfId="5" priority="7" operator="between">
      <formula>7</formula>
      <formula>11</formula>
    </cfRule>
    <cfRule type="cellIs" dxfId="4" priority="8" operator="between">
      <formula>1</formula>
      <formula>6</formula>
    </cfRule>
  </conditionalFormatting>
  <conditionalFormatting sqref="O19 O18:P18">
    <cfRule type="cellIs" dxfId="3" priority="1" operator="between">
      <formula>16</formula>
      <formula>25</formula>
    </cfRule>
    <cfRule type="cellIs" dxfId="2" priority="2" operator="between">
      <formula>12</formula>
      <formula>15</formula>
    </cfRule>
    <cfRule type="cellIs" dxfId="1" priority="3" operator="between">
      <formula>7</formula>
      <formula>11</formula>
    </cfRule>
    <cfRule type="cellIs" dxfId="0" priority="4" operator="between">
      <formula>1</formula>
      <formula>6</formula>
    </cfRule>
  </conditionalFormatting>
  <dataValidations count="4">
    <dataValidation type="list" allowBlank="1" showInputMessage="1" showErrorMessage="1" sqref="E6:E26 K6:K25" xr:uid="{36C039FD-4BDB-4745-8515-281564A4190D}">
      <formula1>"1 - Rare,2 - Unlikely,3 - Possible,4 - Likely,5 - Almost Certain"</formula1>
    </dataValidation>
    <dataValidation type="list" allowBlank="1" showInputMessage="1" showErrorMessage="1" sqref="G6:G26 M6:M25" xr:uid="{C6213B6C-CE81-4640-ADD6-8458020B1654}">
      <formula1>"1 - Insignificant,2 - Minor,3 - Moderate,4 - Major,5 - Extreme"</formula1>
    </dataValidation>
    <dataValidation type="list" allowBlank="1" showInputMessage="1" showErrorMessage="1" sqref="J6:J25" xr:uid="{4624E3C8-1965-42BC-8864-079A4268E574}">
      <formula1>"Fully Effective,Mostly Effective,Partially Effective,Mostly Ineffective,None"</formula1>
    </dataValidation>
    <dataValidation type="list" allowBlank="1" showInputMessage="1" showErrorMessage="1" sqref="P6:P25" xr:uid="{29DCD8EA-ABF0-473C-8218-D6166210613A}">
      <formula1>"Above,Within,Below"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Doel</dc:creator>
  <cp:lastModifiedBy>Gordon Elliott Williams</cp:lastModifiedBy>
  <dcterms:created xsi:type="dcterms:W3CDTF">2020-03-24T16:17:08Z</dcterms:created>
  <dcterms:modified xsi:type="dcterms:W3CDTF">2021-11-06T22:49:53Z</dcterms:modified>
</cp:coreProperties>
</file>